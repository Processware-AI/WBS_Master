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4.xml" ContentType="application/vnd.openxmlformats-officedocument.drawingml.chart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charts/chart5.xml" ContentType="application/vnd.openxmlformats-officedocument.drawingml.chart+xml"/>
  <Override PartName="/xl/comments9.xml" ContentType="application/vnd.openxmlformats-officedocument.spreadsheetml.comments+xml"/>
  <Override PartName="/xl/drawings/drawing7.xml" ContentType="application/vnd.openxmlformats-officedocument.drawing+xml"/>
  <Override PartName="/xl/comments10.xml" ContentType="application/vnd.openxmlformats-officedocument.spreadsheetml.comments+xml"/>
  <Override PartName="/xl/charts/chart6.xml" ContentType="application/vnd.openxmlformats-officedocument.drawingml.chart+xml"/>
  <Override PartName="/xl/comments11.xml" ContentType="application/vnd.openxmlformats-officedocument.spreadsheetml.comments+xml"/>
  <Override PartName="/xl/drawings/drawing8.xml" ContentType="application/vnd.openxmlformats-officedocument.drawing+xml"/>
  <Override PartName="/xl/comments12.xml" ContentType="application/vnd.openxmlformats-officedocument.spreadsheetml.comments+xml"/>
  <Override PartName="/xl/charts/chart7.xml" ContentType="application/vnd.openxmlformats-officedocument.drawingml.chart+xml"/>
  <Override PartName="/xl/comments13.xml" ContentType="application/vnd.openxmlformats-officedocument.spreadsheetml.comments+xml"/>
  <Override PartName="/xl/drawings/drawing9.xml" ContentType="application/vnd.openxmlformats-officedocument.drawing+xml"/>
  <Override PartName="/xl/comments14.xml" ContentType="application/vnd.openxmlformats-officedocument.spreadsheetml.comments+xml"/>
  <Override PartName="/xl/charts/chart8.xml" ContentType="application/vnd.openxmlformats-officedocument.drawingml.chart+xml"/>
  <Override PartName="/xl/comments15.xml" ContentType="application/vnd.openxmlformats-officedocument.spreadsheetml.comments+xml"/>
  <Override PartName="/xl/drawings/drawing10.xml" ContentType="application/vnd.openxmlformats-officedocument.drawing+xml"/>
  <Override PartName="/xl/comments16.xml" ContentType="application/vnd.openxmlformats-officedocument.spreadsheetml.comments+xml"/>
  <Override PartName="/xl/charts/chart9.xml" ContentType="application/vnd.openxmlformats-officedocument.drawingml.chart+xml"/>
  <Override PartName="/xl/comments17.xml" ContentType="application/vnd.openxmlformats-officedocument.spreadsheetml.comments+xml"/>
  <Override PartName="/xl/drawings/drawing11.xml" ContentType="application/vnd.openxmlformats-officedocument.drawing+xml"/>
  <Override PartName="/xl/comments18.xml" ContentType="application/vnd.openxmlformats-officedocument.spreadsheetml.comments+xml"/>
  <Override PartName="/xl/charts/chart10.xml" ContentType="application/vnd.openxmlformats-officedocument.drawingml.chart+xml"/>
  <Override PartName="/xl/comments19.xml" ContentType="application/vnd.openxmlformats-officedocument.spreadsheetml.comments+xml"/>
  <Override PartName="/xl/drawings/drawing12.xml" ContentType="application/vnd.openxmlformats-officedocument.drawing+xml"/>
  <Override PartName="/xl/comments20.xml" ContentType="application/vnd.openxmlformats-officedocument.spreadsheetml.comments+xml"/>
  <Override PartName="/xl/charts/chart11.xml" ContentType="application/vnd.openxmlformats-officedocument.drawingml.chart+xml"/>
  <Override PartName="/xl/comments21.xml" ContentType="application/vnd.openxmlformats-officedocument.spreadsheetml.comments+xml"/>
  <Override PartName="/xl/drawings/drawing13.xml" ContentType="application/vnd.openxmlformats-officedocument.drawing+xml"/>
  <Override PartName="/xl/comments22.xml" ContentType="application/vnd.openxmlformats-officedocument.spreadsheetml.comments+xml"/>
  <Override PartName="/xl/charts/chart12.xml" ContentType="application/vnd.openxmlformats-officedocument.drawingml.chart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내 드라이브\01. 브이웨이 작업\템플릿\"/>
    </mc:Choice>
  </mc:AlternateContent>
  <xr:revisionPtr revIDLastSave="0" documentId="13_ncr:1_{B908B1E2-4414-4418-81AB-58ECEE2F8B2A}" xr6:coauthVersionLast="47" xr6:coauthVersionMax="47" xr10:uidLastSave="{00000000-0000-0000-0000-000000000000}"/>
  <bookViews>
    <workbookView xWindow="-120" yWindow="-120" windowWidth="29040" windowHeight="15720" tabRatio="809" activeTab="5" xr2:uid="{00000000-000D-0000-FFFF-FFFF00000000}"/>
  </bookViews>
  <sheets>
    <sheet name="표지" sheetId="91" r:id="rId1"/>
    <sheet name="문서승인" sheetId="92" r:id="rId2"/>
    <sheet name="제개정이력" sheetId="93" r:id="rId3"/>
    <sheet name="진행현황_전체" sheetId="2" r:id="rId4"/>
    <sheet name="진행현황_01.범위명" sheetId="94" r:id="rId5"/>
    <sheet name="진행율 입력_01.범위명" sheetId="95" r:id="rId6"/>
    <sheet name="진행현황_02.범위명" sheetId="96" r:id="rId7"/>
    <sheet name="진행율 입력_02.범위명" sheetId="97" r:id="rId8"/>
    <sheet name="진행현황_03.범위명" sheetId="98" r:id="rId9"/>
    <sheet name="진행율 입력_03.범위명" sheetId="99" r:id="rId10"/>
    <sheet name="진행현황_04.범위명" sheetId="100" r:id="rId11"/>
    <sheet name="진행율 입력_04.범위명" sheetId="101" r:id="rId12"/>
    <sheet name="진행현황_05.범위명" sheetId="102" r:id="rId13"/>
    <sheet name="진행율 입력_05.범위명" sheetId="103" r:id="rId14"/>
    <sheet name="진행현황_06.범위명" sheetId="104" r:id="rId15"/>
    <sheet name="진행율 입력_06.범위명" sheetId="105" r:id="rId16"/>
    <sheet name="진행현황_07.범위명" sheetId="106" r:id="rId17"/>
    <sheet name="진행율 입력_07.범위명" sheetId="107" r:id="rId18"/>
    <sheet name="진행현황_08.범위명" sheetId="108" r:id="rId19"/>
    <sheet name="진행율 입력_08.범위명" sheetId="109" r:id="rId20"/>
    <sheet name="진행현황_09.범위명" sheetId="110" r:id="rId21"/>
    <sheet name="진행율 입력_09.범위명" sheetId="111" r:id="rId22"/>
    <sheet name="진행현황_10.범위명" sheetId="112" r:id="rId23"/>
    <sheet name="진행율 입력_10.범위명" sheetId="113" r:id="rId24"/>
    <sheet name="진행현황_템플릿" sheetId="58" r:id="rId25"/>
    <sheet name="진행율 입력_템플릿" sheetId="59" r:id="rId26"/>
  </sheets>
  <externalReferences>
    <externalReference r:id="rId27"/>
    <externalReference r:id="rId28"/>
    <externalReference r:id="rId29"/>
  </externalReferences>
  <definedNames>
    <definedName name="asd" localSheetId="5">IF( OR(AND(AND(#REF!&gt;=2,#REF!&lt;=5),#REF!&gt; 50), AND(#REF!&gt;5,#REF!&gt;=  20) ),1,0)</definedName>
    <definedName name="asd" localSheetId="7">IF( OR(AND(AND(#REF!&gt;=2,#REF!&lt;=5),#REF!&gt; 50), AND(#REF!&gt;5,#REF!&gt;=  20) ),1,0)</definedName>
    <definedName name="asd" localSheetId="9">IF( OR(AND(AND(#REF!&gt;=2,#REF!&lt;=5),#REF!&gt; 50), AND(#REF!&gt;5,#REF!&gt;=  20) ),1,0)</definedName>
    <definedName name="asd" localSheetId="11">IF( OR(AND(AND(#REF!&gt;=2,#REF!&lt;=5),#REF!&gt; 50), AND(#REF!&gt;5,#REF!&gt;=  20) ),1,0)</definedName>
    <definedName name="asd" localSheetId="13">IF( OR(AND(AND(#REF!&gt;=2,#REF!&lt;=5),#REF!&gt; 50), AND(#REF!&gt;5,#REF!&gt;=  20) ),1,0)</definedName>
    <definedName name="asd" localSheetId="15">IF( OR(AND(AND(#REF!&gt;=2,#REF!&lt;=5),#REF!&gt; 50), AND(#REF!&gt;5,#REF!&gt;=  20) ),1,0)</definedName>
    <definedName name="asd" localSheetId="17">IF( OR(AND(AND(#REF!&gt;=2,#REF!&lt;=5),#REF!&gt; 50), AND(#REF!&gt;5,#REF!&gt;=  20) ),1,0)</definedName>
    <definedName name="asd" localSheetId="19">IF( OR(AND(AND(#REF!&gt;=2,#REF!&lt;=5),#REF!&gt; 50), AND(#REF!&gt;5,#REF!&gt;=  20) ),1,0)</definedName>
    <definedName name="asd" localSheetId="21">IF( OR(AND(AND(#REF!&gt;=2,#REF!&lt;=5),#REF!&gt; 50), AND(#REF!&gt;5,#REF!&gt;=  20) ),1,0)</definedName>
    <definedName name="asd" localSheetId="23">IF( OR(AND(AND(#REF!&gt;=2,#REF!&lt;=5),#REF!&gt; 50), AND(#REF!&gt;5,#REF!&gt;=  20) ),1,0)</definedName>
    <definedName name="asd" localSheetId="25">IF( OR(AND(AND(#REF!&gt;=2,#REF!&lt;=5),#REF!&gt; 50), AND(#REF!&gt;5,#REF!&gt;=  20) ),1,0)</definedName>
    <definedName name="asd" localSheetId="4">IF( OR(AND(AND(#REF!&gt;=2,#REF!&lt;=5),#REF!&gt; 50), AND(#REF!&gt;5,#REF!&gt;=  20) ),1,0)</definedName>
    <definedName name="asd" localSheetId="6">IF( OR(AND(AND(#REF!&gt;=2,#REF!&lt;=5),#REF!&gt; 50), AND(#REF!&gt;5,#REF!&gt;=  20) ),1,0)</definedName>
    <definedName name="asd" localSheetId="8">IF( OR(AND(AND(#REF!&gt;=2,#REF!&lt;=5),#REF!&gt; 50), AND(#REF!&gt;5,#REF!&gt;=  20) ),1,0)</definedName>
    <definedName name="asd" localSheetId="10">IF( OR(AND(AND(#REF!&gt;=2,#REF!&lt;=5),#REF!&gt; 50), AND(#REF!&gt;5,#REF!&gt;=  20) ),1,0)</definedName>
    <definedName name="asd" localSheetId="12">IF( OR(AND(AND(#REF!&gt;=2,#REF!&lt;=5),#REF!&gt; 50), AND(#REF!&gt;5,#REF!&gt;=  20) ),1,0)</definedName>
    <definedName name="asd" localSheetId="14">IF( OR(AND(AND(#REF!&gt;=2,#REF!&lt;=5),#REF!&gt; 50), AND(#REF!&gt;5,#REF!&gt;=  20) ),1,0)</definedName>
    <definedName name="asd" localSheetId="16">IF( OR(AND(AND(#REF!&gt;=2,#REF!&lt;=5),#REF!&gt; 50), AND(#REF!&gt;5,#REF!&gt;=  20) ),1,0)</definedName>
    <definedName name="asd" localSheetId="18">IF( OR(AND(AND(#REF!&gt;=2,#REF!&lt;=5),#REF!&gt; 50), AND(#REF!&gt;5,#REF!&gt;=  20) ),1,0)</definedName>
    <definedName name="asd" localSheetId="20">IF( OR(AND(AND(#REF!&gt;=2,#REF!&lt;=5),#REF!&gt; 50), AND(#REF!&gt;5,#REF!&gt;=  20) ),1,0)</definedName>
    <definedName name="asd" localSheetId="22">IF( OR(AND(AND(#REF!&gt;=2,#REF!&lt;=5),#REF!&gt; 50), AND(#REF!&gt;5,#REF!&gt;=  20) ),1,0)</definedName>
    <definedName name="asd" localSheetId="24">IF( OR(AND(AND(#REF!&gt;=2,#REF!&lt;=5),#REF!&gt; 50), AND(#REF!&gt;5,#REF!&gt;=  20) ),1,0)</definedName>
    <definedName name="asd">IF( OR(AND(AND(#REF!&gt;=2,#REF!&lt;=5),#REF!&gt; 50), AND(#REF!&gt;5,#REF!&gt;=  20) ),1,0)</definedName>
    <definedName name="CheckDay" localSheetId="4">진행현황_01.범위명!$B$6</definedName>
    <definedName name="CheckDay" localSheetId="6">진행현황_02.범위명!$B$6</definedName>
    <definedName name="CheckDay" localSheetId="8">진행현황_03.범위명!$B$6</definedName>
    <definedName name="CheckDay" localSheetId="10">진행현황_04.범위명!$B$6</definedName>
    <definedName name="CheckDay" localSheetId="12">진행현황_05.범위명!$B$6</definedName>
    <definedName name="CheckDay" localSheetId="14">진행현황_06.범위명!$B$6</definedName>
    <definedName name="CheckDay" localSheetId="16">진행현황_07.범위명!$B$6</definedName>
    <definedName name="CheckDay" localSheetId="18">진행현황_08.범위명!$B$6</definedName>
    <definedName name="CheckDay" localSheetId="20">진행현황_09.범위명!$B$6</definedName>
    <definedName name="CheckDay" localSheetId="22">진행현황_10.범위명!$B$6</definedName>
    <definedName name="CheckDay" localSheetId="24">진행현황_템플릿!$B$6</definedName>
    <definedName name="CheckDay">진행현황_전체!$C$6</definedName>
    <definedName name="CheckDay2">진행현황_전체!$C$6</definedName>
    <definedName name="EI_A" localSheetId="5">IF( OR(AND(#REF!&lt;2,#REF!&gt;50), AND(AND(#REF!&gt;=2,#REF!&lt;=5), AND(#REF!&gt;= 20,#REF!&lt;= 50)), AND(#REF!&gt;5, AND(#REF!&gt;= 1,#REF!&lt;= 19)) ),1,0)</definedName>
    <definedName name="EI_A" localSheetId="7">IF( OR(AND(#REF!&lt;2,#REF!&gt;50), AND(AND(#REF!&gt;=2,#REF!&lt;=5), AND(#REF!&gt;= 20,#REF!&lt;= 50)), AND(#REF!&gt;5, AND(#REF!&gt;= 1,#REF!&lt;= 19)) ),1,0)</definedName>
    <definedName name="EI_A" localSheetId="9">IF( OR(AND(#REF!&lt;2,#REF!&gt;50), AND(AND(#REF!&gt;=2,#REF!&lt;=5), AND(#REF!&gt;= 20,#REF!&lt;= 50)), AND(#REF!&gt;5, AND(#REF!&gt;= 1,#REF!&lt;= 19)) ),1,0)</definedName>
    <definedName name="EI_A" localSheetId="11">IF( OR(AND(#REF!&lt;2,#REF!&gt;50), AND(AND(#REF!&gt;=2,#REF!&lt;=5), AND(#REF!&gt;= 20,#REF!&lt;= 50)), AND(#REF!&gt;5, AND(#REF!&gt;= 1,#REF!&lt;= 19)) ),1,0)</definedName>
    <definedName name="EI_A" localSheetId="13">IF( OR(AND(#REF!&lt;2,#REF!&gt;50), AND(AND(#REF!&gt;=2,#REF!&lt;=5), AND(#REF!&gt;= 20,#REF!&lt;= 50)), AND(#REF!&gt;5, AND(#REF!&gt;= 1,#REF!&lt;= 19)) ),1,0)</definedName>
    <definedName name="EI_A" localSheetId="15">IF( OR(AND(#REF!&lt;2,#REF!&gt;50), AND(AND(#REF!&gt;=2,#REF!&lt;=5), AND(#REF!&gt;= 20,#REF!&lt;= 50)), AND(#REF!&gt;5, AND(#REF!&gt;= 1,#REF!&lt;= 19)) ),1,0)</definedName>
    <definedName name="EI_A" localSheetId="17">IF( OR(AND(#REF!&lt;2,#REF!&gt;50), AND(AND(#REF!&gt;=2,#REF!&lt;=5), AND(#REF!&gt;= 20,#REF!&lt;= 50)), AND(#REF!&gt;5, AND(#REF!&gt;= 1,#REF!&lt;= 19)) ),1,0)</definedName>
    <definedName name="EI_A" localSheetId="19">IF( OR(AND(#REF!&lt;2,#REF!&gt;50), AND(AND(#REF!&gt;=2,#REF!&lt;=5), AND(#REF!&gt;= 20,#REF!&lt;= 50)), AND(#REF!&gt;5, AND(#REF!&gt;= 1,#REF!&lt;= 19)) ),1,0)</definedName>
    <definedName name="EI_A" localSheetId="21">IF( OR(AND(#REF!&lt;2,#REF!&gt;50), AND(AND(#REF!&gt;=2,#REF!&lt;=5), AND(#REF!&gt;= 20,#REF!&lt;= 50)), AND(#REF!&gt;5, AND(#REF!&gt;= 1,#REF!&lt;= 19)) ),1,0)</definedName>
    <definedName name="EI_A" localSheetId="23">IF( OR(AND(#REF!&lt;2,#REF!&gt;50), AND(AND(#REF!&gt;=2,#REF!&lt;=5), AND(#REF!&gt;= 20,#REF!&lt;= 50)), AND(#REF!&gt;5, AND(#REF!&gt;= 1,#REF!&lt;= 19)) ),1,0)</definedName>
    <definedName name="EI_A" localSheetId="25">IF( OR(AND(#REF!&lt;2,#REF!&gt;50), AND(AND(#REF!&gt;=2,#REF!&lt;=5), AND(#REF!&gt;= 20,#REF!&lt;= 50)), AND(#REF!&gt;5, AND(#REF!&gt;= 1,#REF!&lt;= 19)) ),1,0)</definedName>
    <definedName name="EI_A" localSheetId="4">IF( OR(AND(#REF!&lt;2,#REF!&gt;50), AND(AND(#REF!&gt;=2,#REF!&lt;=5), AND(#REF!&gt;= 20,#REF!&lt;= 50)), AND(#REF!&gt;5, AND(#REF!&gt;= 1,#REF!&lt;= 19)) ),1,0)</definedName>
    <definedName name="EI_A" localSheetId="6">IF( OR(AND(#REF!&lt;2,#REF!&gt;50), AND(AND(#REF!&gt;=2,#REF!&lt;=5), AND(#REF!&gt;= 20,#REF!&lt;= 50)), AND(#REF!&gt;5, AND(#REF!&gt;= 1,#REF!&lt;= 19)) ),1,0)</definedName>
    <definedName name="EI_A" localSheetId="8">IF( OR(AND(#REF!&lt;2,#REF!&gt;50), AND(AND(#REF!&gt;=2,#REF!&lt;=5), AND(#REF!&gt;= 20,#REF!&lt;= 50)), AND(#REF!&gt;5, AND(#REF!&gt;= 1,#REF!&lt;= 19)) ),1,0)</definedName>
    <definedName name="EI_A" localSheetId="10">IF( OR(AND(#REF!&lt;2,#REF!&gt;50), AND(AND(#REF!&gt;=2,#REF!&lt;=5), AND(#REF!&gt;= 20,#REF!&lt;= 50)), AND(#REF!&gt;5, AND(#REF!&gt;= 1,#REF!&lt;= 19)) ),1,0)</definedName>
    <definedName name="EI_A" localSheetId="12">IF( OR(AND(#REF!&lt;2,#REF!&gt;50), AND(AND(#REF!&gt;=2,#REF!&lt;=5), AND(#REF!&gt;= 20,#REF!&lt;= 50)), AND(#REF!&gt;5, AND(#REF!&gt;= 1,#REF!&lt;= 19)) ),1,0)</definedName>
    <definedName name="EI_A" localSheetId="14">IF( OR(AND(#REF!&lt;2,#REF!&gt;50), AND(AND(#REF!&gt;=2,#REF!&lt;=5), AND(#REF!&gt;= 20,#REF!&lt;= 50)), AND(#REF!&gt;5, AND(#REF!&gt;= 1,#REF!&lt;= 19)) ),1,0)</definedName>
    <definedName name="EI_A" localSheetId="16">IF( OR(AND(#REF!&lt;2,#REF!&gt;50), AND(AND(#REF!&gt;=2,#REF!&lt;=5), AND(#REF!&gt;= 20,#REF!&lt;= 50)), AND(#REF!&gt;5, AND(#REF!&gt;= 1,#REF!&lt;= 19)) ),1,0)</definedName>
    <definedName name="EI_A" localSheetId="18">IF( OR(AND(#REF!&lt;2,#REF!&gt;50), AND(AND(#REF!&gt;=2,#REF!&lt;=5), AND(#REF!&gt;= 20,#REF!&lt;= 50)), AND(#REF!&gt;5, AND(#REF!&gt;= 1,#REF!&lt;= 19)) ),1,0)</definedName>
    <definedName name="EI_A" localSheetId="20">IF( OR(AND(#REF!&lt;2,#REF!&gt;50), AND(AND(#REF!&gt;=2,#REF!&lt;=5), AND(#REF!&gt;= 20,#REF!&lt;= 50)), AND(#REF!&gt;5, AND(#REF!&gt;= 1,#REF!&lt;= 19)) ),1,0)</definedName>
    <definedName name="EI_A" localSheetId="22">IF( OR(AND(#REF!&lt;2,#REF!&gt;50), AND(AND(#REF!&gt;=2,#REF!&lt;=5), AND(#REF!&gt;= 20,#REF!&lt;= 50)), AND(#REF!&gt;5, AND(#REF!&gt;= 1,#REF!&lt;= 19)) ),1,0)</definedName>
    <definedName name="EI_A" localSheetId="24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B" localSheetId="5">IF( OR(AND(#REF!&lt;2,#REF!&gt;50), AND(AND(#REF!&gt;=2,#REF!&lt;=5), AND(#REF!&gt;= 20,#REF!&lt;= 50)), AND(#REF!&gt;5, AND(#REF!&gt;= 1,#REF!&lt;= 19)) ),1,0)</definedName>
    <definedName name="EI_B" localSheetId="7">IF( OR(AND(#REF!&lt;2,#REF!&gt;50), AND(AND(#REF!&gt;=2,#REF!&lt;=5), AND(#REF!&gt;= 20,#REF!&lt;= 50)), AND(#REF!&gt;5, AND(#REF!&gt;= 1,#REF!&lt;= 19)) ),1,0)</definedName>
    <definedName name="EI_B" localSheetId="9">IF( OR(AND(#REF!&lt;2,#REF!&gt;50), AND(AND(#REF!&gt;=2,#REF!&lt;=5), AND(#REF!&gt;= 20,#REF!&lt;= 50)), AND(#REF!&gt;5, AND(#REF!&gt;= 1,#REF!&lt;= 19)) ),1,0)</definedName>
    <definedName name="EI_B" localSheetId="11">IF( OR(AND(#REF!&lt;2,#REF!&gt;50), AND(AND(#REF!&gt;=2,#REF!&lt;=5), AND(#REF!&gt;= 20,#REF!&lt;= 50)), AND(#REF!&gt;5, AND(#REF!&gt;= 1,#REF!&lt;= 19)) ),1,0)</definedName>
    <definedName name="EI_B" localSheetId="13">IF( OR(AND(#REF!&lt;2,#REF!&gt;50), AND(AND(#REF!&gt;=2,#REF!&lt;=5), AND(#REF!&gt;= 20,#REF!&lt;= 50)), AND(#REF!&gt;5, AND(#REF!&gt;= 1,#REF!&lt;= 19)) ),1,0)</definedName>
    <definedName name="EI_B" localSheetId="15">IF( OR(AND(#REF!&lt;2,#REF!&gt;50), AND(AND(#REF!&gt;=2,#REF!&lt;=5), AND(#REF!&gt;= 20,#REF!&lt;= 50)), AND(#REF!&gt;5, AND(#REF!&gt;= 1,#REF!&lt;= 19)) ),1,0)</definedName>
    <definedName name="EI_B" localSheetId="17">IF( OR(AND(#REF!&lt;2,#REF!&gt;50), AND(AND(#REF!&gt;=2,#REF!&lt;=5), AND(#REF!&gt;= 20,#REF!&lt;= 50)), AND(#REF!&gt;5, AND(#REF!&gt;= 1,#REF!&lt;= 19)) ),1,0)</definedName>
    <definedName name="EI_B" localSheetId="19">IF( OR(AND(#REF!&lt;2,#REF!&gt;50), AND(AND(#REF!&gt;=2,#REF!&lt;=5), AND(#REF!&gt;= 20,#REF!&lt;= 50)), AND(#REF!&gt;5, AND(#REF!&gt;= 1,#REF!&lt;= 19)) ),1,0)</definedName>
    <definedName name="EI_B" localSheetId="21">IF( OR(AND(#REF!&lt;2,#REF!&gt;50), AND(AND(#REF!&gt;=2,#REF!&lt;=5), AND(#REF!&gt;= 20,#REF!&lt;= 50)), AND(#REF!&gt;5, AND(#REF!&gt;= 1,#REF!&lt;= 19)) ),1,0)</definedName>
    <definedName name="EI_B" localSheetId="23">IF( OR(AND(#REF!&lt;2,#REF!&gt;50), AND(AND(#REF!&gt;=2,#REF!&lt;=5), AND(#REF!&gt;= 20,#REF!&lt;= 50)), AND(#REF!&gt;5, AND(#REF!&gt;= 1,#REF!&lt;= 19)) ),1,0)</definedName>
    <definedName name="EI_B" localSheetId="25">IF( OR(AND(#REF!&lt;2,#REF!&gt;50), AND(AND(#REF!&gt;=2,#REF!&lt;=5), AND(#REF!&gt;= 20,#REF!&lt;= 50)), AND(#REF!&gt;5, AND(#REF!&gt;= 1,#REF!&lt;= 19)) ),1,0)</definedName>
    <definedName name="EI_B" localSheetId="4">IF( OR(AND(#REF!&lt;2,#REF!&gt;50), AND(AND(#REF!&gt;=2,#REF!&lt;=5), AND(#REF!&gt;= 20,#REF!&lt;= 50)), AND(#REF!&gt;5, AND(#REF!&gt;= 1,#REF!&lt;= 19)) ),1,0)</definedName>
    <definedName name="EI_B" localSheetId="6">IF( OR(AND(#REF!&lt;2,#REF!&gt;50), AND(AND(#REF!&gt;=2,#REF!&lt;=5), AND(#REF!&gt;= 20,#REF!&lt;= 50)), AND(#REF!&gt;5, AND(#REF!&gt;= 1,#REF!&lt;= 19)) ),1,0)</definedName>
    <definedName name="EI_B" localSheetId="8">IF( OR(AND(#REF!&lt;2,#REF!&gt;50), AND(AND(#REF!&gt;=2,#REF!&lt;=5), AND(#REF!&gt;= 20,#REF!&lt;= 50)), AND(#REF!&gt;5, AND(#REF!&gt;= 1,#REF!&lt;= 19)) ),1,0)</definedName>
    <definedName name="EI_B" localSheetId="10">IF( OR(AND(#REF!&lt;2,#REF!&gt;50), AND(AND(#REF!&gt;=2,#REF!&lt;=5), AND(#REF!&gt;= 20,#REF!&lt;= 50)), AND(#REF!&gt;5, AND(#REF!&gt;= 1,#REF!&lt;= 19)) ),1,0)</definedName>
    <definedName name="EI_B" localSheetId="12">IF( OR(AND(#REF!&lt;2,#REF!&gt;50), AND(AND(#REF!&gt;=2,#REF!&lt;=5), AND(#REF!&gt;= 20,#REF!&lt;= 50)), AND(#REF!&gt;5, AND(#REF!&gt;= 1,#REF!&lt;= 19)) ),1,0)</definedName>
    <definedName name="EI_B" localSheetId="14">IF( OR(AND(#REF!&lt;2,#REF!&gt;50), AND(AND(#REF!&gt;=2,#REF!&lt;=5), AND(#REF!&gt;= 20,#REF!&lt;= 50)), AND(#REF!&gt;5, AND(#REF!&gt;= 1,#REF!&lt;= 19)) ),1,0)</definedName>
    <definedName name="EI_B" localSheetId="16">IF( OR(AND(#REF!&lt;2,#REF!&gt;50), AND(AND(#REF!&gt;=2,#REF!&lt;=5), AND(#REF!&gt;= 20,#REF!&lt;= 50)), AND(#REF!&gt;5, AND(#REF!&gt;= 1,#REF!&lt;= 19)) ),1,0)</definedName>
    <definedName name="EI_B" localSheetId="18">IF( OR(AND(#REF!&lt;2,#REF!&gt;50), AND(AND(#REF!&gt;=2,#REF!&lt;=5), AND(#REF!&gt;= 20,#REF!&lt;= 50)), AND(#REF!&gt;5, AND(#REF!&gt;= 1,#REF!&lt;= 19)) ),1,0)</definedName>
    <definedName name="EI_B" localSheetId="20">IF( OR(AND(#REF!&lt;2,#REF!&gt;50), AND(AND(#REF!&gt;=2,#REF!&lt;=5), AND(#REF!&gt;= 20,#REF!&lt;= 50)), AND(#REF!&gt;5, AND(#REF!&gt;= 1,#REF!&lt;= 19)) ),1,0)</definedName>
    <definedName name="EI_B" localSheetId="22">IF( OR(AND(#REF!&lt;2,#REF!&gt;50), AND(AND(#REF!&gt;=2,#REF!&lt;=5), AND(#REF!&gt;= 20,#REF!&lt;= 50)), AND(#REF!&gt;5, AND(#REF!&gt;= 1,#REF!&lt;= 19)) ),1,0)</definedName>
    <definedName name="EI_B" localSheetId="24">IF( OR(AND(#REF!&lt;2,#REF!&gt;50), AND(AND(#REF!&gt;=2,#REF!&lt;=5), AND(#REF!&gt;= 20,#REF!&lt;= 50)), AND(#REF!&gt;5, AND(#REF!&gt;= 1,#REF!&lt;= 19)) ),1,0)</definedName>
    <definedName name="EI_B">IF( OR(AND(#REF!&lt;2,#REF!&gt;50), AND(AND(#REF!&gt;=2,#REF!&lt;=5), AND(#REF!&gt;= 20,#REF!&lt;= 50)), AND(#REF!&gt;5, AND(#REF!&gt;= 1,#REF!&lt;= 19)) ),1,0)</definedName>
    <definedName name="EI_C" localSheetId="5">IF( OR(AND(AND(#REF!&gt;=2,#REF!&lt;=5),#REF!&gt; 50), AND(#REF!&gt;5,#REF!&gt;=  20) ),1,0)</definedName>
    <definedName name="EI_C" localSheetId="7">IF( OR(AND(AND(#REF!&gt;=2,#REF!&lt;=5),#REF!&gt; 50), AND(#REF!&gt;5,#REF!&gt;=  20) ),1,0)</definedName>
    <definedName name="EI_C" localSheetId="9">IF( OR(AND(AND(#REF!&gt;=2,#REF!&lt;=5),#REF!&gt; 50), AND(#REF!&gt;5,#REF!&gt;=  20) ),1,0)</definedName>
    <definedName name="EI_C" localSheetId="11">IF( OR(AND(AND(#REF!&gt;=2,#REF!&lt;=5),#REF!&gt; 50), AND(#REF!&gt;5,#REF!&gt;=  20) ),1,0)</definedName>
    <definedName name="EI_C" localSheetId="13">IF( OR(AND(AND(#REF!&gt;=2,#REF!&lt;=5),#REF!&gt; 50), AND(#REF!&gt;5,#REF!&gt;=  20) ),1,0)</definedName>
    <definedName name="EI_C" localSheetId="15">IF( OR(AND(AND(#REF!&gt;=2,#REF!&lt;=5),#REF!&gt; 50), AND(#REF!&gt;5,#REF!&gt;=  20) ),1,0)</definedName>
    <definedName name="EI_C" localSheetId="17">IF( OR(AND(AND(#REF!&gt;=2,#REF!&lt;=5),#REF!&gt; 50), AND(#REF!&gt;5,#REF!&gt;=  20) ),1,0)</definedName>
    <definedName name="EI_C" localSheetId="19">IF( OR(AND(AND(#REF!&gt;=2,#REF!&lt;=5),#REF!&gt; 50), AND(#REF!&gt;5,#REF!&gt;=  20) ),1,0)</definedName>
    <definedName name="EI_C" localSheetId="21">IF( OR(AND(AND(#REF!&gt;=2,#REF!&lt;=5),#REF!&gt; 50), AND(#REF!&gt;5,#REF!&gt;=  20) ),1,0)</definedName>
    <definedName name="EI_C" localSheetId="23">IF( OR(AND(AND(#REF!&gt;=2,#REF!&lt;=5),#REF!&gt; 50), AND(#REF!&gt;5,#REF!&gt;=  20) ),1,0)</definedName>
    <definedName name="EI_C" localSheetId="25">IF( OR(AND(AND(#REF!&gt;=2,#REF!&lt;=5),#REF!&gt; 50), AND(#REF!&gt;5,#REF!&gt;=  20) ),1,0)</definedName>
    <definedName name="EI_C" localSheetId="4">IF( OR(AND(AND(#REF!&gt;=2,#REF!&lt;=5),#REF!&gt; 50), AND(#REF!&gt;5,#REF!&gt;=  20) ),1,0)</definedName>
    <definedName name="EI_C" localSheetId="6">IF( OR(AND(AND(#REF!&gt;=2,#REF!&lt;=5),#REF!&gt; 50), AND(#REF!&gt;5,#REF!&gt;=  20) ),1,0)</definedName>
    <definedName name="EI_C" localSheetId="8">IF( OR(AND(AND(#REF!&gt;=2,#REF!&lt;=5),#REF!&gt; 50), AND(#REF!&gt;5,#REF!&gt;=  20) ),1,0)</definedName>
    <definedName name="EI_C" localSheetId="10">IF( OR(AND(AND(#REF!&gt;=2,#REF!&lt;=5),#REF!&gt; 50), AND(#REF!&gt;5,#REF!&gt;=  20) ),1,0)</definedName>
    <definedName name="EI_C" localSheetId="12">IF( OR(AND(AND(#REF!&gt;=2,#REF!&lt;=5),#REF!&gt; 50), AND(#REF!&gt;5,#REF!&gt;=  20) ),1,0)</definedName>
    <definedName name="EI_C" localSheetId="14">IF( OR(AND(AND(#REF!&gt;=2,#REF!&lt;=5),#REF!&gt; 50), AND(#REF!&gt;5,#REF!&gt;=  20) ),1,0)</definedName>
    <definedName name="EI_C" localSheetId="16">IF( OR(AND(AND(#REF!&gt;=2,#REF!&lt;=5),#REF!&gt; 50), AND(#REF!&gt;5,#REF!&gt;=  20) ),1,0)</definedName>
    <definedName name="EI_C" localSheetId="18">IF( OR(AND(AND(#REF!&gt;=2,#REF!&lt;=5),#REF!&gt; 50), AND(#REF!&gt;5,#REF!&gt;=  20) ),1,0)</definedName>
    <definedName name="EI_C" localSheetId="20">IF( OR(AND(AND(#REF!&gt;=2,#REF!&lt;=5),#REF!&gt; 50), AND(#REF!&gt;5,#REF!&gt;=  20) ),1,0)</definedName>
    <definedName name="EI_C" localSheetId="22">IF( OR(AND(AND(#REF!&gt;=2,#REF!&lt;=5),#REF!&gt; 50), AND(#REF!&gt;5,#REF!&gt;=  20) ),1,0)</definedName>
    <definedName name="EI_C" localSheetId="24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5">#REF!</definedName>
    <definedName name="EI_first_row" localSheetId="7">#REF!</definedName>
    <definedName name="EI_first_row" localSheetId="9">#REF!</definedName>
    <definedName name="EI_first_row" localSheetId="11">#REF!</definedName>
    <definedName name="EI_first_row" localSheetId="13">#REF!</definedName>
    <definedName name="EI_first_row" localSheetId="15">#REF!</definedName>
    <definedName name="EI_first_row" localSheetId="17">#REF!</definedName>
    <definedName name="EI_first_row" localSheetId="19">#REF!</definedName>
    <definedName name="EI_first_row" localSheetId="21">#REF!</definedName>
    <definedName name="EI_first_row" localSheetId="23">#REF!</definedName>
    <definedName name="EI_first_row" localSheetId="25">#REF!</definedName>
    <definedName name="EI_first_row" localSheetId="4">#REF!</definedName>
    <definedName name="EI_first_row" localSheetId="6">#REF!</definedName>
    <definedName name="EI_first_row" localSheetId="8">#REF!</definedName>
    <definedName name="EI_first_row" localSheetId="10">#REF!</definedName>
    <definedName name="EI_first_row" localSheetId="12">#REF!</definedName>
    <definedName name="EI_first_row" localSheetId="14">#REF!</definedName>
    <definedName name="EI_first_row" localSheetId="16">#REF!</definedName>
    <definedName name="EI_first_row" localSheetId="18">#REF!</definedName>
    <definedName name="EI_first_row" localSheetId="20">#REF!</definedName>
    <definedName name="EI_first_row" localSheetId="22">#REF!</definedName>
    <definedName name="EI_first_row" localSheetId="24">#REF!</definedName>
    <definedName name="EI_first_row">#REF!</definedName>
    <definedName name="EI_Name" localSheetId="5">#REF!</definedName>
    <definedName name="EI_Name" localSheetId="7">#REF!</definedName>
    <definedName name="EI_Name" localSheetId="9">#REF!</definedName>
    <definedName name="EI_Name" localSheetId="11">#REF!</definedName>
    <definedName name="EI_Name" localSheetId="13">#REF!</definedName>
    <definedName name="EI_Name" localSheetId="15">#REF!</definedName>
    <definedName name="EI_Name" localSheetId="17">#REF!</definedName>
    <definedName name="EI_Name" localSheetId="19">#REF!</definedName>
    <definedName name="EI_Name" localSheetId="21">#REF!</definedName>
    <definedName name="EI_Name" localSheetId="23">#REF!</definedName>
    <definedName name="EI_Name" localSheetId="25">#REF!</definedName>
    <definedName name="EI_Name" localSheetId="4">#REF!</definedName>
    <definedName name="EI_Name" localSheetId="6">#REF!</definedName>
    <definedName name="EI_Name" localSheetId="8">#REF!</definedName>
    <definedName name="EI_Name" localSheetId="10">#REF!</definedName>
    <definedName name="EI_Name" localSheetId="12">#REF!</definedName>
    <definedName name="EI_Name" localSheetId="14">#REF!</definedName>
    <definedName name="EI_Name" localSheetId="16">#REF!</definedName>
    <definedName name="EI_Name" localSheetId="18">#REF!</definedName>
    <definedName name="EI_Name" localSheetId="20">#REF!</definedName>
    <definedName name="EI_Name" localSheetId="22">#REF!</definedName>
    <definedName name="EI_Name" localSheetId="24">#REF!</definedName>
    <definedName name="EI_Name">#REF!</definedName>
    <definedName name="EI_S" localSheetId="5">IF( OR(AND(#REF!&lt;2, AND(#REF!&gt;= 1,#REF!&lt;= 50)), AND(AND(#REF!&gt;=2,#REF!&lt;=5), AND(#REF!&gt;= 1,#REF!&lt;= 19)) ),1,0)</definedName>
    <definedName name="EI_S" localSheetId="7">IF( OR(AND(#REF!&lt;2, AND(#REF!&gt;= 1,#REF!&lt;= 50)), AND(AND(#REF!&gt;=2,#REF!&lt;=5), AND(#REF!&gt;= 1,#REF!&lt;= 19)) ),1,0)</definedName>
    <definedName name="EI_S" localSheetId="9">IF( OR(AND(#REF!&lt;2, AND(#REF!&gt;= 1,#REF!&lt;= 50)), AND(AND(#REF!&gt;=2,#REF!&lt;=5), AND(#REF!&gt;= 1,#REF!&lt;= 19)) ),1,0)</definedName>
    <definedName name="EI_S" localSheetId="11">IF( OR(AND(#REF!&lt;2, AND(#REF!&gt;= 1,#REF!&lt;= 50)), AND(AND(#REF!&gt;=2,#REF!&lt;=5), AND(#REF!&gt;= 1,#REF!&lt;= 19)) ),1,0)</definedName>
    <definedName name="EI_S" localSheetId="13">IF( OR(AND(#REF!&lt;2, AND(#REF!&gt;= 1,#REF!&lt;= 50)), AND(AND(#REF!&gt;=2,#REF!&lt;=5), AND(#REF!&gt;= 1,#REF!&lt;= 19)) ),1,0)</definedName>
    <definedName name="EI_S" localSheetId="15">IF( OR(AND(#REF!&lt;2, AND(#REF!&gt;= 1,#REF!&lt;= 50)), AND(AND(#REF!&gt;=2,#REF!&lt;=5), AND(#REF!&gt;= 1,#REF!&lt;= 19)) ),1,0)</definedName>
    <definedName name="EI_S" localSheetId="17">IF( OR(AND(#REF!&lt;2, AND(#REF!&gt;= 1,#REF!&lt;= 50)), AND(AND(#REF!&gt;=2,#REF!&lt;=5), AND(#REF!&gt;= 1,#REF!&lt;= 19)) ),1,0)</definedName>
    <definedName name="EI_S" localSheetId="19">IF( OR(AND(#REF!&lt;2, AND(#REF!&gt;= 1,#REF!&lt;= 50)), AND(AND(#REF!&gt;=2,#REF!&lt;=5), AND(#REF!&gt;= 1,#REF!&lt;= 19)) ),1,0)</definedName>
    <definedName name="EI_S" localSheetId="21">IF( OR(AND(#REF!&lt;2, AND(#REF!&gt;= 1,#REF!&lt;= 50)), AND(AND(#REF!&gt;=2,#REF!&lt;=5), AND(#REF!&gt;= 1,#REF!&lt;= 19)) ),1,0)</definedName>
    <definedName name="EI_S" localSheetId="23">IF( OR(AND(#REF!&lt;2, AND(#REF!&gt;= 1,#REF!&lt;= 50)), AND(AND(#REF!&gt;=2,#REF!&lt;=5), AND(#REF!&gt;= 1,#REF!&lt;= 19)) ),1,0)</definedName>
    <definedName name="EI_S" localSheetId="25">IF( OR(AND(#REF!&lt;2, AND(#REF!&gt;= 1,#REF!&lt;= 50)), AND(AND(#REF!&gt;=2,#REF!&lt;=5), AND(#REF!&gt;= 1,#REF!&lt;= 19)) ),1,0)</definedName>
    <definedName name="EI_S" localSheetId="4">IF( OR(AND(#REF!&lt;2, AND(#REF!&gt;= 1,#REF!&lt;= 50)), AND(AND(#REF!&gt;=2,#REF!&lt;=5), AND(#REF!&gt;= 1,#REF!&lt;= 19)) ),1,0)</definedName>
    <definedName name="EI_S" localSheetId="6">IF( OR(AND(#REF!&lt;2, AND(#REF!&gt;= 1,#REF!&lt;= 50)), AND(AND(#REF!&gt;=2,#REF!&lt;=5), AND(#REF!&gt;= 1,#REF!&lt;= 19)) ),1,0)</definedName>
    <definedName name="EI_S" localSheetId="8">IF( OR(AND(#REF!&lt;2, AND(#REF!&gt;= 1,#REF!&lt;= 50)), AND(AND(#REF!&gt;=2,#REF!&lt;=5), AND(#REF!&gt;= 1,#REF!&lt;= 19)) ),1,0)</definedName>
    <definedName name="EI_S" localSheetId="10">IF( OR(AND(#REF!&lt;2, AND(#REF!&gt;= 1,#REF!&lt;= 50)), AND(AND(#REF!&gt;=2,#REF!&lt;=5), AND(#REF!&gt;= 1,#REF!&lt;= 19)) ),1,0)</definedName>
    <definedName name="EI_S" localSheetId="12">IF( OR(AND(#REF!&lt;2, AND(#REF!&gt;= 1,#REF!&lt;= 50)), AND(AND(#REF!&gt;=2,#REF!&lt;=5), AND(#REF!&gt;= 1,#REF!&lt;= 19)) ),1,0)</definedName>
    <definedName name="EI_S" localSheetId="14">IF( OR(AND(#REF!&lt;2, AND(#REF!&gt;= 1,#REF!&lt;= 50)), AND(AND(#REF!&gt;=2,#REF!&lt;=5), AND(#REF!&gt;= 1,#REF!&lt;= 19)) ),1,0)</definedName>
    <definedName name="EI_S" localSheetId="16">IF( OR(AND(#REF!&lt;2, AND(#REF!&gt;= 1,#REF!&lt;= 50)), AND(AND(#REF!&gt;=2,#REF!&lt;=5), AND(#REF!&gt;= 1,#REF!&lt;= 19)) ),1,0)</definedName>
    <definedName name="EI_S" localSheetId="18">IF( OR(AND(#REF!&lt;2, AND(#REF!&gt;= 1,#REF!&lt;= 50)), AND(AND(#REF!&gt;=2,#REF!&lt;=5), AND(#REF!&gt;= 1,#REF!&lt;= 19)) ),1,0)</definedName>
    <definedName name="EI_S" localSheetId="20">IF( OR(AND(#REF!&lt;2, AND(#REF!&gt;= 1,#REF!&lt;= 50)), AND(AND(#REF!&gt;=2,#REF!&lt;=5), AND(#REF!&gt;= 1,#REF!&lt;= 19)) ),1,0)</definedName>
    <definedName name="EI_S" localSheetId="22">IF( OR(AND(#REF!&lt;2, AND(#REF!&gt;= 1,#REF!&lt;= 50)), AND(AND(#REF!&gt;=2,#REF!&lt;=5), AND(#REF!&gt;= 1,#REF!&lt;= 19)) ),1,0)</definedName>
    <definedName name="EI_S" localSheetId="24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tity_List" localSheetId="5">#REF!</definedName>
    <definedName name="Entity_List" localSheetId="7">#REF!</definedName>
    <definedName name="Entity_List" localSheetId="9">#REF!</definedName>
    <definedName name="Entity_List" localSheetId="11">#REF!</definedName>
    <definedName name="Entity_List" localSheetId="13">#REF!</definedName>
    <definedName name="Entity_List" localSheetId="15">#REF!</definedName>
    <definedName name="Entity_List" localSheetId="17">#REF!</definedName>
    <definedName name="Entity_List" localSheetId="19">#REF!</definedName>
    <definedName name="Entity_List" localSheetId="21">#REF!</definedName>
    <definedName name="Entity_List" localSheetId="23">#REF!</definedName>
    <definedName name="Entity_List" localSheetId="25">#REF!</definedName>
    <definedName name="Entity_List" localSheetId="4">#REF!</definedName>
    <definedName name="Entity_List" localSheetId="6">#REF!</definedName>
    <definedName name="Entity_List" localSheetId="8">#REF!</definedName>
    <definedName name="Entity_List" localSheetId="10">#REF!</definedName>
    <definedName name="Entity_List" localSheetId="12">#REF!</definedName>
    <definedName name="Entity_List" localSheetId="14">#REF!</definedName>
    <definedName name="Entity_List" localSheetId="16">#REF!</definedName>
    <definedName name="Entity_List" localSheetId="18">#REF!</definedName>
    <definedName name="Entity_List" localSheetId="20">#REF!</definedName>
    <definedName name="Entity_List" localSheetId="22">#REF!</definedName>
    <definedName name="Entity_List" localSheetId="24">#REF!</definedName>
    <definedName name="Entity_List">#REF!</definedName>
    <definedName name="Est_Eff_MDay" localSheetId="5">[1]FPA!#REF!</definedName>
    <definedName name="Est_Eff_MDay" localSheetId="7">[1]FPA!#REF!</definedName>
    <definedName name="Est_Eff_MDay" localSheetId="9">[1]FPA!#REF!</definedName>
    <definedName name="Est_Eff_MDay" localSheetId="11">[1]FPA!#REF!</definedName>
    <definedName name="Est_Eff_MDay" localSheetId="13">[1]FPA!#REF!</definedName>
    <definedName name="Est_Eff_MDay" localSheetId="15">[1]FPA!#REF!</definedName>
    <definedName name="Est_Eff_MDay" localSheetId="17">[1]FPA!#REF!</definedName>
    <definedName name="Est_Eff_MDay" localSheetId="19">[1]FPA!#REF!</definedName>
    <definedName name="Est_Eff_MDay" localSheetId="21">[1]FPA!#REF!</definedName>
    <definedName name="Est_Eff_MDay" localSheetId="23">[1]FPA!#REF!</definedName>
    <definedName name="Est_Eff_MDay" localSheetId="25">[1]FPA!#REF!</definedName>
    <definedName name="Est_Eff_MDay" localSheetId="4">[1]FPA!#REF!</definedName>
    <definedName name="Est_Eff_MDay" localSheetId="6">[1]FPA!#REF!</definedName>
    <definedName name="Est_Eff_MDay" localSheetId="8">[1]FPA!#REF!</definedName>
    <definedName name="Est_Eff_MDay" localSheetId="10">[1]FPA!#REF!</definedName>
    <definedName name="Est_Eff_MDay" localSheetId="12">[1]FPA!#REF!</definedName>
    <definedName name="Est_Eff_MDay" localSheetId="14">[1]FPA!#REF!</definedName>
    <definedName name="Est_Eff_MDay" localSheetId="16">[1]FPA!#REF!</definedName>
    <definedName name="Est_Eff_MDay" localSheetId="18">[1]FPA!#REF!</definedName>
    <definedName name="Est_Eff_MDay" localSheetId="20">[1]FPA!#REF!</definedName>
    <definedName name="Est_Eff_MDay" localSheetId="22">[1]FPA!#REF!</definedName>
    <definedName name="Est_Eff_MDay" localSheetId="24">[1]FPA!#REF!</definedName>
    <definedName name="Est_Eff_MDay">[1]FPA!#REF!</definedName>
    <definedName name="FT_A" localSheetId="5">IF( OR(AND(#REF!&lt;2,#REF!&gt;50), AND(AND(#REF!&gt;=2,#REF!&lt;=5), AND(#REF!&gt;= 20,#REF!&lt;= 50)), AND(#REF!&gt;5, AND(#REF!&gt;= 1,#REF!&lt;= 19)) ),1,0)</definedName>
    <definedName name="FT_A" localSheetId="7">IF( OR(AND(#REF!&lt;2,#REF!&gt;50), AND(AND(#REF!&gt;=2,#REF!&lt;=5), AND(#REF!&gt;= 20,#REF!&lt;= 50)), AND(#REF!&gt;5, AND(#REF!&gt;= 1,#REF!&lt;= 19)) ),1,0)</definedName>
    <definedName name="FT_A" localSheetId="9">IF( OR(AND(#REF!&lt;2,#REF!&gt;50), AND(AND(#REF!&gt;=2,#REF!&lt;=5), AND(#REF!&gt;= 20,#REF!&lt;= 50)), AND(#REF!&gt;5, AND(#REF!&gt;= 1,#REF!&lt;= 19)) ),1,0)</definedName>
    <definedName name="FT_A" localSheetId="11">IF( OR(AND(#REF!&lt;2,#REF!&gt;50), AND(AND(#REF!&gt;=2,#REF!&lt;=5), AND(#REF!&gt;= 20,#REF!&lt;= 50)), AND(#REF!&gt;5, AND(#REF!&gt;= 1,#REF!&lt;= 19)) ),1,0)</definedName>
    <definedName name="FT_A" localSheetId="13">IF( OR(AND(#REF!&lt;2,#REF!&gt;50), AND(AND(#REF!&gt;=2,#REF!&lt;=5), AND(#REF!&gt;= 20,#REF!&lt;= 50)), AND(#REF!&gt;5, AND(#REF!&gt;= 1,#REF!&lt;= 19)) ),1,0)</definedName>
    <definedName name="FT_A" localSheetId="15">IF( OR(AND(#REF!&lt;2,#REF!&gt;50), AND(AND(#REF!&gt;=2,#REF!&lt;=5), AND(#REF!&gt;= 20,#REF!&lt;= 50)), AND(#REF!&gt;5, AND(#REF!&gt;= 1,#REF!&lt;= 19)) ),1,0)</definedName>
    <definedName name="FT_A" localSheetId="17">IF( OR(AND(#REF!&lt;2,#REF!&gt;50), AND(AND(#REF!&gt;=2,#REF!&lt;=5), AND(#REF!&gt;= 20,#REF!&lt;= 50)), AND(#REF!&gt;5, AND(#REF!&gt;= 1,#REF!&lt;= 19)) ),1,0)</definedName>
    <definedName name="FT_A" localSheetId="19">IF( OR(AND(#REF!&lt;2,#REF!&gt;50), AND(AND(#REF!&gt;=2,#REF!&lt;=5), AND(#REF!&gt;= 20,#REF!&lt;= 50)), AND(#REF!&gt;5, AND(#REF!&gt;= 1,#REF!&lt;= 19)) ),1,0)</definedName>
    <definedName name="FT_A" localSheetId="21">IF( OR(AND(#REF!&lt;2,#REF!&gt;50), AND(AND(#REF!&gt;=2,#REF!&lt;=5), AND(#REF!&gt;= 20,#REF!&lt;= 50)), AND(#REF!&gt;5, AND(#REF!&gt;= 1,#REF!&lt;= 19)) ),1,0)</definedName>
    <definedName name="FT_A" localSheetId="23">IF( OR(AND(#REF!&lt;2,#REF!&gt;50), AND(AND(#REF!&gt;=2,#REF!&lt;=5), AND(#REF!&gt;= 20,#REF!&lt;= 50)), AND(#REF!&gt;5, AND(#REF!&gt;= 1,#REF!&lt;= 19)) ),1,0)</definedName>
    <definedName name="FT_A" localSheetId="25">IF( OR(AND(#REF!&lt;2,#REF!&gt;50), AND(AND(#REF!&gt;=2,#REF!&lt;=5), AND(#REF!&gt;= 20,#REF!&lt;= 50)), AND(#REF!&gt;5, AND(#REF!&gt;= 1,#REF!&lt;= 19)) ),1,0)</definedName>
    <definedName name="FT_A" localSheetId="4">IF( OR(AND(#REF!&lt;2,#REF!&gt;50), AND(AND(#REF!&gt;=2,#REF!&lt;=5), AND(#REF!&gt;= 20,#REF!&lt;= 50)), AND(#REF!&gt;5, AND(#REF!&gt;= 1,#REF!&lt;= 19)) ),1,0)</definedName>
    <definedName name="FT_A" localSheetId="6">IF( OR(AND(#REF!&lt;2,#REF!&gt;50), AND(AND(#REF!&gt;=2,#REF!&lt;=5), AND(#REF!&gt;= 20,#REF!&lt;= 50)), AND(#REF!&gt;5, AND(#REF!&gt;= 1,#REF!&lt;= 19)) ),1,0)</definedName>
    <definedName name="FT_A" localSheetId="8">IF( OR(AND(#REF!&lt;2,#REF!&gt;50), AND(AND(#REF!&gt;=2,#REF!&lt;=5), AND(#REF!&gt;= 20,#REF!&lt;= 50)), AND(#REF!&gt;5, AND(#REF!&gt;= 1,#REF!&lt;= 19)) ),1,0)</definedName>
    <definedName name="FT_A" localSheetId="10">IF( OR(AND(#REF!&lt;2,#REF!&gt;50), AND(AND(#REF!&gt;=2,#REF!&lt;=5), AND(#REF!&gt;= 20,#REF!&lt;= 50)), AND(#REF!&gt;5, AND(#REF!&gt;= 1,#REF!&lt;= 19)) ),1,0)</definedName>
    <definedName name="FT_A" localSheetId="12">IF( OR(AND(#REF!&lt;2,#REF!&gt;50), AND(AND(#REF!&gt;=2,#REF!&lt;=5), AND(#REF!&gt;= 20,#REF!&lt;= 50)), AND(#REF!&gt;5, AND(#REF!&gt;= 1,#REF!&lt;= 19)) ),1,0)</definedName>
    <definedName name="FT_A" localSheetId="14">IF( OR(AND(#REF!&lt;2,#REF!&gt;50), AND(AND(#REF!&gt;=2,#REF!&lt;=5), AND(#REF!&gt;= 20,#REF!&lt;= 50)), AND(#REF!&gt;5, AND(#REF!&gt;= 1,#REF!&lt;= 19)) ),1,0)</definedName>
    <definedName name="FT_A" localSheetId="16">IF( OR(AND(#REF!&lt;2,#REF!&gt;50), AND(AND(#REF!&gt;=2,#REF!&lt;=5), AND(#REF!&gt;= 20,#REF!&lt;= 50)), AND(#REF!&gt;5, AND(#REF!&gt;= 1,#REF!&lt;= 19)) ),1,0)</definedName>
    <definedName name="FT_A" localSheetId="18">IF( OR(AND(#REF!&lt;2,#REF!&gt;50), AND(AND(#REF!&gt;=2,#REF!&lt;=5), AND(#REF!&gt;= 20,#REF!&lt;= 50)), AND(#REF!&gt;5, AND(#REF!&gt;= 1,#REF!&lt;= 19)) ),1,0)</definedName>
    <definedName name="FT_A" localSheetId="20">IF( OR(AND(#REF!&lt;2,#REF!&gt;50), AND(AND(#REF!&gt;=2,#REF!&lt;=5), AND(#REF!&gt;= 20,#REF!&lt;= 50)), AND(#REF!&gt;5, AND(#REF!&gt;= 1,#REF!&lt;= 19)) ),1,0)</definedName>
    <definedName name="FT_A" localSheetId="22">IF( OR(AND(#REF!&lt;2,#REF!&gt;50), AND(AND(#REF!&gt;=2,#REF!&lt;=5), AND(#REF!&gt;= 20,#REF!&lt;= 50)), AND(#REF!&gt;5, AND(#REF!&gt;= 1,#REF!&lt;= 19)) ),1,0)</definedName>
    <definedName name="FT_A" localSheetId="24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5">IF( OR(AND(AND(#REF!&gt;=2,#REF!&lt;=5),#REF!&gt; 50), AND(#REF!&gt;5,#REF!&gt;=  20) ),1,0)</definedName>
    <definedName name="FT_C" localSheetId="7">IF( OR(AND(AND(#REF!&gt;=2,#REF!&lt;=5),#REF!&gt; 50), AND(#REF!&gt;5,#REF!&gt;=  20) ),1,0)</definedName>
    <definedName name="FT_C" localSheetId="9">IF( OR(AND(AND(#REF!&gt;=2,#REF!&lt;=5),#REF!&gt; 50), AND(#REF!&gt;5,#REF!&gt;=  20) ),1,0)</definedName>
    <definedName name="FT_C" localSheetId="11">IF( OR(AND(AND(#REF!&gt;=2,#REF!&lt;=5),#REF!&gt; 50), AND(#REF!&gt;5,#REF!&gt;=  20) ),1,0)</definedName>
    <definedName name="FT_C" localSheetId="13">IF( OR(AND(AND(#REF!&gt;=2,#REF!&lt;=5),#REF!&gt; 50), AND(#REF!&gt;5,#REF!&gt;=  20) ),1,0)</definedName>
    <definedName name="FT_C" localSheetId="15">IF( OR(AND(AND(#REF!&gt;=2,#REF!&lt;=5),#REF!&gt; 50), AND(#REF!&gt;5,#REF!&gt;=  20) ),1,0)</definedName>
    <definedName name="FT_C" localSheetId="17">IF( OR(AND(AND(#REF!&gt;=2,#REF!&lt;=5),#REF!&gt; 50), AND(#REF!&gt;5,#REF!&gt;=  20) ),1,0)</definedName>
    <definedName name="FT_C" localSheetId="19">IF( OR(AND(AND(#REF!&gt;=2,#REF!&lt;=5),#REF!&gt; 50), AND(#REF!&gt;5,#REF!&gt;=  20) ),1,0)</definedName>
    <definedName name="FT_C" localSheetId="21">IF( OR(AND(AND(#REF!&gt;=2,#REF!&lt;=5),#REF!&gt; 50), AND(#REF!&gt;5,#REF!&gt;=  20) ),1,0)</definedName>
    <definedName name="FT_C" localSheetId="23">IF( OR(AND(AND(#REF!&gt;=2,#REF!&lt;=5),#REF!&gt; 50), AND(#REF!&gt;5,#REF!&gt;=  20) ),1,0)</definedName>
    <definedName name="FT_C" localSheetId="25">IF( OR(AND(AND(#REF!&gt;=2,#REF!&lt;=5),#REF!&gt; 50), AND(#REF!&gt;5,#REF!&gt;=  20) ),1,0)</definedName>
    <definedName name="FT_C" localSheetId="4">IF( OR(AND(AND(#REF!&gt;=2,#REF!&lt;=5),#REF!&gt; 50), AND(#REF!&gt;5,#REF!&gt;=  20) ),1,0)</definedName>
    <definedName name="FT_C" localSheetId="6">IF( OR(AND(AND(#REF!&gt;=2,#REF!&lt;=5),#REF!&gt; 50), AND(#REF!&gt;5,#REF!&gt;=  20) ),1,0)</definedName>
    <definedName name="FT_C" localSheetId="8">IF( OR(AND(AND(#REF!&gt;=2,#REF!&lt;=5),#REF!&gt; 50), AND(#REF!&gt;5,#REF!&gt;=  20) ),1,0)</definedName>
    <definedName name="FT_C" localSheetId="10">IF( OR(AND(AND(#REF!&gt;=2,#REF!&lt;=5),#REF!&gt; 50), AND(#REF!&gt;5,#REF!&gt;=  20) ),1,0)</definedName>
    <definedName name="FT_C" localSheetId="12">IF( OR(AND(AND(#REF!&gt;=2,#REF!&lt;=5),#REF!&gt; 50), AND(#REF!&gt;5,#REF!&gt;=  20) ),1,0)</definedName>
    <definedName name="FT_C" localSheetId="14">IF( OR(AND(AND(#REF!&gt;=2,#REF!&lt;=5),#REF!&gt; 50), AND(#REF!&gt;5,#REF!&gt;=  20) ),1,0)</definedName>
    <definedName name="FT_C" localSheetId="16">IF( OR(AND(AND(#REF!&gt;=2,#REF!&lt;=5),#REF!&gt; 50), AND(#REF!&gt;5,#REF!&gt;=  20) ),1,0)</definedName>
    <definedName name="FT_C" localSheetId="18">IF( OR(AND(AND(#REF!&gt;=2,#REF!&lt;=5),#REF!&gt; 50), AND(#REF!&gt;5,#REF!&gt;=  20) ),1,0)</definedName>
    <definedName name="FT_C" localSheetId="20">IF( OR(AND(AND(#REF!&gt;=2,#REF!&lt;=5),#REF!&gt; 50), AND(#REF!&gt;5,#REF!&gt;=  20) ),1,0)</definedName>
    <definedName name="FT_C" localSheetId="22">IF( OR(AND(AND(#REF!&gt;=2,#REF!&lt;=5),#REF!&gt; 50), AND(#REF!&gt;5,#REF!&gt;=  20) ),1,0)</definedName>
    <definedName name="FT_C" localSheetId="24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5">IF( OR(AND(#REF!&lt;2, AND(#REF!&gt;= 1,#REF!&lt;= 50)), AND(AND(#REF!&gt;=2,#REF!&lt;=5), AND(#REF!&gt;= 1,#REF!&lt;= 19)) ),1,0)</definedName>
    <definedName name="FT_S" localSheetId="7">IF( OR(AND(#REF!&lt;2, AND(#REF!&gt;= 1,#REF!&lt;= 50)), AND(AND(#REF!&gt;=2,#REF!&lt;=5), AND(#REF!&gt;= 1,#REF!&lt;= 19)) ),1,0)</definedName>
    <definedName name="FT_S" localSheetId="9">IF( OR(AND(#REF!&lt;2, AND(#REF!&gt;= 1,#REF!&lt;= 50)), AND(AND(#REF!&gt;=2,#REF!&lt;=5), AND(#REF!&gt;= 1,#REF!&lt;= 19)) ),1,0)</definedName>
    <definedName name="FT_S" localSheetId="11">IF( OR(AND(#REF!&lt;2, AND(#REF!&gt;= 1,#REF!&lt;= 50)), AND(AND(#REF!&gt;=2,#REF!&lt;=5), AND(#REF!&gt;= 1,#REF!&lt;= 19)) ),1,0)</definedName>
    <definedName name="FT_S" localSheetId="13">IF( OR(AND(#REF!&lt;2, AND(#REF!&gt;= 1,#REF!&lt;= 50)), AND(AND(#REF!&gt;=2,#REF!&lt;=5), AND(#REF!&gt;= 1,#REF!&lt;= 19)) ),1,0)</definedName>
    <definedName name="FT_S" localSheetId="15">IF( OR(AND(#REF!&lt;2, AND(#REF!&gt;= 1,#REF!&lt;= 50)), AND(AND(#REF!&gt;=2,#REF!&lt;=5), AND(#REF!&gt;= 1,#REF!&lt;= 19)) ),1,0)</definedName>
    <definedName name="FT_S" localSheetId="17">IF( OR(AND(#REF!&lt;2, AND(#REF!&gt;= 1,#REF!&lt;= 50)), AND(AND(#REF!&gt;=2,#REF!&lt;=5), AND(#REF!&gt;= 1,#REF!&lt;= 19)) ),1,0)</definedName>
    <definedName name="FT_S" localSheetId="19">IF( OR(AND(#REF!&lt;2, AND(#REF!&gt;= 1,#REF!&lt;= 50)), AND(AND(#REF!&gt;=2,#REF!&lt;=5), AND(#REF!&gt;= 1,#REF!&lt;= 19)) ),1,0)</definedName>
    <definedName name="FT_S" localSheetId="21">IF( OR(AND(#REF!&lt;2, AND(#REF!&gt;= 1,#REF!&lt;= 50)), AND(AND(#REF!&gt;=2,#REF!&lt;=5), AND(#REF!&gt;= 1,#REF!&lt;= 19)) ),1,0)</definedName>
    <definedName name="FT_S" localSheetId="23">IF( OR(AND(#REF!&lt;2, AND(#REF!&gt;= 1,#REF!&lt;= 50)), AND(AND(#REF!&gt;=2,#REF!&lt;=5), AND(#REF!&gt;= 1,#REF!&lt;= 19)) ),1,0)</definedName>
    <definedName name="FT_S" localSheetId="25">IF( OR(AND(#REF!&lt;2, AND(#REF!&gt;= 1,#REF!&lt;= 50)), AND(AND(#REF!&gt;=2,#REF!&lt;=5), AND(#REF!&gt;= 1,#REF!&lt;= 19)) ),1,0)</definedName>
    <definedName name="FT_S" localSheetId="4">IF( OR(AND(#REF!&lt;2, AND(#REF!&gt;= 1,#REF!&lt;= 50)), AND(AND(#REF!&gt;=2,#REF!&lt;=5), AND(#REF!&gt;= 1,#REF!&lt;= 19)) ),1,0)</definedName>
    <definedName name="FT_S" localSheetId="6">IF( OR(AND(#REF!&lt;2, AND(#REF!&gt;= 1,#REF!&lt;= 50)), AND(AND(#REF!&gt;=2,#REF!&lt;=5), AND(#REF!&gt;= 1,#REF!&lt;= 19)) ),1,0)</definedName>
    <definedName name="FT_S" localSheetId="8">IF( OR(AND(#REF!&lt;2, AND(#REF!&gt;= 1,#REF!&lt;= 50)), AND(AND(#REF!&gt;=2,#REF!&lt;=5), AND(#REF!&gt;= 1,#REF!&lt;= 19)) ),1,0)</definedName>
    <definedName name="FT_S" localSheetId="10">IF( OR(AND(#REF!&lt;2, AND(#REF!&gt;= 1,#REF!&lt;= 50)), AND(AND(#REF!&gt;=2,#REF!&lt;=5), AND(#REF!&gt;= 1,#REF!&lt;= 19)) ),1,0)</definedName>
    <definedName name="FT_S" localSheetId="12">IF( OR(AND(#REF!&lt;2, AND(#REF!&gt;= 1,#REF!&lt;= 50)), AND(AND(#REF!&gt;=2,#REF!&lt;=5), AND(#REF!&gt;= 1,#REF!&lt;= 19)) ),1,0)</definedName>
    <definedName name="FT_S" localSheetId="14">IF( OR(AND(#REF!&lt;2, AND(#REF!&gt;= 1,#REF!&lt;= 50)), AND(AND(#REF!&gt;=2,#REF!&lt;=5), AND(#REF!&gt;= 1,#REF!&lt;= 19)) ),1,0)</definedName>
    <definedName name="FT_S" localSheetId="16">IF( OR(AND(#REF!&lt;2, AND(#REF!&gt;= 1,#REF!&lt;= 50)), AND(AND(#REF!&gt;=2,#REF!&lt;=5), AND(#REF!&gt;= 1,#REF!&lt;= 19)) ),1,0)</definedName>
    <definedName name="FT_S" localSheetId="18">IF( OR(AND(#REF!&lt;2, AND(#REF!&gt;= 1,#REF!&lt;= 50)), AND(AND(#REF!&gt;=2,#REF!&lt;=5), AND(#REF!&gt;= 1,#REF!&lt;= 19)) ),1,0)</definedName>
    <definedName name="FT_S" localSheetId="20">IF( OR(AND(#REF!&lt;2, AND(#REF!&gt;= 1,#REF!&lt;= 50)), AND(AND(#REF!&gt;=2,#REF!&lt;=5), AND(#REF!&gt;= 1,#REF!&lt;= 19)) ),1,0)</definedName>
    <definedName name="FT_S" localSheetId="22">IF( OR(AND(#REF!&lt;2, AND(#REF!&gt;= 1,#REF!&lt;= 50)), AND(AND(#REF!&gt;=2,#REF!&lt;=5), AND(#REF!&gt;= 1,#REF!&lt;= 19)) ),1,0)</definedName>
    <definedName name="FT_S" localSheetId="24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5">#REF!</definedName>
    <definedName name="Function_List" localSheetId="7">#REF!</definedName>
    <definedName name="Function_List" localSheetId="9">#REF!</definedName>
    <definedName name="Function_List" localSheetId="11">#REF!</definedName>
    <definedName name="Function_List" localSheetId="13">#REF!</definedName>
    <definedName name="Function_List" localSheetId="15">#REF!</definedName>
    <definedName name="Function_List" localSheetId="17">#REF!</definedName>
    <definedName name="Function_List" localSheetId="19">#REF!</definedName>
    <definedName name="Function_List" localSheetId="21">#REF!</definedName>
    <definedName name="Function_List" localSheetId="23">#REF!</definedName>
    <definedName name="Function_List" localSheetId="25">#REF!</definedName>
    <definedName name="Function_List" localSheetId="4">#REF!</definedName>
    <definedName name="Function_List" localSheetId="6">#REF!</definedName>
    <definedName name="Function_List" localSheetId="8">#REF!</definedName>
    <definedName name="Function_List" localSheetId="10">#REF!</definedName>
    <definedName name="Function_List" localSheetId="12">#REF!</definedName>
    <definedName name="Function_List" localSheetId="14">#REF!</definedName>
    <definedName name="Function_List" localSheetId="16">#REF!</definedName>
    <definedName name="Function_List" localSheetId="18">#REF!</definedName>
    <definedName name="Function_List" localSheetId="20">#REF!</definedName>
    <definedName name="Function_List" localSheetId="22">#REF!</definedName>
    <definedName name="Function_List" localSheetId="24">#REF!</definedName>
    <definedName name="Function_List">#REF!</definedName>
    <definedName name="Index">'[2]Data Vol'!$B$6:$E$6816</definedName>
    <definedName name="IT_A" localSheetId="5">IF( OR(AND(#REF!&lt;2,#REF!&gt;15), AND(#REF!=2, AND(#REF!&gt;= 5,#REF!&lt;= 15)), AND(#REF!&gt;2, AND(#REF!&gt;=1,#REF!&lt;= 4)) ),1,0)</definedName>
    <definedName name="IT_A" localSheetId="7">IF( OR(AND(#REF!&lt;2,#REF!&gt;15), AND(#REF!=2, AND(#REF!&gt;= 5,#REF!&lt;= 15)), AND(#REF!&gt;2, AND(#REF!&gt;=1,#REF!&lt;= 4)) ),1,0)</definedName>
    <definedName name="IT_A" localSheetId="9">IF( OR(AND(#REF!&lt;2,#REF!&gt;15), AND(#REF!=2, AND(#REF!&gt;= 5,#REF!&lt;= 15)), AND(#REF!&gt;2, AND(#REF!&gt;=1,#REF!&lt;= 4)) ),1,0)</definedName>
    <definedName name="IT_A" localSheetId="11">IF( OR(AND(#REF!&lt;2,#REF!&gt;15), AND(#REF!=2, AND(#REF!&gt;= 5,#REF!&lt;= 15)), AND(#REF!&gt;2, AND(#REF!&gt;=1,#REF!&lt;= 4)) ),1,0)</definedName>
    <definedName name="IT_A" localSheetId="13">IF( OR(AND(#REF!&lt;2,#REF!&gt;15), AND(#REF!=2, AND(#REF!&gt;= 5,#REF!&lt;= 15)), AND(#REF!&gt;2, AND(#REF!&gt;=1,#REF!&lt;= 4)) ),1,0)</definedName>
    <definedName name="IT_A" localSheetId="15">IF( OR(AND(#REF!&lt;2,#REF!&gt;15), AND(#REF!=2, AND(#REF!&gt;= 5,#REF!&lt;= 15)), AND(#REF!&gt;2, AND(#REF!&gt;=1,#REF!&lt;= 4)) ),1,0)</definedName>
    <definedName name="IT_A" localSheetId="17">IF( OR(AND(#REF!&lt;2,#REF!&gt;15), AND(#REF!=2, AND(#REF!&gt;= 5,#REF!&lt;= 15)), AND(#REF!&gt;2, AND(#REF!&gt;=1,#REF!&lt;= 4)) ),1,0)</definedName>
    <definedName name="IT_A" localSheetId="19">IF( OR(AND(#REF!&lt;2,#REF!&gt;15), AND(#REF!=2, AND(#REF!&gt;= 5,#REF!&lt;= 15)), AND(#REF!&gt;2, AND(#REF!&gt;=1,#REF!&lt;= 4)) ),1,0)</definedName>
    <definedName name="IT_A" localSheetId="21">IF( OR(AND(#REF!&lt;2,#REF!&gt;15), AND(#REF!=2, AND(#REF!&gt;= 5,#REF!&lt;= 15)), AND(#REF!&gt;2, AND(#REF!&gt;=1,#REF!&lt;= 4)) ),1,0)</definedName>
    <definedName name="IT_A" localSheetId="23">IF( OR(AND(#REF!&lt;2,#REF!&gt;15), AND(#REF!=2, AND(#REF!&gt;= 5,#REF!&lt;= 15)), AND(#REF!&gt;2, AND(#REF!&gt;=1,#REF!&lt;= 4)) ),1,0)</definedName>
    <definedName name="IT_A" localSheetId="25">IF( OR(AND(#REF!&lt;2,#REF!&gt;15), AND(#REF!=2, AND(#REF!&gt;= 5,#REF!&lt;= 15)), AND(#REF!&gt;2, AND(#REF!&gt;=1,#REF!&lt;= 4)) ),1,0)</definedName>
    <definedName name="IT_A" localSheetId="4">IF( OR(AND(#REF!&lt;2,#REF!&gt;15), AND(#REF!=2, AND(#REF!&gt;= 5,#REF!&lt;= 15)), AND(#REF!&gt;2, AND(#REF!&gt;=1,#REF!&lt;= 4)) ),1,0)</definedName>
    <definedName name="IT_A" localSheetId="6">IF( OR(AND(#REF!&lt;2,#REF!&gt;15), AND(#REF!=2, AND(#REF!&gt;= 5,#REF!&lt;= 15)), AND(#REF!&gt;2, AND(#REF!&gt;=1,#REF!&lt;= 4)) ),1,0)</definedName>
    <definedName name="IT_A" localSheetId="8">IF( OR(AND(#REF!&lt;2,#REF!&gt;15), AND(#REF!=2, AND(#REF!&gt;= 5,#REF!&lt;= 15)), AND(#REF!&gt;2, AND(#REF!&gt;=1,#REF!&lt;= 4)) ),1,0)</definedName>
    <definedName name="IT_A" localSheetId="10">IF( OR(AND(#REF!&lt;2,#REF!&gt;15), AND(#REF!=2, AND(#REF!&gt;= 5,#REF!&lt;= 15)), AND(#REF!&gt;2, AND(#REF!&gt;=1,#REF!&lt;= 4)) ),1,0)</definedName>
    <definedName name="IT_A" localSheetId="12">IF( OR(AND(#REF!&lt;2,#REF!&gt;15), AND(#REF!=2, AND(#REF!&gt;= 5,#REF!&lt;= 15)), AND(#REF!&gt;2, AND(#REF!&gt;=1,#REF!&lt;= 4)) ),1,0)</definedName>
    <definedName name="IT_A" localSheetId="14">IF( OR(AND(#REF!&lt;2,#REF!&gt;15), AND(#REF!=2, AND(#REF!&gt;= 5,#REF!&lt;= 15)), AND(#REF!&gt;2, AND(#REF!&gt;=1,#REF!&lt;= 4)) ),1,0)</definedName>
    <definedName name="IT_A" localSheetId="16">IF( OR(AND(#REF!&lt;2,#REF!&gt;15), AND(#REF!=2, AND(#REF!&gt;= 5,#REF!&lt;= 15)), AND(#REF!&gt;2, AND(#REF!&gt;=1,#REF!&lt;= 4)) ),1,0)</definedName>
    <definedName name="IT_A" localSheetId="18">IF( OR(AND(#REF!&lt;2,#REF!&gt;15), AND(#REF!=2, AND(#REF!&gt;= 5,#REF!&lt;= 15)), AND(#REF!&gt;2, AND(#REF!&gt;=1,#REF!&lt;= 4)) ),1,0)</definedName>
    <definedName name="IT_A" localSheetId="20">IF( OR(AND(#REF!&lt;2,#REF!&gt;15), AND(#REF!=2, AND(#REF!&gt;= 5,#REF!&lt;= 15)), AND(#REF!&gt;2, AND(#REF!&gt;=1,#REF!&lt;= 4)) ),1,0)</definedName>
    <definedName name="IT_A" localSheetId="22">IF( OR(AND(#REF!&lt;2,#REF!&gt;15), AND(#REF!=2, AND(#REF!&gt;= 5,#REF!&lt;= 15)), AND(#REF!&gt;2, AND(#REF!&gt;=1,#REF!&lt;= 4)) ),1,0)</definedName>
    <definedName name="IT_A" localSheetId="24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5">IF( OR(AND(#REF!=2,#REF!&gt; 15), AND(#REF!&gt;2,#REF!&gt;=  5) ),1,0)</definedName>
    <definedName name="IT_C" localSheetId="7">IF( OR(AND(#REF!=2,#REF!&gt; 15), AND(#REF!&gt;2,#REF!&gt;=  5) ),1,0)</definedName>
    <definedName name="IT_C" localSheetId="9">IF( OR(AND(#REF!=2,#REF!&gt; 15), AND(#REF!&gt;2,#REF!&gt;=  5) ),1,0)</definedName>
    <definedName name="IT_C" localSheetId="11">IF( OR(AND(#REF!=2,#REF!&gt; 15), AND(#REF!&gt;2,#REF!&gt;=  5) ),1,0)</definedName>
    <definedName name="IT_C" localSheetId="13">IF( OR(AND(#REF!=2,#REF!&gt; 15), AND(#REF!&gt;2,#REF!&gt;=  5) ),1,0)</definedName>
    <definedName name="IT_C" localSheetId="15">IF( OR(AND(#REF!=2,#REF!&gt; 15), AND(#REF!&gt;2,#REF!&gt;=  5) ),1,0)</definedName>
    <definedName name="IT_C" localSheetId="17">IF( OR(AND(#REF!=2,#REF!&gt; 15), AND(#REF!&gt;2,#REF!&gt;=  5) ),1,0)</definedName>
    <definedName name="IT_C" localSheetId="19">IF( OR(AND(#REF!=2,#REF!&gt; 15), AND(#REF!&gt;2,#REF!&gt;=  5) ),1,0)</definedName>
    <definedName name="IT_C" localSheetId="21">IF( OR(AND(#REF!=2,#REF!&gt; 15), AND(#REF!&gt;2,#REF!&gt;=  5) ),1,0)</definedName>
    <definedName name="IT_C" localSheetId="23">IF( OR(AND(#REF!=2,#REF!&gt; 15), AND(#REF!&gt;2,#REF!&gt;=  5) ),1,0)</definedName>
    <definedName name="IT_C" localSheetId="25">IF( OR(AND(#REF!=2,#REF!&gt; 15), AND(#REF!&gt;2,#REF!&gt;=  5) ),1,0)</definedName>
    <definedName name="IT_C" localSheetId="4">IF( OR(AND(#REF!=2,#REF!&gt; 15), AND(#REF!&gt;2,#REF!&gt;=  5) ),1,0)</definedName>
    <definedName name="IT_C" localSheetId="6">IF( OR(AND(#REF!=2,#REF!&gt; 15), AND(#REF!&gt;2,#REF!&gt;=  5) ),1,0)</definedName>
    <definedName name="IT_C" localSheetId="8">IF( OR(AND(#REF!=2,#REF!&gt; 15), AND(#REF!&gt;2,#REF!&gt;=  5) ),1,0)</definedName>
    <definedName name="IT_C" localSheetId="10">IF( OR(AND(#REF!=2,#REF!&gt; 15), AND(#REF!&gt;2,#REF!&gt;=  5) ),1,0)</definedName>
    <definedName name="IT_C" localSheetId="12">IF( OR(AND(#REF!=2,#REF!&gt; 15), AND(#REF!&gt;2,#REF!&gt;=  5) ),1,0)</definedName>
    <definedName name="IT_C" localSheetId="14">IF( OR(AND(#REF!=2,#REF!&gt; 15), AND(#REF!&gt;2,#REF!&gt;=  5) ),1,0)</definedName>
    <definedName name="IT_C" localSheetId="16">IF( OR(AND(#REF!=2,#REF!&gt; 15), AND(#REF!&gt;2,#REF!&gt;=  5) ),1,0)</definedName>
    <definedName name="IT_C" localSheetId="18">IF( OR(AND(#REF!=2,#REF!&gt; 15), AND(#REF!&gt;2,#REF!&gt;=  5) ),1,0)</definedName>
    <definedName name="IT_C" localSheetId="20">IF( OR(AND(#REF!=2,#REF!&gt; 15), AND(#REF!&gt;2,#REF!&gt;=  5) ),1,0)</definedName>
    <definedName name="IT_C" localSheetId="22">IF( OR(AND(#REF!=2,#REF!&gt; 15), AND(#REF!&gt;2,#REF!&gt;=  5) ),1,0)</definedName>
    <definedName name="IT_C" localSheetId="24">IF( OR(AND(#REF!=2,#REF!&gt; 15), AND(#REF!&gt;2,#REF!&gt;=  5) ),1,0)</definedName>
    <definedName name="IT_C">IF( OR(AND(#REF!=2,#REF!&gt; 15), AND(#REF!&gt;2,#REF!&gt;=  5) ),1,0)</definedName>
    <definedName name="IT_S" localSheetId="5">IF( OR(AND(#REF!&lt;2, AND(#REF!&gt;= 1,#REF!&lt;= 15)), AND(#REF!=2, AND(#REF!&gt;= 1,#REF!&lt;= 4)) ),1,0)</definedName>
    <definedName name="IT_S" localSheetId="7">IF( OR(AND(#REF!&lt;2, AND(#REF!&gt;= 1,#REF!&lt;= 15)), AND(#REF!=2, AND(#REF!&gt;= 1,#REF!&lt;= 4)) ),1,0)</definedName>
    <definedName name="IT_S" localSheetId="9">IF( OR(AND(#REF!&lt;2, AND(#REF!&gt;= 1,#REF!&lt;= 15)), AND(#REF!=2, AND(#REF!&gt;= 1,#REF!&lt;= 4)) ),1,0)</definedName>
    <definedName name="IT_S" localSheetId="11">IF( OR(AND(#REF!&lt;2, AND(#REF!&gt;= 1,#REF!&lt;= 15)), AND(#REF!=2, AND(#REF!&gt;= 1,#REF!&lt;= 4)) ),1,0)</definedName>
    <definedName name="IT_S" localSheetId="13">IF( OR(AND(#REF!&lt;2, AND(#REF!&gt;= 1,#REF!&lt;= 15)), AND(#REF!=2, AND(#REF!&gt;= 1,#REF!&lt;= 4)) ),1,0)</definedName>
    <definedName name="IT_S" localSheetId="15">IF( OR(AND(#REF!&lt;2, AND(#REF!&gt;= 1,#REF!&lt;= 15)), AND(#REF!=2, AND(#REF!&gt;= 1,#REF!&lt;= 4)) ),1,0)</definedName>
    <definedName name="IT_S" localSheetId="17">IF( OR(AND(#REF!&lt;2, AND(#REF!&gt;= 1,#REF!&lt;= 15)), AND(#REF!=2, AND(#REF!&gt;= 1,#REF!&lt;= 4)) ),1,0)</definedName>
    <definedName name="IT_S" localSheetId="19">IF( OR(AND(#REF!&lt;2, AND(#REF!&gt;= 1,#REF!&lt;= 15)), AND(#REF!=2, AND(#REF!&gt;= 1,#REF!&lt;= 4)) ),1,0)</definedName>
    <definedName name="IT_S" localSheetId="21">IF( OR(AND(#REF!&lt;2, AND(#REF!&gt;= 1,#REF!&lt;= 15)), AND(#REF!=2, AND(#REF!&gt;= 1,#REF!&lt;= 4)) ),1,0)</definedName>
    <definedName name="IT_S" localSheetId="23">IF( OR(AND(#REF!&lt;2, AND(#REF!&gt;= 1,#REF!&lt;= 15)), AND(#REF!=2, AND(#REF!&gt;= 1,#REF!&lt;= 4)) ),1,0)</definedName>
    <definedName name="IT_S" localSheetId="25">IF( OR(AND(#REF!&lt;2, AND(#REF!&gt;= 1,#REF!&lt;= 15)), AND(#REF!=2, AND(#REF!&gt;= 1,#REF!&lt;= 4)) ),1,0)</definedName>
    <definedName name="IT_S" localSheetId="4">IF( OR(AND(#REF!&lt;2, AND(#REF!&gt;= 1,#REF!&lt;= 15)), AND(#REF!=2, AND(#REF!&gt;= 1,#REF!&lt;= 4)) ),1,0)</definedName>
    <definedName name="IT_S" localSheetId="6">IF( OR(AND(#REF!&lt;2, AND(#REF!&gt;= 1,#REF!&lt;= 15)), AND(#REF!=2, AND(#REF!&gt;= 1,#REF!&lt;= 4)) ),1,0)</definedName>
    <definedName name="IT_S" localSheetId="8">IF( OR(AND(#REF!&lt;2, AND(#REF!&gt;= 1,#REF!&lt;= 15)), AND(#REF!=2, AND(#REF!&gt;= 1,#REF!&lt;= 4)) ),1,0)</definedName>
    <definedName name="IT_S" localSheetId="10">IF( OR(AND(#REF!&lt;2, AND(#REF!&gt;= 1,#REF!&lt;= 15)), AND(#REF!=2, AND(#REF!&gt;= 1,#REF!&lt;= 4)) ),1,0)</definedName>
    <definedName name="IT_S" localSheetId="12">IF( OR(AND(#REF!&lt;2, AND(#REF!&gt;= 1,#REF!&lt;= 15)), AND(#REF!=2, AND(#REF!&gt;= 1,#REF!&lt;= 4)) ),1,0)</definedName>
    <definedName name="IT_S" localSheetId="14">IF( OR(AND(#REF!&lt;2, AND(#REF!&gt;= 1,#REF!&lt;= 15)), AND(#REF!=2, AND(#REF!&gt;= 1,#REF!&lt;= 4)) ),1,0)</definedName>
    <definedName name="IT_S" localSheetId="16">IF( OR(AND(#REF!&lt;2, AND(#REF!&gt;= 1,#REF!&lt;= 15)), AND(#REF!=2, AND(#REF!&gt;= 1,#REF!&lt;= 4)) ),1,0)</definedName>
    <definedName name="IT_S" localSheetId="18">IF( OR(AND(#REF!&lt;2, AND(#REF!&gt;= 1,#REF!&lt;= 15)), AND(#REF!=2, AND(#REF!&gt;= 1,#REF!&lt;= 4)) ),1,0)</definedName>
    <definedName name="IT_S" localSheetId="20">IF( OR(AND(#REF!&lt;2, AND(#REF!&gt;= 1,#REF!&lt;= 15)), AND(#REF!=2, AND(#REF!&gt;= 1,#REF!&lt;= 4)) ),1,0)</definedName>
    <definedName name="IT_S" localSheetId="22">IF( OR(AND(#REF!&lt;2, AND(#REF!&gt;= 1,#REF!&lt;= 15)), AND(#REF!=2, AND(#REF!&gt;= 1,#REF!&lt;= 4)) ),1,0)</definedName>
    <definedName name="IT_S" localSheetId="24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5">[3]공수견적!#REF!</definedName>
    <definedName name="itsa_ratio_nrec" localSheetId="7">[3]공수견적!#REF!</definedName>
    <definedName name="itsa_ratio_nrec" localSheetId="9">[3]공수견적!#REF!</definedName>
    <definedName name="itsa_ratio_nrec" localSheetId="11">[3]공수견적!#REF!</definedName>
    <definedName name="itsa_ratio_nrec" localSheetId="13">[3]공수견적!#REF!</definedName>
    <definedName name="itsa_ratio_nrec" localSheetId="15">[3]공수견적!#REF!</definedName>
    <definedName name="itsa_ratio_nrec" localSheetId="17">[3]공수견적!#REF!</definedName>
    <definedName name="itsa_ratio_nrec" localSheetId="19">[3]공수견적!#REF!</definedName>
    <definedName name="itsa_ratio_nrec" localSheetId="21">[3]공수견적!#REF!</definedName>
    <definedName name="itsa_ratio_nrec" localSheetId="23">[3]공수견적!#REF!</definedName>
    <definedName name="itsa_ratio_nrec" localSheetId="25">[3]공수견적!#REF!</definedName>
    <definedName name="itsa_ratio_nrec" localSheetId="4">[3]공수견적!#REF!</definedName>
    <definedName name="itsa_ratio_nrec" localSheetId="6">[3]공수견적!#REF!</definedName>
    <definedName name="itsa_ratio_nrec" localSheetId="8">[3]공수견적!#REF!</definedName>
    <definedName name="itsa_ratio_nrec" localSheetId="10">[3]공수견적!#REF!</definedName>
    <definedName name="itsa_ratio_nrec" localSheetId="12">[3]공수견적!#REF!</definedName>
    <definedName name="itsa_ratio_nrec" localSheetId="14">[3]공수견적!#REF!</definedName>
    <definedName name="itsa_ratio_nrec" localSheetId="16">[3]공수견적!#REF!</definedName>
    <definedName name="itsa_ratio_nrec" localSheetId="18">[3]공수견적!#REF!</definedName>
    <definedName name="itsa_ratio_nrec" localSheetId="20">[3]공수견적!#REF!</definedName>
    <definedName name="itsa_ratio_nrec" localSheetId="22">[3]공수견적!#REF!</definedName>
    <definedName name="itsa_ratio_nrec" localSheetId="24">[3]공수견적!#REF!</definedName>
    <definedName name="itsa_ratio_nrec">[3]공수견적!#REF!</definedName>
    <definedName name="itsa_ratio_rec" localSheetId="5">[1]순수개발!#REF!</definedName>
    <definedName name="itsa_ratio_rec" localSheetId="7">[1]순수개발!#REF!</definedName>
    <definedName name="itsa_ratio_rec" localSheetId="9">[1]순수개발!#REF!</definedName>
    <definedName name="itsa_ratio_rec" localSheetId="11">[1]순수개발!#REF!</definedName>
    <definedName name="itsa_ratio_rec" localSheetId="13">[1]순수개발!#REF!</definedName>
    <definedName name="itsa_ratio_rec" localSheetId="15">[1]순수개발!#REF!</definedName>
    <definedName name="itsa_ratio_rec" localSheetId="17">[1]순수개발!#REF!</definedName>
    <definedName name="itsa_ratio_rec" localSheetId="19">[1]순수개발!#REF!</definedName>
    <definedName name="itsa_ratio_rec" localSheetId="21">[1]순수개발!#REF!</definedName>
    <definedName name="itsa_ratio_rec" localSheetId="23">[1]순수개발!#REF!</definedName>
    <definedName name="itsa_ratio_rec" localSheetId="25">[1]순수개발!#REF!</definedName>
    <definedName name="itsa_ratio_rec" localSheetId="4">[1]순수개발!#REF!</definedName>
    <definedName name="itsa_ratio_rec" localSheetId="6">[1]순수개발!#REF!</definedName>
    <definedName name="itsa_ratio_rec" localSheetId="8">[1]순수개발!#REF!</definedName>
    <definedName name="itsa_ratio_rec" localSheetId="10">[1]순수개발!#REF!</definedName>
    <definedName name="itsa_ratio_rec" localSheetId="12">[1]순수개발!#REF!</definedName>
    <definedName name="itsa_ratio_rec" localSheetId="14">[1]순수개발!#REF!</definedName>
    <definedName name="itsa_ratio_rec" localSheetId="16">[1]순수개발!#REF!</definedName>
    <definedName name="itsa_ratio_rec" localSheetId="18">[1]순수개발!#REF!</definedName>
    <definedName name="itsa_ratio_rec" localSheetId="20">[1]순수개발!#REF!</definedName>
    <definedName name="itsa_ratio_rec" localSheetId="22">[1]순수개발!#REF!</definedName>
    <definedName name="itsa_ratio_rec" localSheetId="24">[1]순수개발!#REF!</definedName>
    <definedName name="itsa_ratio_rec">[1]순수개발!#REF!</definedName>
    <definedName name="LastRow" localSheetId="5">#REF!</definedName>
    <definedName name="LastRow" localSheetId="7">#REF!</definedName>
    <definedName name="LastRow" localSheetId="9">#REF!</definedName>
    <definedName name="LastRow" localSheetId="11">#REF!</definedName>
    <definedName name="LastRow" localSheetId="13">#REF!</definedName>
    <definedName name="LastRow" localSheetId="15">#REF!</definedName>
    <definedName name="LastRow" localSheetId="17">#REF!</definedName>
    <definedName name="LastRow" localSheetId="19">#REF!</definedName>
    <definedName name="LastRow" localSheetId="21">#REF!</definedName>
    <definedName name="LastRow" localSheetId="23">#REF!</definedName>
    <definedName name="LastRow" localSheetId="25">#REF!</definedName>
    <definedName name="LastRow" localSheetId="4">#REF!</definedName>
    <definedName name="LastRow" localSheetId="6">#REF!</definedName>
    <definedName name="LastRow" localSheetId="8">#REF!</definedName>
    <definedName name="LastRow" localSheetId="10">#REF!</definedName>
    <definedName name="LastRow" localSheetId="12">#REF!</definedName>
    <definedName name="LastRow" localSheetId="14">#REF!</definedName>
    <definedName name="LastRow" localSheetId="16">#REF!</definedName>
    <definedName name="LastRow" localSheetId="18">#REF!</definedName>
    <definedName name="LastRow" localSheetId="20">#REF!</definedName>
    <definedName name="LastRow" localSheetId="22">#REF!</definedName>
    <definedName name="LastRow" localSheetId="24">#REF!</definedName>
    <definedName name="LastRow">#REF!</definedName>
    <definedName name="Modifier" localSheetId="5">#REF!</definedName>
    <definedName name="Modifier" localSheetId="7">#REF!</definedName>
    <definedName name="Modifier" localSheetId="9">#REF!</definedName>
    <definedName name="Modifier" localSheetId="11">#REF!</definedName>
    <definedName name="Modifier" localSheetId="13">#REF!</definedName>
    <definedName name="Modifier" localSheetId="15">#REF!</definedName>
    <definedName name="Modifier" localSheetId="17">#REF!</definedName>
    <definedName name="Modifier" localSheetId="19">#REF!</definedName>
    <definedName name="Modifier" localSheetId="21">#REF!</definedName>
    <definedName name="Modifier" localSheetId="23">#REF!</definedName>
    <definedName name="Modifier" localSheetId="25">#REF!</definedName>
    <definedName name="Modifier" localSheetId="4">#REF!</definedName>
    <definedName name="Modifier" localSheetId="6">#REF!</definedName>
    <definedName name="Modifier" localSheetId="8">#REF!</definedName>
    <definedName name="Modifier" localSheetId="10">#REF!</definedName>
    <definedName name="Modifier" localSheetId="12">#REF!</definedName>
    <definedName name="Modifier" localSheetId="14">#REF!</definedName>
    <definedName name="Modifier" localSheetId="16">#REF!</definedName>
    <definedName name="Modifier" localSheetId="18">#REF!</definedName>
    <definedName name="Modifier" localSheetId="20">#REF!</definedName>
    <definedName name="Modifier" localSheetId="22">#REF!</definedName>
    <definedName name="Modifier" localSheetId="24">#REF!</definedName>
    <definedName name="Modifier">#REF!</definedName>
    <definedName name="OT_A" localSheetId="5">IF( OR(AND(#REF!&lt;2,#REF!&gt;19), AND(AND(#REF!&gt;=2,#REF!&lt;= 3), AND(#REF!&gt;= 6,#REF!&lt;= 19)), AND(#REF!&gt;3, AND(#REF!&gt;= 1,#REF!&lt;= 5)) ),1,0)</definedName>
    <definedName name="OT_A" localSheetId="7">IF( OR(AND(#REF!&lt;2,#REF!&gt;19), AND(AND(#REF!&gt;=2,#REF!&lt;= 3), AND(#REF!&gt;= 6,#REF!&lt;= 19)), AND(#REF!&gt;3, AND(#REF!&gt;= 1,#REF!&lt;= 5)) ),1,0)</definedName>
    <definedName name="OT_A" localSheetId="9">IF( OR(AND(#REF!&lt;2,#REF!&gt;19), AND(AND(#REF!&gt;=2,#REF!&lt;= 3), AND(#REF!&gt;= 6,#REF!&lt;= 19)), AND(#REF!&gt;3, AND(#REF!&gt;= 1,#REF!&lt;= 5)) ),1,0)</definedName>
    <definedName name="OT_A" localSheetId="11">IF( OR(AND(#REF!&lt;2,#REF!&gt;19), AND(AND(#REF!&gt;=2,#REF!&lt;= 3), AND(#REF!&gt;= 6,#REF!&lt;= 19)), AND(#REF!&gt;3, AND(#REF!&gt;= 1,#REF!&lt;= 5)) ),1,0)</definedName>
    <definedName name="OT_A" localSheetId="13">IF( OR(AND(#REF!&lt;2,#REF!&gt;19), AND(AND(#REF!&gt;=2,#REF!&lt;= 3), AND(#REF!&gt;= 6,#REF!&lt;= 19)), AND(#REF!&gt;3, AND(#REF!&gt;= 1,#REF!&lt;= 5)) ),1,0)</definedName>
    <definedName name="OT_A" localSheetId="15">IF( OR(AND(#REF!&lt;2,#REF!&gt;19), AND(AND(#REF!&gt;=2,#REF!&lt;= 3), AND(#REF!&gt;= 6,#REF!&lt;= 19)), AND(#REF!&gt;3, AND(#REF!&gt;= 1,#REF!&lt;= 5)) ),1,0)</definedName>
    <definedName name="OT_A" localSheetId="17">IF( OR(AND(#REF!&lt;2,#REF!&gt;19), AND(AND(#REF!&gt;=2,#REF!&lt;= 3), AND(#REF!&gt;= 6,#REF!&lt;= 19)), AND(#REF!&gt;3, AND(#REF!&gt;= 1,#REF!&lt;= 5)) ),1,0)</definedName>
    <definedName name="OT_A" localSheetId="19">IF( OR(AND(#REF!&lt;2,#REF!&gt;19), AND(AND(#REF!&gt;=2,#REF!&lt;= 3), AND(#REF!&gt;= 6,#REF!&lt;= 19)), AND(#REF!&gt;3, AND(#REF!&gt;= 1,#REF!&lt;= 5)) ),1,0)</definedName>
    <definedName name="OT_A" localSheetId="21">IF( OR(AND(#REF!&lt;2,#REF!&gt;19), AND(AND(#REF!&gt;=2,#REF!&lt;= 3), AND(#REF!&gt;= 6,#REF!&lt;= 19)), AND(#REF!&gt;3, AND(#REF!&gt;= 1,#REF!&lt;= 5)) ),1,0)</definedName>
    <definedName name="OT_A" localSheetId="23">IF( OR(AND(#REF!&lt;2,#REF!&gt;19), AND(AND(#REF!&gt;=2,#REF!&lt;= 3), AND(#REF!&gt;= 6,#REF!&lt;= 19)), AND(#REF!&gt;3, AND(#REF!&gt;= 1,#REF!&lt;= 5)) ),1,0)</definedName>
    <definedName name="OT_A" localSheetId="25">IF( OR(AND(#REF!&lt;2,#REF!&gt;19), AND(AND(#REF!&gt;=2,#REF!&lt;= 3), AND(#REF!&gt;= 6,#REF!&lt;= 19)), AND(#REF!&gt;3, AND(#REF!&gt;= 1,#REF!&lt;= 5)) ),1,0)</definedName>
    <definedName name="OT_A" localSheetId="4">IF( OR(AND(#REF!&lt;2,#REF!&gt;19), AND(AND(#REF!&gt;=2,#REF!&lt;= 3), AND(#REF!&gt;= 6,#REF!&lt;= 19)), AND(#REF!&gt;3, AND(#REF!&gt;= 1,#REF!&lt;= 5)) ),1,0)</definedName>
    <definedName name="OT_A" localSheetId="6">IF( OR(AND(#REF!&lt;2,#REF!&gt;19), AND(AND(#REF!&gt;=2,#REF!&lt;= 3), AND(#REF!&gt;= 6,#REF!&lt;= 19)), AND(#REF!&gt;3, AND(#REF!&gt;= 1,#REF!&lt;= 5)) ),1,0)</definedName>
    <definedName name="OT_A" localSheetId="8">IF( OR(AND(#REF!&lt;2,#REF!&gt;19), AND(AND(#REF!&gt;=2,#REF!&lt;= 3), AND(#REF!&gt;= 6,#REF!&lt;= 19)), AND(#REF!&gt;3, AND(#REF!&gt;= 1,#REF!&lt;= 5)) ),1,0)</definedName>
    <definedName name="OT_A" localSheetId="10">IF( OR(AND(#REF!&lt;2,#REF!&gt;19), AND(AND(#REF!&gt;=2,#REF!&lt;= 3), AND(#REF!&gt;= 6,#REF!&lt;= 19)), AND(#REF!&gt;3, AND(#REF!&gt;= 1,#REF!&lt;= 5)) ),1,0)</definedName>
    <definedName name="OT_A" localSheetId="12">IF( OR(AND(#REF!&lt;2,#REF!&gt;19), AND(AND(#REF!&gt;=2,#REF!&lt;= 3), AND(#REF!&gt;= 6,#REF!&lt;= 19)), AND(#REF!&gt;3, AND(#REF!&gt;= 1,#REF!&lt;= 5)) ),1,0)</definedName>
    <definedName name="OT_A" localSheetId="14">IF( OR(AND(#REF!&lt;2,#REF!&gt;19), AND(AND(#REF!&gt;=2,#REF!&lt;= 3), AND(#REF!&gt;= 6,#REF!&lt;= 19)), AND(#REF!&gt;3, AND(#REF!&gt;= 1,#REF!&lt;= 5)) ),1,0)</definedName>
    <definedName name="OT_A" localSheetId="16">IF( OR(AND(#REF!&lt;2,#REF!&gt;19), AND(AND(#REF!&gt;=2,#REF!&lt;= 3), AND(#REF!&gt;= 6,#REF!&lt;= 19)), AND(#REF!&gt;3, AND(#REF!&gt;= 1,#REF!&lt;= 5)) ),1,0)</definedName>
    <definedName name="OT_A" localSheetId="18">IF( OR(AND(#REF!&lt;2,#REF!&gt;19), AND(AND(#REF!&gt;=2,#REF!&lt;= 3), AND(#REF!&gt;= 6,#REF!&lt;= 19)), AND(#REF!&gt;3, AND(#REF!&gt;= 1,#REF!&lt;= 5)) ),1,0)</definedName>
    <definedName name="OT_A" localSheetId="20">IF( OR(AND(#REF!&lt;2,#REF!&gt;19), AND(AND(#REF!&gt;=2,#REF!&lt;= 3), AND(#REF!&gt;= 6,#REF!&lt;= 19)), AND(#REF!&gt;3, AND(#REF!&gt;= 1,#REF!&lt;= 5)) ),1,0)</definedName>
    <definedName name="OT_A" localSheetId="22">IF( OR(AND(#REF!&lt;2,#REF!&gt;19), AND(AND(#REF!&gt;=2,#REF!&lt;= 3), AND(#REF!&gt;= 6,#REF!&lt;= 19)), AND(#REF!&gt;3, AND(#REF!&gt;= 1,#REF!&lt;= 5)) ),1,0)</definedName>
    <definedName name="OT_A" localSheetId="24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5">IF( OR(AND(AND(#REF!&gt;=2,#REF!&lt;=3),#REF!&gt; 19), AND(#REF!&gt;3,#REF!&gt;=  6) ),1,0)</definedName>
    <definedName name="OT_C" localSheetId="7">IF( OR(AND(AND(#REF!&gt;=2,#REF!&lt;=3),#REF!&gt; 19), AND(#REF!&gt;3,#REF!&gt;=  6) ),1,0)</definedName>
    <definedName name="OT_C" localSheetId="9">IF( OR(AND(AND(#REF!&gt;=2,#REF!&lt;=3),#REF!&gt; 19), AND(#REF!&gt;3,#REF!&gt;=  6) ),1,0)</definedName>
    <definedName name="OT_C" localSheetId="11">IF( OR(AND(AND(#REF!&gt;=2,#REF!&lt;=3),#REF!&gt; 19), AND(#REF!&gt;3,#REF!&gt;=  6) ),1,0)</definedName>
    <definedName name="OT_C" localSheetId="13">IF( OR(AND(AND(#REF!&gt;=2,#REF!&lt;=3),#REF!&gt; 19), AND(#REF!&gt;3,#REF!&gt;=  6) ),1,0)</definedName>
    <definedName name="OT_C" localSheetId="15">IF( OR(AND(AND(#REF!&gt;=2,#REF!&lt;=3),#REF!&gt; 19), AND(#REF!&gt;3,#REF!&gt;=  6) ),1,0)</definedName>
    <definedName name="OT_C" localSheetId="17">IF( OR(AND(AND(#REF!&gt;=2,#REF!&lt;=3),#REF!&gt; 19), AND(#REF!&gt;3,#REF!&gt;=  6) ),1,0)</definedName>
    <definedName name="OT_C" localSheetId="19">IF( OR(AND(AND(#REF!&gt;=2,#REF!&lt;=3),#REF!&gt; 19), AND(#REF!&gt;3,#REF!&gt;=  6) ),1,0)</definedName>
    <definedName name="OT_C" localSheetId="21">IF( OR(AND(AND(#REF!&gt;=2,#REF!&lt;=3),#REF!&gt; 19), AND(#REF!&gt;3,#REF!&gt;=  6) ),1,0)</definedName>
    <definedName name="OT_C" localSheetId="23">IF( OR(AND(AND(#REF!&gt;=2,#REF!&lt;=3),#REF!&gt; 19), AND(#REF!&gt;3,#REF!&gt;=  6) ),1,0)</definedName>
    <definedName name="OT_C" localSheetId="25">IF( OR(AND(AND(#REF!&gt;=2,#REF!&lt;=3),#REF!&gt; 19), AND(#REF!&gt;3,#REF!&gt;=  6) ),1,0)</definedName>
    <definedName name="OT_C" localSheetId="4">IF( OR(AND(AND(#REF!&gt;=2,#REF!&lt;=3),#REF!&gt; 19), AND(#REF!&gt;3,#REF!&gt;=  6) ),1,0)</definedName>
    <definedName name="OT_C" localSheetId="6">IF( OR(AND(AND(#REF!&gt;=2,#REF!&lt;=3),#REF!&gt; 19), AND(#REF!&gt;3,#REF!&gt;=  6) ),1,0)</definedName>
    <definedName name="OT_C" localSheetId="8">IF( OR(AND(AND(#REF!&gt;=2,#REF!&lt;=3),#REF!&gt; 19), AND(#REF!&gt;3,#REF!&gt;=  6) ),1,0)</definedName>
    <definedName name="OT_C" localSheetId="10">IF( OR(AND(AND(#REF!&gt;=2,#REF!&lt;=3),#REF!&gt; 19), AND(#REF!&gt;3,#REF!&gt;=  6) ),1,0)</definedName>
    <definedName name="OT_C" localSheetId="12">IF( OR(AND(AND(#REF!&gt;=2,#REF!&lt;=3),#REF!&gt; 19), AND(#REF!&gt;3,#REF!&gt;=  6) ),1,0)</definedName>
    <definedName name="OT_C" localSheetId="14">IF( OR(AND(AND(#REF!&gt;=2,#REF!&lt;=3),#REF!&gt; 19), AND(#REF!&gt;3,#REF!&gt;=  6) ),1,0)</definedName>
    <definedName name="OT_C" localSheetId="16">IF( OR(AND(AND(#REF!&gt;=2,#REF!&lt;=3),#REF!&gt; 19), AND(#REF!&gt;3,#REF!&gt;=  6) ),1,0)</definedName>
    <definedName name="OT_C" localSheetId="18">IF( OR(AND(AND(#REF!&gt;=2,#REF!&lt;=3),#REF!&gt; 19), AND(#REF!&gt;3,#REF!&gt;=  6) ),1,0)</definedName>
    <definedName name="OT_C" localSheetId="20">IF( OR(AND(AND(#REF!&gt;=2,#REF!&lt;=3),#REF!&gt; 19), AND(#REF!&gt;3,#REF!&gt;=  6) ),1,0)</definedName>
    <definedName name="OT_C" localSheetId="22">IF( OR(AND(AND(#REF!&gt;=2,#REF!&lt;=3),#REF!&gt; 19), AND(#REF!&gt;3,#REF!&gt;=  6) ),1,0)</definedName>
    <definedName name="OT_C" localSheetId="24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5">IF( OR(AND(#REF!&lt;2, AND(#REF!&gt;= 1,#REF!&lt;= 19)), AND(AND(#REF!&gt;=2,#REF!&lt;=3), AND(#REF!&gt;= 1,#REF!&lt;= 5)) ),1,0)</definedName>
    <definedName name="OT_S" localSheetId="7">IF( OR(AND(#REF!&lt;2, AND(#REF!&gt;= 1,#REF!&lt;= 19)), AND(AND(#REF!&gt;=2,#REF!&lt;=3), AND(#REF!&gt;= 1,#REF!&lt;= 5)) ),1,0)</definedName>
    <definedName name="OT_S" localSheetId="9">IF( OR(AND(#REF!&lt;2, AND(#REF!&gt;= 1,#REF!&lt;= 19)), AND(AND(#REF!&gt;=2,#REF!&lt;=3), AND(#REF!&gt;= 1,#REF!&lt;= 5)) ),1,0)</definedName>
    <definedName name="OT_S" localSheetId="11">IF( OR(AND(#REF!&lt;2, AND(#REF!&gt;= 1,#REF!&lt;= 19)), AND(AND(#REF!&gt;=2,#REF!&lt;=3), AND(#REF!&gt;= 1,#REF!&lt;= 5)) ),1,0)</definedName>
    <definedName name="OT_S" localSheetId="13">IF( OR(AND(#REF!&lt;2, AND(#REF!&gt;= 1,#REF!&lt;= 19)), AND(AND(#REF!&gt;=2,#REF!&lt;=3), AND(#REF!&gt;= 1,#REF!&lt;= 5)) ),1,0)</definedName>
    <definedName name="OT_S" localSheetId="15">IF( OR(AND(#REF!&lt;2, AND(#REF!&gt;= 1,#REF!&lt;= 19)), AND(AND(#REF!&gt;=2,#REF!&lt;=3), AND(#REF!&gt;= 1,#REF!&lt;= 5)) ),1,0)</definedName>
    <definedName name="OT_S" localSheetId="17">IF( OR(AND(#REF!&lt;2, AND(#REF!&gt;= 1,#REF!&lt;= 19)), AND(AND(#REF!&gt;=2,#REF!&lt;=3), AND(#REF!&gt;= 1,#REF!&lt;= 5)) ),1,0)</definedName>
    <definedName name="OT_S" localSheetId="19">IF( OR(AND(#REF!&lt;2, AND(#REF!&gt;= 1,#REF!&lt;= 19)), AND(AND(#REF!&gt;=2,#REF!&lt;=3), AND(#REF!&gt;= 1,#REF!&lt;= 5)) ),1,0)</definedName>
    <definedName name="OT_S" localSheetId="21">IF( OR(AND(#REF!&lt;2, AND(#REF!&gt;= 1,#REF!&lt;= 19)), AND(AND(#REF!&gt;=2,#REF!&lt;=3), AND(#REF!&gt;= 1,#REF!&lt;= 5)) ),1,0)</definedName>
    <definedName name="OT_S" localSheetId="23">IF( OR(AND(#REF!&lt;2, AND(#REF!&gt;= 1,#REF!&lt;= 19)), AND(AND(#REF!&gt;=2,#REF!&lt;=3), AND(#REF!&gt;= 1,#REF!&lt;= 5)) ),1,0)</definedName>
    <definedName name="OT_S" localSheetId="25">IF( OR(AND(#REF!&lt;2, AND(#REF!&gt;= 1,#REF!&lt;= 19)), AND(AND(#REF!&gt;=2,#REF!&lt;=3), AND(#REF!&gt;= 1,#REF!&lt;= 5)) ),1,0)</definedName>
    <definedName name="OT_S" localSheetId="4">IF( OR(AND(#REF!&lt;2, AND(#REF!&gt;= 1,#REF!&lt;= 19)), AND(AND(#REF!&gt;=2,#REF!&lt;=3), AND(#REF!&gt;= 1,#REF!&lt;= 5)) ),1,0)</definedName>
    <definedName name="OT_S" localSheetId="6">IF( OR(AND(#REF!&lt;2, AND(#REF!&gt;= 1,#REF!&lt;= 19)), AND(AND(#REF!&gt;=2,#REF!&lt;=3), AND(#REF!&gt;= 1,#REF!&lt;= 5)) ),1,0)</definedName>
    <definedName name="OT_S" localSheetId="8">IF( OR(AND(#REF!&lt;2, AND(#REF!&gt;= 1,#REF!&lt;= 19)), AND(AND(#REF!&gt;=2,#REF!&lt;=3), AND(#REF!&gt;= 1,#REF!&lt;= 5)) ),1,0)</definedName>
    <definedName name="OT_S" localSheetId="10">IF( OR(AND(#REF!&lt;2, AND(#REF!&gt;= 1,#REF!&lt;= 19)), AND(AND(#REF!&gt;=2,#REF!&lt;=3), AND(#REF!&gt;= 1,#REF!&lt;= 5)) ),1,0)</definedName>
    <definedName name="OT_S" localSheetId="12">IF( OR(AND(#REF!&lt;2, AND(#REF!&gt;= 1,#REF!&lt;= 19)), AND(AND(#REF!&gt;=2,#REF!&lt;=3), AND(#REF!&gt;= 1,#REF!&lt;= 5)) ),1,0)</definedName>
    <definedName name="OT_S" localSheetId="14">IF( OR(AND(#REF!&lt;2, AND(#REF!&gt;= 1,#REF!&lt;= 19)), AND(AND(#REF!&gt;=2,#REF!&lt;=3), AND(#REF!&gt;= 1,#REF!&lt;= 5)) ),1,0)</definedName>
    <definedName name="OT_S" localSheetId="16">IF( OR(AND(#REF!&lt;2, AND(#REF!&gt;= 1,#REF!&lt;= 19)), AND(AND(#REF!&gt;=2,#REF!&lt;=3), AND(#REF!&gt;= 1,#REF!&lt;= 5)) ),1,0)</definedName>
    <definedName name="OT_S" localSheetId="18">IF( OR(AND(#REF!&lt;2, AND(#REF!&gt;= 1,#REF!&lt;= 19)), AND(AND(#REF!&gt;=2,#REF!&lt;=3), AND(#REF!&gt;= 1,#REF!&lt;= 5)) ),1,0)</definedName>
    <definedName name="OT_S" localSheetId="20">IF( OR(AND(#REF!&lt;2, AND(#REF!&gt;= 1,#REF!&lt;= 19)), AND(AND(#REF!&gt;=2,#REF!&lt;=3), AND(#REF!&gt;= 1,#REF!&lt;= 5)) ),1,0)</definedName>
    <definedName name="OT_S" localSheetId="22">IF( OR(AND(#REF!&lt;2, AND(#REF!&gt;= 1,#REF!&lt;= 19)), AND(AND(#REF!&gt;=2,#REF!&lt;=3), AND(#REF!&gt;= 1,#REF!&lt;= 5)) ),1,0)</definedName>
    <definedName name="OT_S" localSheetId="24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_xlnm.Print_Area" localSheetId="1">문서승인!$A$1:$E$29</definedName>
    <definedName name="_xlnm.Print_Area" localSheetId="5">'진행율 입력_01.범위명'!$A$1:$CI$98</definedName>
    <definedName name="_xlnm.Print_Area" localSheetId="7">'진행율 입력_02.범위명'!$A$1:$CE$98</definedName>
    <definedName name="_xlnm.Print_Area" localSheetId="9">'진행율 입력_03.범위명'!$A$1:$CE$98</definedName>
    <definedName name="_xlnm.Print_Area" localSheetId="11">'진행율 입력_04.범위명'!$A$1:$CE$98</definedName>
    <definedName name="_xlnm.Print_Area" localSheetId="13">'진행율 입력_05.범위명'!$A$1:$CE$98</definedName>
    <definedName name="_xlnm.Print_Area" localSheetId="15">'진행율 입력_06.범위명'!$A$1:$CE$98</definedName>
    <definedName name="_xlnm.Print_Area" localSheetId="17">'진행율 입력_07.범위명'!$A$1:$CE$98</definedName>
    <definedName name="_xlnm.Print_Area" localSheetId="19">'진행율 입력_08.범위명'!$A$1:$CE$98</definedName>
    <definedName name="_xlnm.Print_Area" localSheetId="21">'진행율 입력_09.범위명'!$A$1:$CE$98</definedName>
    <definedName name="_xlnm.Print_Area" localSheetId="23">'진행율 입력_10.범위명'!$A$1:$CE$98</definedName>
    <definedName name="_xlnm.Print_Area" localSheetId="25">'진행율 입력_템플릿'!$A$1:$CE$98</definedName>
    <definedName name="_xlnm.Print_Area" localSheetId="4">진행현황_01.범위명!$A$1:$J$46</definedName>
    <definedName name="_xlnm.Print_Area" localSheetId="6">진행현황_02.범위명!$A$1:$J$53</definedName>
    <definedName name="_xlnm.Print_Area" localSheetId="8">진행현황_03.범위명!$A$1:$J$53</definedName>
    <definedName name="_xlnm.Print_Area" localSheetId="10">진행현황_04.범위명!$A$1:$J$53</definedName>
    <definedName name="_xlnm.Print_Area" localSheetId="12">진행현황_05.범위명!$A$1:$J$53</definedName>
    <definedName name="_xlnm.Print_Area" localSheetId="14">진행현황_06.범위명!$A$1:$J$53</definedName>
    <definedName name="_xlnm.Print_Area" localSheetId="16">진행현황_07.범위명!$A$1:$J$53</definedName>
    <definedName name="_xlnm.Print_Area" localSheetId="18">진행현황_08.범위명!$A$1:$J$53</definedName>
    <definedName name="_xlnm.Print_Area" localSheetId="20">진행현황_09.범위명!$A$1:$J$53</definedName>
    <definedName name="_xlnm.Print_Area" localSheetId="22">진행현황_10.범위명!$A$1:$J$53</definedName>
    <definedName name="_xlnm.Print_Area" localSheetId="3">진행현황_전체!$A$1:$N$54</definedName>
    <definedName name="_xlnm.Print_Area" localSheetId="24">진행현황_템플릿!$A$1:$J$53</definedName>
    <definedName name="_xlnm.Print_Area" localSheetId="0">표지!$A$2:$I$30</definedName>
    <definedName name="_xlnm.Print_Titles" localSheetId="1">문서승인!$1:$2</definedName>
    <definedName name="_xlnm.Print_Titles" localSheetId="2">제개정이력!$1:$2</definedName>
    <definedName name="_xlnm.Print_Titles" localSheetId="5">'진행율 입력_01.범위명'!$1:$8</definedName>
    <definedName name="_xlnm.Print_Titles" localSheetId="7">'진행율 입력_02.범위명'!$1:$8</definedName>
    <definedName name="_xlnm.Print_Titles" localSheetId="9">'진행율 입력_03.범위명'!$1:$8</definedName>
    <definedName name="_xlnm.Print_Titles" localSheetId="11">'진행율 입력_04.범위명'!$1:$8</definedName>
    <definedName name="_xlnm.Print_Titles" localSheetId="13">'진행율 입력_05.범위명'!$1:$8</definedName>
    <definedName name="_xlnm.Print_Titles" localSheetId="15">'진행율 입력_06.범위명'!$1:$8</definedName>
    <definedName name="_xlnm.Print_Titles" localSheetId="17">'진행율 입력_07.범위명'!$1:$8</definedName>
    <definedName name="_xlnm.Print_Titles" localSheetId="19">'진행율 입력_08.범위명'!$1:$8</definedName>
    <definedName name="_xlnm.Print_Titles" localSheetId="21">'진행율 입력_09.범위명'!$1:$8</definedName>
    <definedName name="_xlnm.Print_Titles" localSheetId="23">'진행율 입력_10.범위명'!$1:$8</definedName>
    <definedName name="_xlnm.Print_Titles" localSheetId="25">'진행율 입력_템플릿'!$1:$8</definedName>
    <definedName name="_xlnm.Print_Titles" localSheetId="4">진행현황_01.범위명!$1:$2</definedName>
    <definedName name="_xlnm.Print_Titles" localSheetId="6">진행현황_02.범위명!$1:$2</definedName>
    <definedName name="_xlnm.Print_Titles" localSheetId="8">진행현황_03.범위명!$1:$2</definedName>
    <definedName name="_xlnm.Print_Titles" localSheetId="10">진행현황_04.범위명!$1:$2</definedName>
    <definedName name="_xlnm.Print_Titles" localSheetId="12">진행현황_05.범위명!$1:$2</definedName>
    <definedName name="_xlnm.Print_Titles" localSheetId="14">진행현황_06.범위명!$1:$2</definedName>
    <definedName name="_xlnm.Print_Titles" localSheetId="16">진행현황_07.범위명!$1:$2</definedName>
    <definedName name="_xlnm.Print_Titles" localSheetId="18">진행현황_08.범위명!$1:$2</definedName>
    <definedName name="_xlnm.Print_Titles" localSheetId="20">진행현황_09.범위명!$1:$2</definedName>
    <definedName name="_xlnm.Print_Titles" localSheetId="22">진행현황_10.범위명!$1:$2</definedName>
    <definedName name="_xlnm.Print_Titles" localSheetId="3">진행현황_전체!$1:$2</definedName>
    <definedName name="_xlnm.Print_Titles" localSheetId="24">진행현황_템플릿!$1:$2</definedName>
    <definedName name="QT_A" localSheetId="5">IF( OR(AND(#REF!&lt;2,#REF!&gt;19), AND(AND(#REF!&gt;=2,#REF!&lt;= 3), AND(#REF!&gt;= 6,#REF!&lt;= 19)), AND(#REF!&gt;3, AND(#REF!&gt;= 1,#REF!&lt;= 5)) ),1,0)</definedName>
    <definedName name="QT_A" localSheetId="7">IF( OR(AND(#REF!&lt;2,#REF!&gt;19), AND(AND(#REF!&gt;=2,#REF!&lt;= 3), AND(#REF!&gt;= 6,#REF!&lt;= 19)), AND(#REF!&gt;3, AND(#REF!&gt;= 1,#REF!&lt;= 5)) ),1,0)</definedName>
    <definedName name="QT_A" localSheetId="9">IF( OR(AND(#REF!&lt;2,#REF!&gt;19), AND(AND(#REF!&gt;=2,#REF!&lt;= 3), AND(#REF!&gt;= 6,#REF!&lt;= 19)), AND(#REF!&gt;3, AND(#REF!&gt;= 1,#REF!&lt;= 5)) ),1,0)</definedName>
    <definedName name="QT_A" localSheetId="11">IF( OR(AND(#REF!&lt;2,#REF!&gt;19), AND(AND(#REF!&gt;=2,#REF!&lt;= 3), AND(#REF!&gt;= 6,#REF!&lt;= 19)), AND(#REF!&gt;3, AND(#REF!&gt;= 1,#REF!&lt;= 5)) ),1,0)</definedName>
    <definedName name="QT_A" localSheetId="13">IF( OR(AND(#REF!&lt;2,#REF!&gt;19), AND(AND(#REF!&gt;=2,#REF!&lt;= 3), AND(#REF!&gt;= 6,#REF!&lt;= 19)), AND(#REF!&gt;3, AND(#REF!&gt;= 1,#REF!&lt;= 5)) ),1,0)</definedName>
    <definedName name="QT_A" localSheetId="15">IF( OR(AND(#REF!&lt;2,#REF!&gt;19), AND(AND(#REF!&gt;=2,#REF!&lt;= 3), AND(#REF!&gt;= 6,#REF!&lt;= 19)), AND(#REF!&gt;3, AND(#REF!&gt;= 1,#REF!&lt;= 5)) ),1,0)</definedName>
    <definedName name="QT_A" localSheetId="17">IF( OR(AND(#REF!&lt;2,#REF!&gt;19), AND(AND(#REF!&gt;=2,#REF!&lt;= 3), AND(#REF!&gt;= 6,#REF!&lt;= 19)), AND(#REF!&gt;3, AND(#REF!&gt;= 1,#REF!&lt;= 5)) ),1,0)</definedName>
    <definedName name="QT_A" localSheetId="19">IF( OR(AND(#REF!&lt;2,#REF!&gt;19), AND(AND(#REF!&gt;=2,#REF!&lt;= 3), AND(#REF!&gt;= 6,#REF!&lt;= 19)), AND(#REF!&gt;3, AND(#REF!&gt;= 1,#REF!&lt;= 5)) ),1,0)</definedName>
    <definedName name="QT_A" localSheetId="21">IF( OR(AND(#REF!&lt;2,#REF!&gt;19), AND(AND(#REF!&gt;=2,#REF!&lt;= 3), AND(#REF!&gt;= 6,#REF!&lt;= 19)), AND(#REF!&gt;3, AND(#REF!&gt;= 1,#REF!&lt;= 5)) ),1,0)</definedName>
    <definedName name="QT_A" localSheetId="23">IF( OR(AND(#REF!&lt;2,#REF!&gt;19), AND(AND(#REF!&gt;=2,#REF!&lt;= 3), AND(#REF!&gt;= 6,#REF!&lt;= 19)), AND(#REF!&gt;3, AND(#REF!&gt;= 1,#REF!&lt;= 5)) ),1,0)</definedName>
    <definedName name="QT_A" localSheetId="25">IF( OR(AND(#REF!&lt;2,#REF!&gt;19), AND(AND(#REF!&gt;=2,#REF!&lt;= 3), AND(#REF!&gt;= 6,#REF!&lt;= 19)), AND(#REF!&gt;3, AND(#REF!&gt;= 1,#REF!&lt;= 5)) ),1,0)</definedName>
    <definedName name="QT_A" localSheetId="4">IF( OR(AND(#REF!&lt;2,#REF!&gt;19), AND(AND(#REF!&gt;=2,#REF!&lt;= 3), AND(#REF!&gt;= 6,#REF!&lt;= 19)), AND(#REF!&gt;3, AND(#REF!&gt;= 1,#REF!&lt;= 5)) ),1,0)</definedName>
    <definedName name="QT_A" localSheetId="6">IF( OR(AND(#REF!&lt;2,#REF!&gt;19), AND(AND(#REF!&gt;=2,#REF!&lt;= 3), AND(#REF!&gt;= 6,#REF!&lt;= 19)), AND(#REF!&gt;3, AND(#REF!&gt;= 1,#REF!&lt;= 5)) ),1,0)</definedName>
    <definedName name="QT_A" localSheetId="8">IF( OR(AND(#REF!&lt;2,#REF!&gt;19), AND(AND(#REF!&gt;=2,#REF!&lt;= 3), AND(#REF!&gt;= 6,#REF!&lt;= 19)), AND(#REF!&gt;3, AND(#REF!&gt;= 1,#REF!&lt;= 5)) ),1,0)</definedName>
    <definedName name="QT_A" localSheetId="10">IF( OR(AND(#REF!&lt;2,#REF!&gt;19), AND(AND(#REF!&gt;=2,#REF!&lt;= 3), AND(#REF!&gt;= 6,#REF!&lt;= 19)), AND(#REF!&gt;3, AND(#REF!&gt;= 1,#REF!&lt;= 5)) ),1,0)</definedName>
    <definedName name="QT_A" localSheetId="12">IF( OR(AND(#REF!&lt;2,#REF!&gt;19), AND(AND(#REF!&gt;=2,#REF!&lt;= 3), AND(#REF!&gt;= 6,#REF!&lt;= 19)), AND(#REF!&gt;3, AND(#REF!&gt;= 1,#REF!&lt;= 5)) ),1,0)</definedName>
    <definedName name="QT_A" localSheetId="14">IF( OR(AND(#REF!&lt;2,#REF!&gt;19), AND(AND(#REF!&gt;=2,#REF!&lt;= 3), AND(#REF!&gt;= 6,#REF!&lt;= 19)), AND(#REF!&gt;3, AND(#REF!&gt;= 1,#REF!&lt;= 5)) ),1,0)</definedName>
    <definedName name="QT_A" localSheetId="16">IF( OR(AND(#REF!&lt;2,#REF!&gt;19), AND(AND(#REF!&gt;=2,#REF!&lt;= 3), AND(#REF!&gt;= 6,#REF!&lt;= 19)), AND(#REF!&gt;3, AND(#REF!&gt;= 1,#REF!&lt;= 5)) ),1,0)</definedName>
    <definedName name="QT_A" localSheetId="18">IF( OR(AND(#REF!&lt;2,#REF!&gt;19), AND(AND(#REF!&gt;=2,#REF!&lt;= 3), AND(#REF!&gt;= 6,#REF!&lt;= 19)), AND(#REF!&gt;3, AND(#REF!&gt;= 1,#REF!&lt;= 5)) ),1,0)</definedName>
    <definedName name="QT_A" localSheetId="20">IF( OR(AND(#REF!&lt;2,#REF!&gt;19), AND(AND(#REF!&gt;=2,#REF!&lt;= 3), AND(#REF!&gt;= 6,#REF!&lt;= 19)), AND(#REF!&gt;3, AND(#REF!&gt;= 1,#REF!&lt;= 5)) ),1,0)</definedName>
    <definedName name="QT_A" localSheetId="22">IF( OR(AND(#REF!&lt;2,#REF!&gt;19), AND(AND(#REF!&gt;=2,#REF!&lt;= 3), AND(#REF!&gt;= 6,#REF!&lt;= 19)), AND(#REF!&gt;3, AND(#REF!&gt;= 1,#REF!&lt;= 5)) ),1,0)</definedName>
    <definedName name="QT_A" localSheetId="24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5">IF( OR(AND(AND(#REF!&gt;=2,#REF!&lt;=3),#REF!&gt; 19), AND(#REF!&gt;3,#REF!&gt;=  6) ),1,0)</definedName>
    <definedName name="QT_C" localSheetId="7">IF( OR(AND(AND(#REF!&gt;=2,#REF!&lt;=3),#REF!&gt; 19), AND(#REF!&gt;3,#REF!&gt;=  6) ),1,0)</definedName>
    <definedName name="QT_C" localSheetId="9">IF( OR(AND(AND(#REF!&gt;=2,#REF!&lt;=3),#REF!&gt; 19), AND(#REF!&gt;3,#REF!&gt;=  6) ),1,0)</definedName>
    <definedName name="QT_C" localSheetId="11">IF( OR(AND(AND(#REF!&gt;=2,#REF!&lt;=3),#REF!&gt; 19), AND(#REF!&gt;3,#REF!&gt;=  6) ),1,0)</definedName>
    <definedName name="QT_C" localSheetId="13">IF( OR(AND(AND(#REF!&gt;=2,#REF!&lt;=3),#REF!&gt; 19), AND(#REF!&gt;3,#REF!&gt;=  6) ),1,0)</definedName>
    <definedName name="QT_C" localSheetId="15">IF( OR(AND(AND(#REF!&gt;=2,#REF!&lt;=3),#REF!&gt; 19), AND(#REF!&gt;3,#REF!&gt;=  6) ),1,0)</definedName>
    <definedName name="QT_C" localSheetId="17">IF( OR(AND(AND(#REF!&gt;=2,#REF!&lt;=3),#REF!&gt; 19), AND(#REF!&gt;3,#REF!&gt;=  6) ),1,0)</definedName>
    <definedName name="QT_C" localSheetId="19">IF( OR(AND(AND(#REF!&gt;=2,#REF!&lt;=3),#REF!&gt; 19), AND(#REF!&gt;3,#REF!&gt;=  6) ),1,0)</definedName>
    <definedName name="QT_C" localSheetId="21">IF( OR(AND(AND(#REF!&gt;=2,#REF!&lt;=3),#REF!&gt; 19), AND(#REF!&gt;3,#REF!&gt;=  6) ),1,0)</definedName>
    <definedName name="QT_C" localSheetId="23">IF( OR(AND(AND(#REF!&gt;=2,#REF!&lt;=3),#REF!&gt; 19), AND(#REF!&gt;3,#REF!&gt;=  6) ),1,0)</definedName>
    <definedName name="QT_C" localSheetId="25">IF( OR(AND(AND(#REF!&gt;=2,#REF!&lt;=3),#REF!&gt; 19), AND(#REF!&gt;3,#REF!&gt;=  6) ),1,0)</definedName>
    <definedName name="QT_C" localSheetId="4">IF( OR(AND(AND(#REF!&gt;=2,#REF!&lt;=3),#REF!&gt; 19), AND(#REF!&gt;3,#REF!&gt;=  6) ),1,0)</definedName>
    <definedName name="QT_C" localSheetId="6">IF( OR(AND(AND(#REF!&gt;=2,#REF!&lt;=3),#REF!&gt; 19), AND(#REF!&gt;3,#REF!&gt;=  6) ),1,0)</definedName>
    <definedName name="QT_C" localSheetId="8">IF( OR(AND(AND(#REF!&gt;=2,#REF!&lt;=3),#REF!&gt; 19), AND(#REF!&gt;3,#REF!&gt;=  6) ),1,0)</definedName>
    <definedName name="QT_C" localSheetId="10">IF( OR(AND(AND(#REF!&gt;=2,#REF!&lt;=3),#REF!&gt; 19), AND(#REF!&gt;3,#REF!&gt;=  6) ),1,0)</definedName>
    <definedName name="QT_C" localSheetId="12">IF( OR(AND(AND(#REF!&gt;=2,#REF!&lt;=3),#REF!&gt; 19), AND(#REF!&gt;3,#REF!&gt;=  6) ),1,0)</definedName>
    <definedName name="QT_C" localSheetId="14">IF( OR(AND(AND(#REF!&gt;=2,#REF!&lt;=3),#REF!&gt; 19), AND(#REF!&gt;3,#REF!&gt;=  6) ),1,0)</definedName>
    <definedName name="QT_C" localSheetId="16">IF( OR(AND(AND(#REF!&gt;=2,#REF!&lt;=3),#REF!&gt; 19), AND(#REF!&gt;3,#REF!&gt;=  6) ),1,0)</definedName>
    <definedName name="QT_C" localSheetId="18">IF( OR(AND(AND(#REF!&gt;=2,#REF!&lt;=3),#REF!&gt; 19), AND(#REF!&gt;3,#REF!&gt;=  6) ),1,0)</definedName>
    <definedName name="QT_C" localSheetId="20">IF( OR(AND(AND(#REF!&gt;=2,#REF!&lt;=3),#REF!&gt; 19), AND(#REF!&gt;3,#REF!&gt;=  6) ),1,0)</definedName>
    <definedName name="QT_C" localSheetId="22">IF( OR(AND(AND(#REF!&gt;=2,#REF!&lt;=3),#REF!&gt; 19), AND(#REF!&gt;3,#REF!&gt;=  6) ),1,0)</definedName>
    <definedName name="QT_C" localSheetId="24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5">IF( OR(AND(#REF!&lt;2, AND(#REF!&gt;= 1,#REF!&lt;= 19)), AND(AND(#REF!&gt;=2,#REF!&lt;=3), AND(#REF!&gt;= 1,#REF!&lt;= 5)) ),1,0)</definedName>
    <definedName name="QT_S" localSheetId="7">IF( OR(AND(#REF!&lt;2, AND(#REF!&gt;= 1,#REF!&lt;= 19)), AND(AND(#REF!&gt;=2,#REF!&lt;=3), AND(#REF!&gt;= 1,#REF!&lt;= 5)) ),1,0)</definedName>
    <definedName name="QT_S" localSheetId="9">IF( OR(AND(#REF!&lt;2, AND(#REF!&gt;= 1,#REF!&lt;= 19)), AND(AND(#REF!&gt;=2,#REF!&lt;=3), AND(#REF!&gt;= 1,#REF!&lt;= 5)) ),1,0)</definedName>
    <definedName name="QT_S" localSheetId="11">IF( OR(AND(#REF!&lt;2, AND(#REF!&gt;= 1,#REF!&lt;= 19)), AND(AND(#REF!&gt;=2,#REF!&lt;=3), AND(#REF!&gt;= 1,#REF!&lt;= 5)) ),1,0)</definedName>
    <definedName name="QT_S" localSheetId="13">IF( OR(AND(#REF!&lt;2, AND(#REF!&gt;= 1,#REF!&lt;= 19)), AND(AND(#REF!&gt;=2,#REF!&lt;=3), AND(#REF!&gt;= 1,#REF!&lt;= 5)) ),1,0)</definedName>
    <definedName name="QT_S" localSheetId="15">IF( OR(AND(#REF!&lt;2, AND(#REF!&gt;= 1,#REF!&lt;= 19)), AND(AND(#REF!&gt;=2,#REF!&lt;=3), AND(#REF!&gt;= 1,#REF!&lt;= 5)) ),1,0)</definedName>
    <definedName name="QT_S" localSheetId="17">IF( OR(AND(#REF!&lt;2, AND(#REF!&gt;= 1,#REF!&lt;= 19)), AND(AND(#REF!&gt;=2,#REF!&lt;=3), AND(#REF!&gt;= 1,#REF!&lt;= 5)) ),1,0)</definedName>
    <definedName name="QT_S" localSheetId="19">IF( OR(AND(#REF!&lt;2, AND(#REF!&gt;= 1,#REF!&lt;= 19)), AND(AND(#REF!&gt;=2,#REF!&lt;=3), AND(#REF!&gt;= 1,#REF!&lt;= 5)) ),1,0)</definedName>
    <definedName name="QT_S" localSheetId="21">IF( OR(AND(#REF!&lt;2, AND(#REF!&gt;= 1,#REF!&lt;= 19)), AND(AND(#REF!&gt;=2,#REF!&lt;=3), AND(#REF!&gt;= 1,#REF!&lt;= 5)) ),1,0)</definedName>
    <definedName name="QT_S" localSheetId="23">IF( OR(AND(#REF!&lt;2, AND(#REF!&gt;= 1,#REF!&lt;= 19)), AND(AND(#REF!&gt;=2,#REF!&lt;=3), AND(#REF!&gt;= 1,#REF!&lt;= 5)) ),1,0)</definedName>
    <definedName name="QT_S" localSheetId="25">IF( OR(AND(#REF!&lt;2, AND(#REF!&gt;= 1,#REF!&lt;= 19)), AND(AND(#REF!&gt;=2,#REF!&lt;=3), AND(#REF!&gt;= 1,#REF!&lt;= 5)) ),1,0)</definedName>
    <definedName name="QT_S" localSheetId="4">IF( OR(AND(#REF!&lt;2, AND(#REF!&gt;= 1,#REF!&lt;= 19)), AND(AND(#REF!&gt;=2,#REF!&lt;=3), AND(#REF!&gt;= 1,#REF!&lt;= 5)) ),1,0)</definedName>
    <definedName name="QT_S" localSheetId="6">IF( OR(AND(#REF!&lt;2, AND(#REF!&gt;= 1,#REF!&lt;= 19)), AND(AND(#REF!&gt;=2,#REF!&lt;=3), AND(#REF!&gt;= 1,#REF!&lt;= 5)) ),1,0)</definedName>
    <definedName name="QT_S" localSheetId="8">IF( OR(AND(#REF!&lt;2, AND(#REF!&gt;= 1,#REF!&lt;= 19)), AND(AND(#REF!&gt;=2,#REF!&lt;=3), AND(#REF!&gt;= 1,#REF!&lt;= 5)) ),1,0)</definedName>
    <definedName name="QT_S" localSheetId="10">IF( OR(AND(#REF!&lt;2, AND(#REF!&gt;= 1,#REF!&lt;= 19)), AND(AND(#REF!&gt;=2,#REF!&lt;=3), AND(#REF!&gt;= 1,#REF!&lt;= 5)) ),1,0)</definedName>
    <definedName name="QT_S" localSheetId="12">IF( OR(AND(#REF!&lt;2, AND(#REF!&gt;= 1,#REF!&lt;= 19)), AND(AND(#REF!&gt;=2,#REF!&lt;=3), AND(#REF!&gt;= 1,#REF!&lt;= 5)) ),1,0)</definedName>
    <definedName name="QT_S" localSheetId="14">IF( OR(AND(#REF!&lt;2, AND(#REF!&gt;= 1,#REF!&lt;= 19)), AND(AND(#REF!&gt;=2,#REF!&lt;=3), AND(#REF!&gt;= 1,#REF!&lt;= 5)) ),1,0)</definedName>
    <definedName name="QT_S" localSheetId="16">IF( OR(AND(#REF!&lt;2, AND(#REF!&gt;= 1,#REF!&lt;= 19)), AND(AND(#REF!&gt;=2,#REF!&lt;=3), AND(#REF!&gt;= 1,#REF!&lt;= 5)) ),1,0)</definedName>
    <definedName name="QT_S" localSheetId="18">IF( OR(AND(#REF!&lt;2, AND(#REF!&gt;= 1,#REF!&lt;= 19)), AND(AND(#REF!&gt;=2,#REF!&lt;=3), AND(#REF!&gt;= 1,#REF!&lt;= 5)) ),1,0)</definedName>
    <definedName name="QT_S" localSheetId="20">IF( OR(AND(#REF!&lt;2, AND(#REF!&gt;= 1,#REF!&lt;= 19)), AND(AND(#REF!&gt;=2,#REF!&lt;=3), AND(#REF!&gt;= 1,#REF!&lt;= 5)) ),1,0)</definedName>
    <definedName name="QT_S" localSheetId="22">IF( OR(AND(#REF!&lt;2, AND(#REF!&gt;= 1,#REF!&lt;= 19)), AND(AND(#REF!&gt;=2,#REF!&lt;=3), AND(#REF!&gt;= 1,#REF!&lt;= 5)) ),1,0)</definedName>
    <definedName name="QT_S" localSheetId="24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95" l="1"/>
  <c r="J11" i="95"/>
  <c r="J97" i="59"/>
  <c r="J96" i="59"/>
  <c r="J95" i="59"/>
  <c r="J94" i="59"/>
  <c r="J93" i="59"/>
  <c r="J92" i="59"/>
  <c r="J91" i="59"/>
  <c r="J90" i="59"/>
  <c r="J89" i="59"/>
  <c r="J88" i="59"/>
  <c r="J86" i="59"/>
  <c r="J85" i="59"/>
  <c r="J84" i="59"/>
  <c r="J83" i="59"/>
  <c r="J82" i="59"/>
  <c r="J81" i="59"/>
  <c r="J80" i="59"/>
  <c r="J79" i="59"/>
  <c r="J78" i="59"/>
  <c r="J77" i="59"/>
  <c r="J75" i="59"/>
  <c r="J74" i="59"/>
  <c r="J73" i="59"/>
  <c r="J72" i="59"/>
  <c r="J71" i="59"/>
  <c r="J70" i="59"/>
  <c r="J69" i="59"/>
  <c r="J68" i="59"/>
  <c r="J67" i="59"/>
  <c r="J66" i="59"/>
  <c r="J64" i="59"/>
  <c r="J63" i="59"/>
  <c r="J62" i="59"/>
  <c r="J61" i="59"/>
  <c r="J60" i="59"/>
  <c r="J59" i="59"/>
  <c r="J58" i="59"/>
  <c r="J57" i="59"/>
  <c r="J56" i="59"/>
  <c r="J55" i="59"/>
  <c r="J53" i="59"/>
  <c r="J52" i="59"/>
  <c r="J51" i="59"/>
  <c r="J50" i="59"/>
  <c r="J49" i="59"/>
  <c r="J48" i="59"/>
  <c r="J47" i="59"/>
  <c r="J46" i="59"/>
  <c r="J45" i="59"/>
  <c r="J44" i="59"/>
  <c r="J42" i="59"/>
  <c r="J41" i="59"/>
  <c r="J40" i="59"/>
  <c r="J39" i="59"/>
  <c r="J38" i="59"/>
  <c r="J37" i="59"/>
  <c r="J36" i="59"/>
  <c r="J35" i="59"/>
  <c r="J34" i="59"/>
  <c r="J33" i="59"/>
  <c r="J31" i="59"/>
  <c r="J30" i="59"/>
  <c r="J29" i="59"/>
  <c r="J28" i="59"/>
  <c r="J27" i="59"/>
  <c r="J26" i="59"/>
  <c r="J25" i="59"/>
  <c r="J24" i="59"/>
  <c r="J23" i="59"/>
  <c r="J22" i="59"/>
  <c r="J20" i="59"/>
  <c r="J19" i="59"/>
  <c r="J18" i="59"/>
  <c r="J17" i="59"/>
  <c r="J16" i="59"/>
  <c r="J15" i="59"/>
  <c r="J14" i="59"/>
  <c r="J13" i="59"/>
  <c r="J12" i="59"/>
  <c r="J11" i="59"/>
  <c r="J97" i="113"/>
  <c r="J96" i="113"/>
  <c r="J95" i="113"/>
  <c r="J94" i="113"/>
  <c r="J93" i="113"/>
  <c r="J92" i="113"/>
  <c r="J91" i="113"/>
  <c r="J90" i="113"/>
  <c r="J89" i="113"/>
  <c r="J88" i="113"/>
  <c r="J86" i="113"/>
  <c r="J85" i="113"/>
  <c r="J84" i="113"/>
  <c r="J83" i="113"/>
  <c r="J82" i="113"/>
  <c r="J81" i="113"/>
  <c r="J80" i="113"/>
  <c r="J79" i="113"/>
  <c r="J78" i="113"/>
  <c r="J77" i="113"/>
  <c r="J75" i="113"/>
  <c r="J74" i="113"/>
  <c r="J73" i="113"/>
  <c r="J72" i="113"/>
  <c r="J71" i="113"/>
  <c r="J70" i="113"/>
  <c r="J69" i="113"/>
  <c r="J68" i="113"/>
  <c r="J67" i="113"/>
  <c r="J66" i="113"/>
  <c r="J64" i="113"/>
  <c r="J63" i="113"/>
  <c r="J62" i="113"/>
  <c r="J61" i="113"/>
  <c r="J60" i="113"/>
  <c r="J59" i="113"/>
  <c r="J58" i="113"/>
  <c r="J57" i="113"/>
  <c r="J56" i="113"/>
  <c r="J55" i="113"/>
  <c r="J53" i="113"/>
  <c r="J52" i="113"/>
  <c r="J51" i="113"/>
  <c r="J50" i="113"/>
  <c r="J49" i="113"/>
  <c r="J48" i="113"/>
  <c r="J47" i="113"/>
  <c r="J46" i="113"/>
  <c r="J45" i="113"/>
  <c r="J44" i="113"/>
  <c r="J42" i="113"/>
  <c r="J41" i="113"/>
  <c r="J40" i="113"/>
  <c r="J39" i="113"/>
  <c r="J38" i="113"/>
  <c r="J37" i="113"/>
  <c r="J36" i="113"/>
  <c r="J35" i="113"/>
  <c r="J34" i="113"/>
  <c r="J33" i="113"/>
  <c r="J31" i="113"/>
  <c r="J30" i="113"/>
  <c r="J29" i="113"/>
  <c r="J28" i="113"/>
  <c r="J27" i="113"/>
  <c r="J26" i="113"/>
  <c r="J25" i="113"/>
  <c r="J24" i="113"/>
  <c r="J23" i="113"/>
  <c r="J22" i="113"/>
  <c r="J20" i="113"/>
  <c r="J19" i="113"/>
  <c r="J18" i="113"/>
  <c r="J17" i="113"/>
  <c r="J16" i="113"/>
  <c r="J15" i="113"/>
  <c r="J14" i="113"/>
  <c r="J13" i="113"/>
  <c r="J12" i="113"/>
  <c r="J11" i="113"/>
  <c r="J97" i="111"/>
  <c r="J96" i="111"/>
  <c r="J95" i="111"/>
  <c r="J94" i="111"/>
  <c r="J93" i="111"/>
  <c r="J92" i="111"/>
  <c r="J91" i="111"/>
  <c r="J90" i="111"/>
  <c r="J89" i="111"/>
  <c r="J88" i="111"/>
  <c r="J86" i="111"/>
  <c r="J85" i="111"/>
  <c r="J84" i="111"/>
  <c r="J83" i="111"/>
  <c r="J82" i="111"/>
  <c r="J81" i="111"/>
  <c r="J80" i="111"/>
  <c r="J79" i="111"/>
  <c r="J78" i="111"/>
  <c r="J77" i="111"/>
  <c r="J75" i="111"/>
  <c r="J74" i="111"/>
  <c r="J73" i="111"/>
  <c r="J72" i="111"/>
  <c r="J71" i="111"/>
  <c r="J70" i="111"/>
  <c r="J69" i="111"/>
  <c r="J68" i="111"/>
  <c r="J67" i="111"/>
  <c r="J66" i="111"/>
  <c r="J64" i="111"/>
  <c r="J63" i="111"/>
  <c r="J62" i="111"/>
  <c r="J61" i="111"/>
  <c r="J60" i="111"/>
  <c r="J59" i="111"/>
  <c r="J58" i="111"/>
  <c r="J57" i="111"/>
  <c r="J56" i="111"/>
  <c r="J55" i="111"/>
  <c r="J53" i="111"/>
  <c r="J52" i="111"/>
  <c r="J51" i="111"/>
  <c r="J50" i="111"/>
  <c r="J49" i="111"/>
  <c r="J48" i="111"/>
  <c r="J47" i="111"/>
  <c r="J46" i="111"/>
  <c r="J45" i="111"/>
  <c r="J44" i="111"/>
  <c r="J42" i="111"/>
  <c r="J41" i="111"/>
  <c r="J40" i="111"/>
  <c r="J39" i="111"/>
  <c r="J38" i="111"/>
  <c r="J37" i="111"/>
  <c r="J36" i="111"/>
  <c r="J35" i="111"/>
  <c r="J34" i="111"/>
  <c r="J33" i="111"/>
  <c r="J31" i="111"/>
  <c r="J30" i="111"/>
  <c r="J29" i="111"/>
  <c r="J28" i="111"/>
  <c r="J27" i="111"/>
  <c r="J26" i="111"/>
  <c r="J25" i="111"/>
  <c r="J24" i="111"/>
  <c r="J23" i="111"/>
  <c r="J22" i="111"/>
  <c r="J20" i="111"/>
  <c r="J19" i="111"/>
  <c r="J18" i="111"/>
  <c r="J17" i="111"/>
  <c r="J16" i="111"/>
  <c r="J15" i="111"/>
  <c r="J14" i="111"/>
  <c r="J13" i="111"/>
  <c r="J12" i="111"/>
  <c r="J11" i="111"/>
  <c r="J97" i="109"/>
  <c r="J96" i="109"/>
  <c r="J95" i="109"/>
  <c r="J94" i="109"/>
  <c r="J93" i="109"/>
  <c r="J92" i="109"/>
  <c r="J91" i="109"/>
  <c r="J90" i="109"/>
  <c r="J89" i="109"/>
  <c r="J88" i="109"/>
  <c r="J86" i="109"/>
  <c r="J85" i="109"/>
  <c r="J84" i="109"/>
  <c r="J83" i="109"/>
  <c r="J82" i="109"/>
  <c r="J81" i="109"/>
  <c r="J80" i="109"/>
  <c r="J79" i="109"/>
  <c r="J78" i="109"/>
  <c r="J77" i="109"/>
  <c r="J75" i="109"/>
  <c r="J74" i="109"/>
  <c r="J73" i="109"/>
  <c r="J72" i="109"/>
  <c r="J71" i="109"/>
  <c r="J70" i="109"/>
  <c r="J69" i="109"/>
  <c r="J68" i="109"/>
  <c r="J67" i="109"/>
  <c r="J66" i="109"/>
  <c r="J64" i="109"/>
  <c r="J63" i="109"/>
  <c r="J62" i="109"/>
  <c r="J61" i="109"/>
  <c r="J60" i="109"/>
  <c r="J59" i="109"/>
  <c r="J58" i="109"/>
  <c r="J57" i="109"/>
  <c r="J56" i="109"/>
  <c r="J55" i="109"/>
  <c r="J53" i="109"/>
  <c r="J52" i="109"/>
  <c r="J51" i="109"/>
  <c r="J50" i="109"/>
  <c r="J49" i="109"/>
  <c r="J48" i="109"/>
  <c r="J47" i="109"/>
  <c r="J46" i="109"/>
  <c r="J45" i="109"/>
  <c r="J44" i="109"/>
  <c r="J42" i="109"/>
  <c r="J41" i="109"/>
  <c r="J40" i="109"/>
  <c r="J39" i="109"/>
  <c r="J38" i="109"/>
  <c r="J37" i="109"/>
  <c r="J36" i="109"/>
  <c r="J35" i="109"/>
  <c r="J34" i="109"/>
  <c r="J33" i="109"/>
  <c r="J31" i="109"/>
  <c r="J30" i="109"/>
  <c r="J29" i="109"/>
  <c r="J28" i="109"/>
  <c r="J27" i="109"/>
  <c r="J26" i="109"/>
  <c r="J25" i="109"/>
  <c r="J24" i="109"/>
  <c r="J23" i="109"/>
  <c r="J22" i="109"/>
  <c r="J20" i="109"/>
  <c r="J19" i="109"/>
  <c r="J18" i="109"/>
  <c r="J17" i="109"/>
  <c r="J16" i="109"/>
  <c r="J15" i="109"/>
  <c r="J14" i="109"/>
  <c r="J13" i="109"/>
  <c r="J12" i="109"/>
  <c r="J11" i="109"/>
  <c r="J97" i="107"/>
  <c r="J96" i="107"/>
  <c r="J95" i="107"/>
  <c r="J94" i="107"/>
  <c r="J93" i="107"/>
  <c r="J92" i="107"/>
  <c r="J91" i="107"/>
  <c r="J90" i="107"/>
  <c r="J89" i="107"/>
  <c r="J88" i="107"/>
  <c r="J86" i="107"/>
  <c r="J85" i="107"/>
  <c r="J84" i="107"/>
  <c r="J83" i="107"/>
  <c r="J82" i="107"/>
  <c r="J81" i="107"/>
  <c r="J80" i="107"/>
  <c r="J79" i="107"/>
  <c r="J78" i="107"/>
  <c r="J77" i="107"/>
  <c r="J75" i="107"/>
  <c r="J74" i="107"/>
  <c r="J73" i="107"/>
  <c r="J72" i="107"/>
  <c r="J71" i="107"/>
  <c r="J70" i="107"/>
  <c r="J69" i="107"/>
  <c r="J68" i="107"/>
  <c r="J67" i="107"/>
  <c r="J66" i="107"/>
  <c r="J64" i="107"/>
  <c r="J63" i="107"/>
  <c r="J62" i="107"/>
  <c r="J61" i="107"/>
  <c r="J60" i="107"/>
  <c r="J59" i="107"/>
  <c r="J58" i="107"/>
  <c r="J57" i="107"/>
  <c r="J56" i="107"/>
  <c r="J55" i="107"/>
  <c r="J53" i="107"/>
  <c r="J52" i="107"/>
  <c r="J51" i="107"/>
  <c r="J50" i="107"/>
  <c r="J49" i="107"/>
  <c r="J48" i="107"/>
  <c r="J47" i="107"/>
  <c r="J46" i="107"/>
  <c r="J45" i="107"/>
  <c r="J44" i="107"/>
  <c r="J42" i="107"/>
  <c r="J41" i="107"/>
  <c r="J40" i="107"/>
  <c r="J39" i="107"/>
  <c r="J38" i="107"/>
  <c r="J37" i="107"/>
  <c r="J36" i="107"/>
  <c r="J35" i="107"/>
  <c r="J34" i="107"/>
  <c r="J33" i="107"/>
  <c r="J31" i="107"/>
  <c r="J30" i="107"/>
  <c r="J29" i="107"/>
  <c r="J28" i="107"/>
  <c r="J27" i="107"/>
  <c r="J26" i="107"/>
  <c r="J25" i="107"/>
  <c r="J24" i="107"/>
  <c r="J23" i="107"/>
  <c r="J22" i="107"/>
  <c r="J20" i="107"/>
  <c r="J19" i="107"/>
  <c r="J18" i="107"/>
  <c r="J17" i="107"/>
  <c r="J16" i="107"/>
  <c r="J15" i="107"/>
  <c r="J14" i="107"/>
  <c r="J13" i="107"/>
  <c r="J12" i="107"/>
  <c r="J11" i="107"/>
  <c r="J97" i="105"/>
  <c r="J96" i="105"/>
  <c r="J95" i="105"/>
  <c r="J94" i="105"/>
  <c r="J93" i="105"/>
  <c r="J92" i="105"/>
  <c r="J91" i="105"/>
  <c r="J90" i="105"/>
  <c r="J89" i="105"/>
  <c r="J88" i="105"/>
  <c r="J86" i="105"/>
  <c r="J85" i="105"/>
  <c r="J84" i="105"/>
  <c r="J83" i="105"/>
  <c r="J82" i="105"/>
  <c r="J81" i="105"/>
  <c r="J80" i="105"/>
  <c r="J79" i="105"/>
  <c r="J78" i="105"/>
  <c r="J77" i="105"/>
  <c r="J75" i="105"/>
  <c r="J74" i="105"/>
  <c r="J73" i="105"/>
  <c r="J72" i="105"/>
  <c r="J71" i="105"/>
  <c r="J70" i="105"/>
  <c r="J69" i="105"/>
  <c r="J68" i="105"/>
  <c r="J67" i="105"/>
  <c r="J66" i="105"/>
  <c r="J64" i="105"/>
  <c r="J63" i="105"/>
  <c r="J62" i="105"/>
  <c r="J61" i="105"/>
  <c r="J60" i="105"/>
  <c r="J59" i="105"/>
  <c r="J58" i="105"/>
  <c r="J57" i="105"/>
  <c r="J56" i="105"/>
  <c r="J55" i="105"/>
  <c r="J53" i="105"/>
  <c r="J52" i="105"/>
  <c r="J51" i="105"/>
  <c r="J50" i="105"/>
  <c r="J49" i="105"/>
  <c r="J48" i="105"/>
  <c r="J47" i="105"/>
  <c r="J46" i="105"/>
  <c r="J45" i="105"/>
  <c r="J44" i="105"/>
  <c r="J42" i="105"/>
  <c r="J41" i="105"/>
  <c r="J40" i="105"/>
  <c r="J39" i="105"/>
  <c r="J38" i="105"/>
  <c r="J37" i="105"/>
  <c r="J36" i="105"/>
  <c r="J35" i="105"/>
  <c r="J34" i="105"/>
  <c r="J33" i="105"/>
  <c r="J31" i="105"/>
  <c r="J30" i="105"/>
  <c r="J29" i="105"/>
  <c r="J28" i="105"/>
  <c r="J27" i="105"/>
  <c r="J26" i="105"/>
  <c r="J25" i="105"/>
  <c r="J24" i="105"/>
  <c r="J23" i="105"/>
  <c r="J22" i="105"/>
  <c r="J20" i="105"/>
  <c r="J19" i="105"/>
  <c r="J18" i="105"/>
  <c r="J17" i="105"/>
  <c r="J16" i="105"/>
  <c r="J15" i="105"/>
  <c r="J14" i="105"/>
  <c r="J13" i="105"/>
  <c r="J12" i="105"/>
  <c r="J11" i="105"/>
  <c r="J97" i="103"/>
  <c r="J96" i="103"/>
  <c r="J95" i="103"/>
  <c r="J94" i="103"/>
  <c r="J93" i="103"/>
  <c r="J92" i="103"/>
  <c r="J91" i="103"/>
  <c r="J90" i="103"/>
  <c r="J89" i="103"/>
  <c r="J88" i="103"/>
  <c r="J86" i="103"/>
  <c r="J85" i="103"/>
  <c r="J84" i="103"/>
  <c r="J83" i="103"/>
  <c r="J82" i="103"/>
  <c r="J81" i="103"/>
  <c r="J80" i="103"/>
  <c r="J79" i="103"/>
  <c r="J78" i="103"/>
  <c r="J77" i="103"/>
  <c r="J75" i="103"/>
  <c r="J74" i="103"/>
  <c r="J73" i="103"/>
  <c r="J72" i="103"/>
  <c r="J71" i="103"/>
  <c r="J70" i="103"/>
  <c r="J69" i="103"/>
  <c r="J68" i="103"/>
  <c r="J67" i="103"/>
  <c r="J66" i="103"/>
  <c r="J64" i="103"/>
  <c r="J63" i="103"/>
  <c r="J62" i="103"/>
  <c r="J61" i="103"/>
  <c r="J60" i="103"/>
  <c r="J59" i="103"/>
  <c r="J58" i="103"/>
  <c r="J57" i="103"/>
  <c r="J56" i="103"/>
  <c r="J55" i="103"/>
  <c r="J53" i="103"/>
  <c r="J52" i="103"/>
  <c r="J51" i="103"/>
  <c r="J50" i="103"/>
  <c r="J49" i="103"/>
  <c r="J48" i="103"/>
  <c r="J47" i="103"/>
  <c r="J46" i="103"/>
  <c r="J45" i="103"/>
  <c r="J44" i="103"/>
  <c r="J42" i="103"/>
  <c r="J41" i="103"/>
  <c r="J40" i="103"/>
  <c r="J39" i="103"/>
  <c r="J38" i="103"/>
  <c r="J37" i="103"/>
  <c r="J36" i="103"/>
  <c r="J35" i="103"/>
  <c r="J34" i="103"/>
  <c r="J33" i="103"/>
  <c r="J31" i="103"/>
  <c r="J30" i="103"/>
  <c r="J29" i="103"/>
  <c r="J28" i="103"/>
  <c r="J27" i="103"/>
  <c r="J26" i="103"/>
  <c r="J25" i="103"/>
  <c r="J24" i="103"/>
  <c r="J23" i="103"/>
  <c r="J22" i="103"/>
  <c r="J20" i="103"/>
  <c r="J19" i="103"/>
  <c r="J18" i="103"/>
  <c r="J17" i="103"/>
  <c r="J16" i="103"/>
  <c r="J15" i="103"/>
  <c r="J14" i="103"/>
  <c r="J13" i="103"/>
  <c r="J12" i="103"/>
  <c r="J11" i="103"/>
  <c r="J97" i="101"/>
  <c r="J96" i="101"/>
  <c r="J95" i="101"/>
  <c r="J94" i="101"/>
  <c r="J93" i="101"/>
  <c r="J92" i="101"/>
  <c r="J91" i="101"/>
  <c r="J90" i="101"/>
  <c r="J89" i="101"/>
  <c r="J88" i="101"/>
  <c r="J86" i="101"/>
  <c r="J85" i="101"/>
  <c r="J84" i="101"/>
  <c r="J83" i="101"/>
  <c r="J82" i="101"/>
  <c r="J81" i="101"/>
  <c r="J80" i="101"/>
  <c r="J79" i="101"/>
  <c r="J78" i="101"/>
  <c r="J77" i="101"/>
  <c r="J75" i="101"/>
  <c r="J74" i="101"/>
  <c r="J73" i="101"/>
  <c r="J72" i="101"/>
  <c r="J71" i="101"/>
  <c r="J70" i="101"/>
  <c r="J69" i="101"/>
  <c r="J68" i="101"/>
  <c r="J67" i="101"/>
  <c r="J66" i="101"/>
  <c r="J64" i="101"/>
  <c r="J63" i="101"/>
  <c r="J62" i="101"/>
  <c r="J61" i="101"/>
  <c r="J60" i="101"/>
  <c r="J59" i="101"/>
  <c r="J58" i="101"/>
  <c r="J57" i="101"/>
  <c r="J56" i="101"/>
  <c r="J55" i="101"/>
  <c r="J53" i="101"/>
  <c r="J52" i="101"/>
  <c r="J51" i="101"/>
  <c r="J50" i="101"/>
  <c r="J49" i="101"/>
  <c r="J48" i="101"/>
  <c r="J47" i="101"/>
  <c r="J46" i="101"/>
  <c r="J45" i="101"/>
  <c r="J44" i="101"/>
  <c r="J42" i="101"/>
  <c r="J41" i="101"/>
  <c r="J40" i="101"/>
  <c r="J39" i="101"/>
  <c r="J38" i="101"/>
  <c r="J37" i="101"/>
  <c r="J36" i="101"/>
  <c r="J35" i="101"/>
  <c r="J34" i="101"/>
  <c r="J33" i="101"/>
  <c r="J31" i="101"/>
  <c r="J30" i="101"/>
  <c r="J29" i="101"/>
  <c r="J28" i="101"/>
  <c r="J27" i="101"/>
  <c r="J26" i="101"/>
  <c r="J25" i="101"/>
  <c r="J24" i="101"/>
  <c r="J23" i="101"/>
  <c r="J22" i="101"/>
  <c r="J20" i="101"/>
  <c r="J19" i="101"/>
  <c r="J18" i="101"/>
  <c r="J17" i="101"/>
  <c r="J16" i="101"/>
  <c r="J15" i="101"/>
  <c r="J14" i="101"/>
  <c r="J13" i="101"/>
  <c r="J12" i="101"/>
  <c r="J11" i="101"/>
  <c r="J97" i="99"/>
  <c r="J96" i="99"/>
  <c r="J95" i="99"/>
  <c r="J94" i="99"/>
  <c r="J93" i="99"/>
  <c r="J92" i="99"/>
  <c r="J91" i="99"/>
  <c r="J90" i="99"/>
  <c r="J89" i="99"/>
  <c r="J88" i="99"/>
  <c r="J86" i="99"/>
  <c r="J85" i="99"/>
  <c r="J84" i="99"/>
  <c r="J83" i="99"/>
  <c r="J82" i="99"/>
  <c r="J81" i="99"/>
  <c r="J80" i="99"/>
  <c r="J79" i="99"/>
  <c r="J78" i="99"/>
  <c r="J77" i="99"/>
  <c r="J75" i="99"/>
  <c r="J74" i="99"/>
  <c r="J73" i="99"/>
  <c r="J72" i="99"/>
  <c r="J71" i="99"/>
  <c r="J70" i="99"/>
  <c r="J69" i="99"/>
  <c r="J68" i="99"/>
  <c r="J67" i="99"/>
  <c r="J66" i="99"/>
  <c r="J64" i="99"/>
  <c r="J63" i="99"/>
  <c r="J62" i="99"/>
  <c r="J61" i="99"/>
  <c r="J60" i="99"/>
  <c r="J59" i="99"/>
  <c r="J58" i="99"/>
  <c r="J57" i="99"/>
  <c r="J56" i="99"/>
  <c r="J55" i="99"/>
  <c r="J53" i="99"/>
  <c r="J52" i="99"/>
  <c r="J51" i="99"/>
  <c r="J50" i="99"/>
  <c r="J49" i="99"/>
  <c r="J48" i="99"/>
  <c r="J47" i="99"/>
  <c r="J46" i="99"/>
  <c r="J45" i="99"/>
  <c r="J44" i="99"/>
  <c r="J42" i="99"/>
  <c r="J41" i="99"/>
  <c r="J40" i="99"/>
  <c r="J39" i="99"/>
  <c r="J38" i="99"/>
  <c r="J37" i="99"/>
  <c r="J36" i="99"/>
  <c r="J35" i="99"/>
  <c r="J34" i="99"/>
  <c r="J33" i="99"/>
  <c r="J31" i="99"/>
  <c r="J30" i="99"/>
  <c r="J29" i="99"/>
  <c r="J28" i="99"/>
  <c r="J27" i="99"/>
  <c r="J26" i="99"/>
  <c r="J25" i="99"/>
  <c r="J24" i="99"/>
  <c r="J23" i="99"/>
  <c r="J22" i="99"/>
  <c r="J20" i="99"/>
  <c r="J19" i="99"/>
  <c r="J18" i="99"/>
  <c r="J17" i="99"/>
  <c r="J16" i="99"/>
  <c r="J15" i="99"/>
  <c r="J14" i="99"/>
  <c r="J13" i="99"/>
  <c r="J12" i="99"/>
  <c r="J11" i="99"/>
  <c r="J97" i="97"/>
  <c r="J96" i="97"/>
  <c r="J95" i="97"/>
  <c r="J94" i="97"/>
  <c r="J93" i="97"/>
  <c r="J92" i="97"/>
  <c r="J91" i="97"/>
  <c r="J90" i="97"/>
  <c r="J89" i="97"/>
  <c r="J88" i="97"/>
  <c r="J86" i="97"/>
  <c r="J85" i="97"/>
  <c r="J84" i="97"/>
  <c r="J83" i="97"/>
  <c r="J82" i="97"/>
  <c r="J81" i="97"/>
  <c r="J80" i="97"/>
  <c r="J79" i="97"/>
  <c r="J78" i="97"/>
  <c r="J77" i="97"/>
  <c r="J75" i="97"/>
  <c r="J74" i="97"/>
  <c r="J73" i="97"/>
  <c r="J72" i="97"/>
  <c r="J71" i="97"/>
  <c r="J70" i="97"/>
  <c r="J69" i="97"/>
  <c r="J68" i="97"/>
  <c r="J67" i="97"/>
  <c r="J66" i="97"/>
  <c r="J64" i="97"/>
  <c r="J63" i="97"/>
  <c r="J62" i="97"/>
  <c r="J61" i="97"/>
  <c r="J60" i="97"/>
  <c r="J59" i="97"/>
  <c r="J58" i="97"/>
  <c r="J57" i="97"/>
  <c r="J56" i="97"/>
  <c r="J55" i="97"/>
  <c r="J53" i="97"/>
  <c r="J52" i="97"/>
  <c r="J51" i="97"/>
  <c r="J50" i="97"/>
  <c r="J49" i="97"/>
  <c r="J48" i="97"/>
  <c r="J47" i="97"/>
  <c r="J46" i="97"/>
  <c r="J45" i="97"/>
  <c r="J44" i="97"/>
  <c r="J42" i="97"/>
  <c r="J41" i="97"/>
  <c r="J40" i="97"/>
  <c r="J39" i="97"/>
  <c r="J38" i="97"/>
  <c r="J37" i="97"/>
  <c r="J36" i="97"/>
  <c r="J35" i="97"/>
  <c r="J34" i="97"/>
  <c r="J33" i="97"/>
  <c r="J31" i="97"/>
  <c r="J30" i="97"/>
  <c r="J29" i="97"/>
  <c r="J28" i="97"/>
  <c r="J27" i="97"/>
  <c r="J26" i="97"/>
  <c r="J25" i="97"/>
  <c r="J24" i="97"/>
  <c r="J23" i="97"/>
  <c r="J22" i="97"/>
  <c r="J20" i="97"/>
  <c r="J19" i="97"/>
  <c r="J18" i="97"/>
  <c r="J17" i="97"/>
  <c r="J16" i="97"/>
  <c r="J15" i="97"/>
  <c r="J14" i="97"/>
  <c r="J13" i="97"/>
  <c r="J12" i="97"/>
  <c r="J11" i="97"/>
  <c r="J89" i="95"/>
  <c r="J90" i="95"/>
  <c r="J91" i="95"/>
  <c r="J92" i="95"/>
  <c r="J93" i="95"/>
  <c r="J94" i="95"/>
  <c r="J95" i="95"/>
  <c r="J96" i="95"/>
  <c r="J97" i="95"/>
  <c r="J88" i="95"/>
  <c r="J78" i="95"/>
  <c r="J79" i="95"/>
  <c r="J80" i="95"/>
  <c r="J81" i="95"/>
  <c r="J82" i="95"/>
  <c r="J83" i="95"/>
  <c r="J84" i="95"/>
  <c r="J85" i="95"/>
  <c r="J86" i="95"/>
  <c r="J77" i="95"/>
  <c r="J67" i="95"/>
  <c r="J68" i="95"/>
  <c r="J69" i="95"/>
  <c r="J70" i="95"/>
  <c r="J71" i="95"/>
  <c r="J72" i="95"/>
  <c r="J73" i="95"/>
  <c r="J74" i="95"/>
  <c r="J75" i="95"/>
  <c r="J66" i="95"/>
  <c r="J56" i="95"/>
  <c r="J57" i="95"/>
  <c r="J58" i="95"/>
  <c r="J59" i="95"/>
  <c r="J60" i="95"/>
  <c r="J61" i="95"/>
  <c r="J62" i="95"/>
  <c r="J63" i="95"/>
  <c r="J64" i="95"/>
  <c r="J55" i="95"/>
  <c r="J45" i="95"/>
  <c r="J46" i="95"/>
  <c r="J47" i="95"/>
  <c r="J48" i="95"/>
  <c r="J49" i="95"/>
  <c r="J50" i="95"/>
  <c r="J51" i="95"/>
  <c r="J52" i="95"/>
  <c r="J53" i="95"/>
  <c r="J44" i="95"/>
  <c r="J34" i="95"/>
  <c r="J35" i="95"/>
  <c r="J36" i="95"/>
  <c r="J37" i="95"/>
  <c r="J38" i="95"/>
  <c r="J39" i="95"/>
  <c r="J40" i="95"/>
  <c r="J41" i="95"/>
  <c r="J42" i="95"/>
  <c r="J33" i="95"/>
  <c r="J23" i="95"/>
  <c r="J24" i="95"/>
  <c r="J25" i="95"/>
  <c r="J26" i="95"/>
  <c r="J27" i="95"/>
  <c r="J28" i="95"/>
  <c r="J29" i="95"/>
  <c r="J30" i="95"/>
  <c r="J31" i="95"/>
  <c r="J22" i="95"/>
  <c r="J13" i="95"/>
  <c r="J14" i="95"/>
  <c r="J15" i="95"/>
  <c r="J16" i="95"/>
  <c r="J17" i="95"/>
  <c r="J18" i="95"/>
  <c r="J19" i="95"/>
  <c r="J20" i="95"/>
  <c r="V97" i="59" l="1"/>
  <c r="V96" i="59"/>
  <c r="V95" i="59"/>
  <c r="V94" i="59"/>
  <c r="V93" i="59"/>
  <c r="V92" i="59"/>
  <c r="V91" i="59"/>
  <c r="V90" i="59"/>
  <c r="V89" i="59"/>
  <c r="V88" i="59"/>
  <c r="V86" i="59"/>
  <c r="V85" i="59"/>
  <c r="V84" i="59"/>
  <c r="V83" i="59"/>
  <c r="V82" i="59"/>
  <c r="V81" i="59"/>
  <c r="V80" i="59"/>
  <c r="V79" i="59"/>
  <c r="V78" i="59"/>
  <c r="V77" i="59"/>
  <c r="V75" i="59"/>
  <c r="V74" i="59"/>
  <c r="V73" i="59"/>
  <c r="V72" i="59"/>
  <c r="V71" i="59"/>
  <c r="V70" i="59"/>
  <c r="V69" i="59"/>
  <c r="V68" i="59"/>
  <c r="V67" i="59"/>
  <c r="V66" i="59"/>
  <c r="V64" i="59"/>
  <c r="V63" i="59"/>
  <c r="V62" i="59"/>
  <c r="V61" i="59"/>
  <c r="V60" i="59"/>
  <c r="V59" i="59"/>
  <c r="V58" i="59"/>
  <c r="V57" i="59"/>
  <c r="V56" i="59"/>
  <c r="V55" i="59"/>
  <c r="V53" i="59"/>
  <c r="V52" i="59"/>
  <c r="V51" i="59"/>
  <c r="V50" i="59"/>
  <c r="V49" i="59"/>
  <c r="V48" i="59"/>
  <c r="V47" i="59"/>
  <c r="V46" i="59"/>
  <c r="V45" i="59"/>
  <c r="V44" i="59"/>
  <c r="V42" i="59"/>
  <c r="V41" i="59"/>
  <c r="V40" i="59"/>
  <c r="V39" i="59"/>
  <c r="V38" i="59"/>
  <c r="V37" i="59"/>
  <c r="V36" i="59"/>
  <c r="V35" i="59"/>
  <c r="V34" i="59"/>
  <c r="V33" i="59"/>
  <c r="V31" i="59"/>
  <c r="V30" i="59"/>
  <c r="V29" i="59"/>
  <c r="V28" i="59"/>
  <c r="V27" i="59"/>
  <c r="V26" i="59"/>
  <c r="V25" i="59"/>
  <c r="V24" i="59"/>
  <c r="V23" i="59"/>
  <c r="V22" i="59"/>
  <c r="V20" i="59"/>
  <c r="V19" i="59"/>
  <c r="V18" i="59"/>
  <c r="V17" i="59"/>
  <c r="V16" i="59"/>
  <c r="V15" i="59"/>
  <c r="V14" i="59"/>
  <c r="V13" i="59"/>
  <c r="V12" i="59"/>
  <c r="V11" i="59"/>
  <c r="V97" i="113"/>
  <c r="V96" i="113"/>
  <c r="V95" i="113"/>
  <c r="V94" i="113"/>
  <c r="V93" i="113"/>
  <c r="V92" i="113"/>
  <c r="V91" i="113"/>
  <c r="V90" i="113"/>
  <c r="V89" i="113"/>
  <c r="V88" i="113"/>
  <c r="V87" i="113"/>
  <c r="V86" i="113"/>
  <c r="V85" i="113"/>
  <c r="V84" i="113"/>
  <c r="V83" i="113"/>
  <c r="V82" i="113"/>
  <c r="V81" i="113"/>
  <c r="V80" i="113"/>
  <c r="V79" i="113"/>
  <c r="V78" i="113"/>
  <c r="V77" i="113"/>
  <c r="V76" i="113"/>
  <c r="V75" i="113"/>
  <c r="V74" i="113"/>
  <c r="V73" i="113"/>
  <c r="V72" i="113"/>
  <c r="V71" i="113"/>
  <c r="V70" i="113"/>
  <c r="V69" i="113"/>
  <c r="V68" i="113"/>
  <c r="V67" i="113"/>
  <c r="V66" i="113"/>
  <c r="V65" i="113"/>
  <c r="V64" i="113"/>
  <c r="V63" i="113"/>
  <c r="V62" i="113"/>
  <c r="V61" i="113"/>
  <c r="V60" i="113"/>
  <c r="V59" i="113"/>
  <c r="V58" i="113"/>
  <c r="V57" i="113"/>
  <c r="V56" i="113"/>
  <c r="V55" i="113"/>
  <c r="V54" i="113"/>
  <c r="V53" i="113"/>
  <c r="V52" i="113"/>
  <c r="V51" i="113"/>
  <c r="V50" i="113"/>
  <c r="V49" i="113"/>
  <c r="V48" i="113"/>
  <c r="V47" i="113"/>
  <c r="V46" i="113"/>
  <c r="V45" i="113"/>
  <c r="V44" i="113"/>
  <c r="V43" i="113"/>
  <c r="V42" i="113"/>
  <c r="V41" i="113"/>
  <c r="V40" i="113"/>
  <c r="V39" i="113"/>
  <c r="V38" i="113"/>
  <c r="V37" i="113"/>
  <c r="V36" i="113"/>
  <c r="V35" i="113"/>
  <c r="V34" i="113"/>
  <c r="V33" i="113"/>
  <c r="V32" i="113"/>
  <c r="V31" i="113"/>
  <c r="V30" i="113"/>
  <c r="V29" i="113"/>
  <c r="V28" i="113"/>
  <c r="V27" i="113"/>
  <c r="V26" i="113"/>
  <c r="V25" i="113"/>
  <c r="V24" i="113"/>
  <c r="V23" i="113"/>
  <c r="V22" i="113"/>
  <c r="V21" i="113"/>
  <c r="V20" i="113"/>
  <c r="V19" i="113"/>
  <c r="V18" i="113"/>
  <c r="V17" i="113"/>
  <c r="V16" i="113"/>
  <c r="V15" i="113"/>
  <c r="V14" i="113"/>
  <c r="V13" i="113"/>
  <c r="V12" i="113"/>
  <c r="V11" i="113"/>
  <c r="V10" i="113"/>
  <c r="V97" i="111"/>
  <c r="V96" i="111"/>
  <c r="V95" i="111"/>
  <c r="V94" i="111"/>
  <c r="V93" i="111"/>
  <c r="V92" i="111"/>
  <c r="V91" i="111"/>
  <c r="V90" i="111"/>
  <c r="V89" i="111"/>
  <c r="V88" i="111"/>
  <c r="V87" i="111"/>
  <c r="V86" i="111"/>
  <c r="V85" i="111"/>
  <c r="V84" i="111"/>
  <c r="V83" i="111"/>
  <c r="V82" i="111"/>
  <c r="V81" i="111"/>
  <c r="V80" i="111"/>
  <c r="V79" i="111"/>
  <c r="V78" i="111"/>
  <c r="V77" i="111"/>
  <c r="V76" i="111"/>
  <c r="V75" i="111"/>
  <c r="V74" i="111"/>
  <c r="V73" i="111"/>
  <c r="V72" i="111"/>
  <c r="V71" i="111"/>
  <c r="V70" i="111"/>
  <c r="V69" i="111"/>
  <c r="V68" i="111"/>
  <c r="V67" i="111"/>
  <c r="V66" i="111"/>
  <c r="V65" i="111"/>
  <c r="V64" i="111"/>
  <c r="V63" i="111"/>
  <c r="V62" i="111"/>
  <c r="V61" i="111"/>
  <c r="V60" i="111"/>
  <c r="V59" i="111"/>
  <c r="V58" i="111"/>
  <c r="V57" i="111"/>
  <c r="V56" i="111"/>
  <c r="V55" i="111"/>
  <c r="V54" i="111"/>
  <c r="V53" i="111"/>
  <c r="V52" i="111"/>
  <c r="V51" i="111"/>
  <c r="V50" i="111"/>
  <c r="V49" i="111"/>
  <c r="V48" i="111"/>
  <c r="V47" i="111"/>
  <c r="V46" i="111"/>
  <c r="V45" i="111"/>
  <c r="V44" i="111"/>
  <c r="V43" i="111"/>
  <c r="V42" i="111"/>
  <c r="V41" i="111"/>
  <c r="V40" i="111"/>
  <c r="V39" i="111"/>
  <c r="V38" i="111"/>
  <c r="V37" i="111"/>
  <c r="V36" i="111"/>
  <c r="V35" i="111"/>
  <c r="V34" i="111"/>
  <c r="V33" i="111"/>
  <c r="V32" i="111"/>
  <c r="V31" i="111"/>
  <c r="V30" i="111"/>
  <c r="V29" i="111"/>
  <c r="V28" i="111"/>
  <c r="V27" i="111"/>
  <c r="V26" i="111"/>
  <c r="V25" i="111"/>
  <c r="V24" i="111"/>
  <c r="V23" i="111"/>
  <c r="V22" i="111"/>
  <c r="V21" i="111"/>
  <c r="V20" i="111"/>
  <c r="V19" i="111"/>
  <c r="V18" i="111"/>
  <c r="V17" i="111"/>
  <c r="V16" i="111"/>
  <c r="V15" i="111"/>
  <c r="V14" i="111"/>
  <c r="V13" i="111"/>
  <c r="V12" i="111"/>
  <c r="V11" i="111"/>
  <c r="V10" i="111"/>
  <c r="V97" i="109"/>
  <c r="V96" i="109"/>
  <c r="V95" i="109"/>
  <c r="V94" i="109"/>
  <c r="V93" i="109"/>
  <c r="V92" i="109"/>
  <c r="V91" i="109"/>
  <c r="V90" i="109"/>
  <c r="V89" i="109"/>
  <c r="V88" i="109"/>
  <c r="V87" i="109"/>
  <c r="V86" i="109"/>
  <c r="V85" i="109"/>
  <c r="V84" i="109"/>
  <c r="V83" i="109"/>
  <c r="V82" i="109"/>
  <c r="V81" i="109"/>
  <c r="V80" i="109"/>
  <c r="V79" i="109"/>
  <c r="V78" i="109"/>
  <c r="V77" i="109"/>
  <c r="V76" i="109"/>
  <c r="V75" i="109"/>
  <c r="V74" i="109"/>
  <c r="V73" i="109"/>
  <c r="V72" i="109"/>
  <c r="V71" i="109"/>
  <c r="V70" i="109"/>
  <c r="V69" i="109"/>
  <c r="V68" i="109"/>
  <c r="V67" i="109"/>
  <c r="V66" i="109"/>
  <c r="V65" i="109"/>
  <c r="V64" i="109"/>
  <c r="V63" i="109"/>
  <c r="V62" i="109"/>
  <c r="V61" i="109"/>
  <c r="V60" i="109"/>
  <c r="V59" i="109"/>
  <c r="V58" i="109"/>
  <c r="V57" i="109"/>
  <c r="V56" i="109"/>
  <c r="V55" i="109"/>
  <c r="V54" i="109"/>
  <c r="V53" i="109"/>
  <c r="V52" i="109"/>
  <c r="V51" i="109"/>
  <c r="V50" i="109"/>
  <c r="V49" i="109"/>
  <c r="V48" i="109"/>
  <c r="V47" i="109"/>
  <c r="V46" i="109"/>
  <c r="V45" i="109"/>
  <c r="V44" i="109"/>
  <c r="V43" i="109"/>
  <c r="V42" i="109"/>
  <c r="V41" i="109"/>
  <c r="V40" i="109"/>
  <c r="V39" i="109"/>
  <c r="V38" i="109"/>
  <c r="V37" i="109"/>
  <c r="V36" i="109"/>
  <c r="V35" i="109"/>
  <c r="V34" i="109"/>
  <c r="V33" i="109"/>
  <c r="V32" i="109"/>
  <c r="V31" i="109"/>
  <c r="V30" i="109"/>
  <c r="V29" i="109"/>
  <c r="V28" i="109"/>
  <c r="V27" i="109"/>
  <c r="V26" i="109"/>
  <c r="V25" i="109"/>
  <c r="V24" i="109"/>
  <c r="V23" i="109"/>
  <c r="V22" i="109"/>
  <c r="V21" i="109"/>
  <c r="V20" i="109"/>
  <c r="V19" i="109"/>
  <c r="V18" i="109"/>
  <c r="V17" i="109"/>
  <c r="V16" i="109"/>
  <c r="V15" i="109"/>
  <c r="V14" i="109"/>
  <c r="V13" i="109"/>
  <c r="V12" i="109"/>
  <c r="V11" i="109"/>
  <c r="V10" i="109"/>
  <c r="V97" i="107"/>
  <c r="V96" i="107"/>
  <c r="V95" i="107"/>
  <c r="V94" i="107"/>
  <c r="V93" i="107"/>
  <c r="V92" i="107"/>
  <c r="V91" i="107"/>
  <c r="V90" i="107"/>
  <c r="V89" i="107"/>
  <c r="V88" i="107"/>
  <c r="V87" i="107"/>
  <c r="V86" i="107"/>
  <c r="V85" i="107"/>
  <c r="V84" i="107"/>
  <c r="V83" i="107"/>
  <c r="V82" i="107"/>
  <c r="V81" i="107"/>
  <c r="V80" i="107"/>
  <c r="V79" i="107"/>
  <c r="V78" i="107"/>
  <c r="V77" i="107"/>
  <c r="V76" i="107"/>
  <c r="V75" i="107"/>
  <c r="V74" i="107"/>
  <c r="V73" i="107"/>
  <c r="V72" i="107"/>
  <c r="V71" i="107"/>
  <c r="V70" i="107"/>
  <c r="V69" i="107"/>
  <c r="V68" i="107"/>
  <c r="V67" i="107"/>
  <c r="V66" i="107"/>
  <c r="V65" i="107"/>
  <c r="V64" i="107"/>
  <c r="V63" i="107"/>
  <c r="V62" i="107"/>
  <c r="V61" i="107"/>
  <c r="V60" i="107"/>
  <c r="V59" i="107"/>
  <c r="V58" i="107"/>
  <c r="V57" i="107"/>
  <c r="V56" i="107"/>
  <c r="V55" i="107"/>
  <c r="V54" i="107"/>
  <c r="V53" i="107"/>
  <c r="V52" i="107"/>
  <c r="V51" i="107"/>
  <c r="V50" i="107"/>
  <c r="V49" i="107"/>
  <c r="V48" i="107"/>
  <c r="V47" i="107"/>
  <c r="V46" i="107"/>
  <c r="V45" i="107"/>
  <c r="V44" i="107"/>
  <c r="V43" i="107"/>
  <c r="V42" i="107"/>
  <c r="V41" i="107"/>
  <c r="V40" i="107"/>
  <c r="V39" i="107"/>
  <c r="V38" i="107"/>
  <c r="V37" i="107"/>
  <c r="V36" i="107"/>
  <c r="V35" i="107"/>
  <c r="V34" i="107"/>
  <c r="V33" i="107"/>
  <c r="V32" i="107"/>
  <c r="V31" i="107"/>
  <c r="V30" i="107"/>
  <c r="V29" i="107"/>
  <c r="V28" i="107"/>
  <c r="V27" i="107"/>
  <c r="V26" i="107"/>
  <c r="V25" i="107"/>
  <c r="V24" i="107"/>
  <c r="V23" i="107"/>
  <c r="V22" i="107"/>
  <c r="V21" i="107"/>
  <c r="V20" i="107"/>
  <c r="V19" i="107"/>
  <c r="V18" i="107"/>
  <c r="V17" i="107"/>
  <c r="V16" i="107"/>
  <c r="V15" i="107"/>
  <c r="V14" i="107"/>
  <c r="V13" i="107"/>
  <c r="V12" i="107"/>
  <c r="V11" i="107"/>
  <c r="V10" i="107"/>
  <c r="V97" i="105"/>
  <c r="V96" i="105"/>
  <c r="V95" i="105"/>
  <c r="V94" i="105"/>
  <c r="V93" i="105"/>
  <c r="V92" i="105"/>
  <c r="V91" i="105"/>
  <c r="V90" i="105"/>
  <c r="V89" i="105"/>
  <c r="V88" i="105"/>
  <c r="V87" i="105"/>
  <c r="V86" i="105"/>
  <c r="V85" i="105"/>
  <c r="V84" i="105"/>
  <c r="V83" i="105"/>
  <c r="V82" i="105"/>
  <c r="V81" i="105"/>
  <c r="V80" i="105"/>
  <c r="V79" i="105"/>
  <c r="V78" i="105"/>
  <c r="V77" i="105"/>
  <c r="V76" i="105"/>
  <c r="V75" i="105"/>
  <c r="V74" i="105"/>
  <c r="V73" i="105"/>
  <c r="V72" i="105"/>
  <c r="V71" i="105"/>
  <c r="V70" i="105"/>
  <c r="V69" i="105"/>
  <c r="V68" i="105"/>
  <c r="V67" i="105"/>
  <c r="V66" i="105"/>
  <c r="V65" i="105"/>
  <c r="V64" i="105"/>
  <c r="V63" i="105"/>
  <c r="V62" i="105"/>
  <c r="V61" i="105"/>
  <c r="V60" i="105"/>
  <c r="V59" i="105"/>
  <c r="V58" i="105"/>
  <c r="V57" i="105"/>
  <c r="V56" i="105"/>
  <c r="V55" i="105"/>
  <c r="V54" i="105"/>
  <c r="V53" i="105"/>
  <c r="V52" i="105"/>
  <c r="V51" i="105"/>
  <c r="V50" i="105"/>
  <c r="V49" i="105"/>
  <c r="V48" i="105"/>
  <c r="V47" i="105"/>
  <c r="V46" i="105"/>
  <c r="V45" i="105"/>
  <c r="V44" i="105"/>
  <c r="V43" i="105"/>
  <c r="V42" i="105"/>
  <c r="V41" i="105"/>
  <c r="V40" i="105"/>
  <c r="V39" i="105"/>
  <c r="V38" i="105"/>
  <c r="V37" i="105"/>
  <c r="V36" i="105"/>
  <c r="V35" i="105"/>
  <c r="V34" i="105"/>
  <c r="V33" i="105"/>
  <c r="V32" i="105"/>
  <c r="V31" i="105"/>
  <c r="V30" i="105"/>
  <c r="V29" i="105"/>
  <c r="V28" i="105"/>
  <c r="V27" i="105"/>
  <c r="V26" i="105"/>
  <c r="V25" i="105"/>
  <c r="V24" i="105"/>
  <c r="V23" i="105"/>
  <c r="V22" i="105"/>
  <c r="V21" i="105"/>
  <c r="V20" i="105"/>
  <c r="V19" i="105"/>
  <c r="V18" i="105"/>
  <c r="V17" i="105"/>
  <c r="V16" i="105"/>
  <c r="V15" i="105"/>
  <c r="V14" i="105"/>
  <c r="V13" i="105"/>
  <c r="V12" i="105"/>
  <c r="V11" i="105"/>
  <c r="V10" i="105"/>
  <c r="V97" i="103"/>
  <c r="V96" i="103"/>
  <c r="V95" i="103"/>
  <c r="V94" i="103"/>
  <c r="V93" i="103"/>
  <c r="V92" i="103"/>
  <c r="V91" i="103"/>
  <c r="V90" i="103"/>
  <c r="V89" i="103"/>
  <c r="V88" i="103"/>
  <c r="V87" i="103"/>
  <c r="V86" i="103"/>
  <c r="V85" i="103"/>
  <c r="V84" i="103"/>
  <c r="V83" i="103"/>
  <c r="V82" i="103"/>
  <c r="V81" i="103"/>
  <c r="V80" i="103"/>
  <c r="V79" i="103"/>
  <c r="V78" i="103"/>
  <c r="V77" i="103"/>
  <c r="V76" i="103"/>
  <c r="V75" i="103"/>
  <c r="V74" i="103"/>
  <c r="V73" i="103"/>
  <c r="V72" i="103"/>
  <c r="V71" i="103"/>
  <c r="V70" i="103"/>
  <c r="V69" i="103"/>
  <c r="V68" i="103"/>
  <c r="V67" i="103"/>
  <c r="V66" i="103"/>
  <c r="V65" i="103"/>
  <c r="V64" i="103"/>
  <c r="V63" i="103"/>
  <c r="V62" i="103"/>
  <c r="V61" i="103"/>
  <c r="V60" i="103"/>
  <c r="V59" i="103"/>
  <c r="V58" i="103"/>
  <c r="V57" i="103"/>
  <c r="V56" i="103"/>
  <c r="V55" i="103"/>
  <c r="V54" i="103"/>
  <c r="V53" i="103"/>
  <c r="V52" i="103"/>
  <c r="V51" i="103"/>
  <c r="V50" i="103"/>
  <c r="V49" i="103"/>
  <c r="V48" i="103"/>
  <c r="V47" i="103"/>
  <c r="V46" i="103"/>
  <c r="V45" i="103"/>
  <c r="V44" i="103"/>
  <c r="V43" i="103"/>
  <c r="V42" i="103"/>
  <c r="V41" i="103"/>
  <c r="V40" i="103"/>
  <c r="V39" i="103"/>
  <c r="V38" i="103"/>
  <c r="V37" i="103"/>
  <c r="V36" i="103"/>
  <c r="V35" i="103"/>
  <c r="V34" i="103"/>
  <c r="V33" i="103"/>
  <c r="V32" i="103"/>
  <c r="V31" i="103"/>
  <c r="V30" i="103"/>
  <c r="V29" i="103"/>
  <c r="V28" i="103"/>
  <c r="V27" i="103"/>
  <c r="V26" i="103"/>
  <c r="V25" i="103"/>
  <c r="V24" i="103"/>
  <c r="V23" i="103"/>
  <c r="V22" i="103"/>
  <c r="V21" i="103"/>
  <c r="V20" i="103"/>
  <c r="V19" i="103"/>
  <c r="V18" i="103"/>
  <c r="V17" i="103"/>
  <c r="V16" i="103"/>
  <c r="V15" i="103"/>
  <c r="V14" i="103"/>
  <c r="V13" i="103"/>
  <c r="V12" i="103"/>
  <c r="V11" i="103"/>
  <c r="V10" i="103"/>
  <c r="V97" i="101"/>
  <c r="V96" i="101"/>
  <c r="V95" i="101"/>
  <c r="V94" i="101"/>
  <c r="V93" i="101"/>
  <c r="V92" i="101"/>
  <c r="V91" i="101"/>
  <c r="V90" i="101"/>
  <c r="V89" i="101"/>
  <c r="V88" i="101"/>
  <c r="V87" i="101"/>
  <c r="V86" i="101"/>
  <c r="V85" i="101"/>
  <c r="V84" i="101"/>
  <c r="V83" i="101"/>
  <c r="V82" i="101"/>
  <c r="V81" i="101"/>
  <c r="V80" i="101"/>
  <c r="V79" i="101"/>
  <c r="V78" i="101"/>
  <c r="V77" i="101"/>
  <c r="V76" i="101"/>
  <c r="V75" i="101"/>
  <c r="V74" i="101"/>
  <c r="V73" i="101"/>
  <c r="V72" i="101"/>
  <c r="V71" i="101"/>
  <c r="V70" i="101"/>
  <c r="V69" i="101"/>
  <c r="V68" i="101"/>
  <c r="V67" i="101"/>
  <c r="V66" i="101"/>
  <c r="V65" i="101"/>
  <c r="V64" i="101"/>
  <c r="V63" i="101"/>
  <c r="V62" i="101"/>
  <c r="V61" i="101"/>
  <c r="V60" i="101"/>
  <c r="V59" i="101"/>
  <c r="V58" i="101"/>
  <c r="V57" i="101"/>
  <c r="V56" i="101"/>
  <c r="V55" i="101"/>
  <c r="V54" i="101"/>
  <c r="V53" i="101"/>
  <c r="V52" i="101"/>
  <c r="V51" i="101"/>
  <c r="V50" i="101"/>
  <c r="V49" i="101"/>
  <c r="V48" i="101"/>
  <c r="V47" i="101"/>
  <c r="V46" i="101"/>
  <c r="V45" i="101"/>
  <c r="V44" i="101"/>
  <c r="V43" i="101"/>
  <c r="V42" i="101"/>
  <c r="V41" i="101"/>
  <c r="V40" i="101"/>
  <c r="V39" i="101"/>
  <c r="V38" i="101"/>
  <c r="V37" i="101"/>
  <c r="V36" i="101"/>
  <c r="V35" i="101"/>
  <c r="V34" i="101"/>
  <c r="V33" i="101"/>
  <c r="V32" i="101"/>
  <c r="V31" i="101"/>
  <c r="V30" i="101"/>
  <c r="V29" i="101"/>
  <c r="V28" i="101"/>
  <c r="V27" i="101"/>
  <c r="V26" i="101"/>
  <c r="V25" i="101"/>
  <c r="V24" i="101"/>
  <c r="V23" i="101"/>
  <c r="V22" i="101"/>
  <c r="V21" i="101"/>
  <c r="V20" i="101"/>
  <c r="V19" i="101"/>
  <c r="V18" i="101"/>
  <c r="V17" i="101"/>
  <c r="V16" i="101"/>
  <c r="V15" i="101"/>
  <c r="V14" i="101"/>
  <c r="V13" i="101"/>
  <c r="V12" i="101"/>
  <c r="V11" i="101"/>
  <c r="V10" i="101"/>
  <c r="V97" i="99"/>
  <c r="V96" i="99"/>
  <c r="V95" i="99"/>
  <c r="V94" i="99"/>
  <c r="V93" i="99"/>
  <c r="V92" i="99"/>
  <c r="V91" i="99"/>
  <c r="V90" i="99"/>
  <c r="V89" i="99"/>
  <c r="V88" i="99"/>
  <c r="V87" i="99"/>
  <c r="V86" i="99"/>
  <c r="V85" i="99"/>
  <c r="V84" i="99"/>
  <c r="V83" i="99"/>
  <c r="V82" i="99"/>
  <c r="V81" i="99"/>
  <c r="V80" i="99"/>
  <c r="V79" i="99"/>
  <c r="V78" i="99"/>
  <c r="V77" i="99"/>
  <c r="V76" i="99"/>
  <c r="V75" i="99"/>
  <c r="V74" i="99"/>
  <c r="V73" i="99"/>
  <c r="V72" i="99"/>
  <c r="V71" i="99"/>
  <c r="V70" i="99"/>
  <c r="V69" i="99"/>
  <c r="V68" i="99"/>
  <c r="V67" i="99"/>
  <c r="V66" i="99"/>
  <c r="V65" i="99"/>
  <c r="V64" i="99"/>
  <c r="V63" i="99"/>
  <c r="V62" i="99"/>
  <c r="V61" i="99"/>
  <c r="V60" i="99"/>
  <c r="V59" i="99"/>
  <c r="V58" i="99"/>
  <c r="V57" i="99"/>
  <c r="V56" i="99"/>
  <c r="V55" i="99"/>
  <c r="V54" i="99"/>
  <c r="V53" i="99"/>
  <c r="V52" i="99"/>
  <c r="V51" i="99"/>
  <c r="V50" i="99"/>
  <c r="V49" i="99"/>
  <c r="V48" i="99"/>
  <c r="V47" i="99"/>
  <c r="V46" i="99"/>
  <c r="V45" i="99"/>
  <c r="V44" i="99"/>
  <c r="V43" i="99"/>
  <c r="V42" i="99"/>
  <c r="V41" i="99"/>
  <c r="V40" i="99"/>
  <c r="V39" i="99"/>
  <c r="V38" i="99"/>
  <c r="V37" i="99"/>
  <c r="V36" i="99"/>
  <c r="V35" i="99"/>
  <c r="V34" i="99"/>
  <c r="V33" i="99"/>
  <c r="V32" i="99"/>
  <c r="V31" i="99"/>
  <c r="V30" i="99"/>
  <c r="V29" i="99"/>
  <c r="V28" i="99"/>
  <c r="V27" i="99"/>
  <c r="V26" i="99"/>
  <c r="V25" i="99"/>
  <c r="V24" i="99"/>
  <c r="V23" i="99"/>
  <c r="V22" i="99"/>
  <c r="V21" i="99"/>
  <c r="V20" i="99"/>
  <c r="V19" i="99"/>
  <c r="V18" i="99"/>
  <c r="V17" i="99"/>
  <c r="V16" i="99"/>
  <c r="V15" i="99"/>
  <c r="V14" i="99"/>
  <c r="V13" i="99"/>
  <c r="V12" i="99"/>
  <c r="V11" i="99"/>
  <c r="V10" i="99"/>
  <c r="V97" i="97"/>
  <c r="V96" i="97"/>
  <c r="V95" i="97"/>
  <c r="V94" i="97"/>
  <c r="V93" i="97"/>
  <c r="V92" i="97"/>
  <c r="V91" i="97"/>
  <c r="V90" i="97"/>
  <c r="V89" i="97"/>
  <c r="V88" i="97"/>
  <c r="V87" i="97"/>
  <c r="V86" i="97"/>
  <c r="V85" i="97"/>
  <c r="V84" i="97"/>
  <c r="V83" i="97"/>
  <c r="V82" i="97"/>
  <c r="V81" i="97"/>
  <c r="V80" i="97"/>
  <c r="V79" i="97"/>
  <c r="V78" i="97"/>
  <c r="V77" i="97"/>
  <c r="V76" i="97"/>
  <c r="V75" i="97"/>
  <c r="V74" i="97"/>
  <c r="V73" i="97"/>
  <c r="V72" i="97"/>
  <c r="V71" i="97"/>
  <c r="V70" i="97"/>
  <c r="V69" i="97"/>
  <c r="V68" i="97"/>
  <c r="V67" i="97"/>
  <c r="V66" i="97"/>
  <c r="V65" i="97"/>
  <c r="V64" i="97"/>
  <c r="V63" i="97"/>
  <c r="V62" i="97"/>
  <c r="V61" i="97"/>
  <c r="V60" i="97"/>
  <c r="V59" i="97"/>
  <c r="V58" i="97"/>
  <c r="V57" i="97"/>
  <c r="V56" i="97"/>
  <c r="V55" i="97"/>
  <c r="V54" i="97"/>
  <c r="V53" i="97"/>
  <c r="V52" i="97"/>
  <c r="V51" i="97"/>
  <c r="V50" i="97"/>
  <c r="V49" i="97"/>
  <c r="V48" i="97"/>
  <c r="V47" i="97"/>
  <c r="V46" i="97"/>
  <c r="V45" i="97"/>
  <c r="V44" i="97"/>
  <c r="V43" i="97"/>
  <c r="V42" i="97"/>
  <c r="V41" i="97"/>
  <c r="V40" i="97"/>
  <c r="V39" i="97"/>
  <c r="V38" i="97"/>
  <c r="V37" i="97"/>
  <c r="V36" i="97"/>
  <c r="V35" i="97"/>
  <c r="V34" i="97"/>
  <c r="V33" i="97"/>
  <c r="V32" i="97"/>
  <c r="V31" i="97"/>
  <c r="V30" i="97"/>
  <c r="V29" i="97"/>
  <c r="V28" i="97"/>
  <c r="V27" i="97"/>
  <c r="V26" i="97"/>
  <c r="V25" i="97"/>
  <c r="V24" i="97"/>
  <c r="V23" i="97"/>
  <c r="V22" i="97"/>
  <c r="V21" i="97"/>
  <c r="V20" i="97"/>
  <c r="V19" i="97"/>
  <c r="V18" i="97"/>
  <c r="V17" i="97"/>
  <c r="V16" i="97"/>
  <c r="V15" i="97"/>
  <c r="V14" i="97"/>
  <c r="V13" i="97"/>
  <c r="V12" i="97"/>
  <c r="V11" i="97"/>
  <c r="V10" i="97"/>
  <c r="D27" i="2"/>
  <c r="E27" i="2"/>
  <c r="F27" i="2"/>
  <c r="G27" i="2"/>
  <c r="H27" i="2"/>
  <c r="I27" i="2"/>
  <c r="J27" i="2"/>
  <c r="K27" i="2"/>
  <c r="L27" i="2"/>
  <c r="D28" i="2"/>
  <c r="E28" i="2"/>
  <c r="F28" i="2"/>
  <c r="G28" i="2"/>
  <c r="H28" i="2"/>
  <c r="I28" i="2"/>
  <c r="J28" i="2"/>
  <c r="K28" i="2"/>
  <c r="L28" i="2"/>
  <c r="D29" i="2"/>
  <c r="E29" i="2"/>
  <c r="F29" i="2"/>
  <c r="G29" i="2"/>
  <c r="H29" i="2"/>
  <c r="I29" i="2"/>
  <c r="J29" i="2"/>
  <c r="K29" i="2"/>
  <c r="L29" i="2"/>
  <c r="X8" i="59"/>
  <c r="X29" i="59" s="1"/>
  <c r="W8" i="59"/>
  <c r="W40" i="59" s="1"/>
  <c r="X7" i="59"/>
  <c r="CE1" i="59"/>
  <c r="W8" i="113"/>
  <c r="W18" i="113" s="1"/>
  <c r="X7" i="113"/>
  <c r="CE1" i="113"/>
  <c r="W64" i="111"/>
  <c r="W51" i="111"/>
  <c r="W48" i="111"/>
  <c r="W34" i="111"/>
  <c r="W26" i="111"/>
  <c r="W25" i="111"/>
  <c r="W22" i="111"/>
  <c r="W19" i="111"/>
  <c r="W17" i="111"/>
  <c r="W16" i="111"/>
  <c r="W14" i="111"/>
  <c r="W13" i="111"/>
  <c r="W11" i="111"/>
  <c r="W8" i="111"/>
  <c r="Y7" i="111"/>
  <c r="X7" i="111"/>
  <c r="CE1" i="111"/>
  <c r="X42" i="109"/>
  <c r="X38" i="109"/>
  <c r="X34" i="109"/>
  <c r="X29" i="109"/>
  <c r="X19" i="109"/>
  <c r="W17" i="109"/>
  <c r="W15" i="109"/>
  <c r="X13" i="109"/>
  <c r="W13" i="109"/>
  <c r="X12" i="109"/>
  <c r="X8" i="109"/>
  <c r="X75" i="109" s="1"/>
  <c r="W8" i="109"/>
  <c r="X7" i="109"/>
  <c r="X37" i="109" s="1"/>
  <c r="CE1" i="109"/>
  <c r="X8" i="107"/>
  <c r="X28" i="107" s="1"/>
  <c r="W8" i="107"/>
  <c r="Y7" i="107"/>
  <c r="X7" i="107"/>
  <c r="CE1" i="107"/>
  <c r="W19" i="105"/>
  <c r="W18" i="105"/>
  <c r="W11" i="105"/>
  <c r="X8" i="105"/>
  <c r="X27" i="105" s="1"/>
  <c r="W8" i="105"/>
  <c r="W16" i="105" s="1"/>
  <c r="Y7" i="105"/>
  <c r="X7" i="105"/>
  <c r="CE1" i="105"/>
  <c r="W38" i="103"/>
  <c r="W24" i="103"/>
  <c r="W19" i="103"/>
  <c r="X15" i="103"/>
  <c r="W15" i="103"/>
  <c r="Y13" i="103"/>
  <c r="W12" i="103"/>
  <c r="Y8" i="103"/>
  <c r="X8" i="103"/>
  <c r="W8" i="103"/>
  <c r="W31" i="103" s="1"/>
  <c r="Y7" i="103"/>
  <c r="Y12" i="103" s="1"/>
  <c r="X7" i="103"/>
  <c r="X53" i="103" s="1"/>
  <c r="CE1" i="103"/>
  <c r="W20" i="101"/>
  <c r="W15" i="101"/>
  <c r="W13" i="101"/>
  <c r="W12" i="101"/>
  <c r="X8" i="101"/>
  <c r="X16" i="101" s="1"/>
  <c r="W8" i="101"/>
  <c r="X7" i="101"/>
  <c r="X12" i="101" s="1"/>
  <c r="CE1" i="101"/>
  <c r="W18" i="99"/>
  <c r="X13" i="99"/>
  <c r="X12" i="99"/>
  <c r="X8" i="99"/>
  <c r="X28" i="99" s="1"/>
  <c r="W8" i="99"/>
  <c r="X7" i="99"/>
  <c r="X24" i="99" s="1"/>
  <c r="CE1" i="99"/>
  <c r="W52" i="97"/>
  <c r="W48" i="97"/>
  <c r="W29" i="97"/>
  <c r="W25" i="97"/>
  <c r="W24" i="97"/>
  <c r="W23" i="97"/>
  <c r="W22" i="97"/>
  <c r="W18" i="97"/>
  <c r="W15" i="97"/>
  <c r="W14" i="97"/>
  <c r="W13" i="97"/>
  <c r="W12" i="97"/>
  <c r="W8" i="97"/>
  <c r="X7" i="97"/>
  <c r="CE1" i="97"/>
  <c r="U16" i="59"/>
  <c r="M16" i="59"/>
  <c r="L16" i="59"/>
  <c r="N16" i="59" s="1"/>
  <c r="O16" i="59" s="1"/>
  <c r="U15" i="59"/>
  <c r="M15" i="59"/>
  <c r="L15" i="59"/>
  <c r="U14" i="59"/>
  <c r="M14" i="59"/>
  <c r="L14" i="59"/>
  <c r="U17" i="59"/>
  <c r="M17" i="59"/>
  <c r="L17" i="59"/>
  <c r="N17" i="59" s="1"/>
  <c r="O17" i="59" s="1"/>
  <c r="W31" i="59" l="1"/>
  <c r="X11" i="59"/>
  <c r="W22" i="59"/>
  <c r="X22" i="59"/>
  <c r="W13" i="59"/>
  <c r="X35" i="59"/>
  <c r="X13" i="59"/>
  <c r="X30" i="59"/>
  <c r="X15" i="59"/>
  <c r="W93" i="59"/>
  <c r="W96" i="59"/>
  <c r="W91" i="59"/>
  <c r="W94" i="59"/>
  <c r="W97" i="59"/>
  <c r="W89" i="59"/>
  <c r="W92" i="59"/>
  <c r="W95" i="59"/>
  <c r="W78" i="59"/>
  <c r="W74" i="59"/>
  <c r="W84" i="59"/>
  <c r="W81" i="59"/>
  <c r="W86" i="59"/>
  <c r="W72" i="59"/>
  <c r="W63" i="59"/>
  <c r="W90" i="59"/>
  <c r="W85" i="59"/>
  <c r="W82" i="59"/>
  <c r="W88" i="59"/>
  <c r="W80" i="59"/>
  <c r="W73" i="59"/>
  <c r="W70" i="59"/>
  <c r="W67" i="59"/>
  <c r="W57" i="59"/>
  <c r="W60" i="59"/>
  <c r="W75" i="59"/>
  <c r="W58" i="59"/>
  <c r="W79" i="59"/>
  <c r="W69" i="59"/>
  <c r="W66" i="59"/>
  <c r="W62" i="59"/>
  <c r="W64" i="59"/>
  <c r="W52" i="59"/>
  <c r="W44" i="59"/>
  <c r="W83" i="59"/>
  <c r="W47" i="59"/>
  <c r="W56" i="59"/>
  <c r="W68" i="59"/>
  <c r="W53" i="59"/>
  <c r="W50" i="59"/>
  <c r="W55" i="59"/>
  <c r="W51" i="59"/>
  <c r="W61" i="59"/>
  <c r="W39" i="59"/>
  <c r="W30" i="59"/>
  <c r="W59" i="59"/>
  <c r="W46" i="59"/>
  <c r="W42" i="59"/>
  <c r="W34" i="59"/>
  <c r="W77" i="59"/>
  <c r="W37" i="59"/>
  <c r="W28" i="59"/>
  <c r="W48" i="59"/>
  <c r="W36" i="59"/>
  <c r="W25" i="59"/>
  <c r="W16" i="59"/>
  <c r="W45" i="59"/>
  <c r="W41" i="59"/>
  <c r="W19" i="59"/>
  <c r="W33" i="59"/>
  <c r="W23" i="59"/>
  <c r="W35" i="59"/>
  <c r="W24" i="59"/>
  <c r="W15" i="59"/>
  <c r="W11" i="59"/>
  <c r="W14" i="59"/>
  <c r="W38" i="59"/>
  <c r="W26" i="59"/>
  <c r="W49" i="59"/>
  <c r="W29" i="59"/>
  <c r="W18" i="59"/>
  <c r="W17" i="59"/>
  <c r="W20" i="59"/>
  <c r="W27" i="59"/>
  <c r="W12" i="59"/>
  <c r="W71" i="59"/>
  <c r="X25" i="59"/>
  <c r="X36" i="59"/>
  <c r="X12" i="59"/>
  <c r="X16" i="59"/>
  <c r="X27" i="59"/>
  <c r="X20" i="59"/>
  <c r="X49" i="59"/>
  <c r="X96" i="59"/>
  <c r="X88" i="59"/>
  <c r="X91" i="59"/>
  <c r="X94" i="59"/>
  <c r="X97" i="59"/>
  <c r="X89" i="59"/>
  <c r="X92" i="59"/>
  <c r="X95" i="59"/>
  <c r="X90" i="59"/>
  <c r="X81" i="59"/>
  <c r="X93" i="59"/>
  <c r="X84" i="59"/>
  <c r="X78" i="59"/>
  <c r="X86" i="59"/>
  <c r="X75" i="59"/>
  <c r="X67" i="59"/>
  <c r="X83" i="59"/>
  <c r="X80" i="59"/>
  <c r="X73" i="59"/>
  <c r="X63" i="59"/>
  <c r="X60" i="59"/>
  <c r="X51" i="59"/>
  <c r="X55" i="59"/>
  <c r="X85" i="59"/>
  <c r="X77" i="59"/>
  <c r="X74" i="59"/>
  <c r="X57" i="59"/>
  <c r="X58" i="59"/>
  <c r="X79" i="59"/>
  <c r="X71" i="59"/>
  <c r="X68" i="59"/>
  <c r="X64" i="59"/>
  <c r="X61" i="59"/>
  <c r="X82" i="59"/>
  <c r="X72" i="59"/>
  <c r="X47" i="59"/>
  <c r="X66" i="59"/>
  <c r="X56" i="59"/>
  <c r="X53" i="59"/>
  <c r="X50" i="59"/>
  <c r="X45" i="59"/>
  <c r="X59" i="59"/>
  <c r="X48" i="59"/>
  <c r="X70" i="59"/>
  <c r="X69" i="59"/>
  <c r="X46" i="59"/>
  <c r="X42" i="59"/>
  <c r="X34" i="59"/>
  <c r="X37" i="59"/>
  <c r="X62" i="59"/>
  <c r="X44" i="59"/>
  <c r="X40" i="59"/>
  <c r="X31" i="59"/>
  <c r="X41" i="59"/>
  <c r="X28" i="59"/>
  <c r="X19" i="59"/>
  <c r="X33" i="59"/>
  <c r="X23" i="59"/>
  <c r="X38" i="59"/>
  <c r="X26" i="59"/>
  <c r="X17" i="59"/>
  <c r="X52" i="59"/>
  <c r="X39" i="59"/>
  <c r="X18" i="59"/>
  <c r="X24" i="59"/>
  <c r="Y7" i="59"/>
  <c r="X14" i="59"/>
  <c r="W14" i="113"/>
  <c r="W16" i="113"/>
  <c r="Y7" i="113"/>
  <c r="W11" i="113"/>
  <c r="X88" i="113"/>
  <c r="X90" i="113"/>
  <c r="X71" i="113"/>
  <c r="X64" i="113"/>
  <c r="X68" i="113"/>
  <c r="X74" i="113"/>
  <c r="X45" i="113"/>
  <c r="X42" i="113"/>
  <c r="X20" i="113"/>
  <c r="X11" i="113"/>
  <c r="W26" i="113"/>
  <c r="W13" i="113"/>
  <c r="W93" i="113"/>
  <c r="W96" i="113"/>
  <c r="W88" i="113"/>
  <c r="W91" i="113"/>
  <c r="W94" i="113"/>
  <c r="W97" i="113"/>
  <c r="W89" i="113"/>
  <c r="W92" i="113"/>
  <c r="W81" i="113"/>
  <c r="W90" i="113"/>
  <c r="W84" i="113"/>
  <c r="W75" i="113"/>
  <c r="W79" i="113"/>
  <c r="W86" i="113"/>
  <c r="W82" i="113"/>
  <c r="W80" i="113"/>
  <c r="W73" i="113"/>
  <c r="W71" i="113"/>
  <c r="W62" i="113"/>
  <c r="W85" i="113"/>
  <c r="W83" i="113"/>
  <c r="W74" i="113"/>
  <c r="W72" i="113"/>
  <c r="W63" i="113"/>
  <c r="W78" i="113"/>
  <c r="W68" i="113"/>
  <c r="W60" i="113"/>
  <c r="W55" i="113"/>
  <c r="W95" i="113"/>
  <c r="W64" i="113"/>
  <c r="W69" i="113"/>
  <c r="W61" i="113"/>
  <c r="W66" i="113"/>
  <c r="W70" i="113"/>
  <c r="W53" i="113"/>
  <c r="W51" i="113"/>
  <c r="W67" i="113"/>
  <c r="W57" i="113"/>
  <c r="W46" i="113"/>
  <c r="W49" i="113"/>
  <c r="W40" i="113"/>
  <c r="W31" i="113"/>
  <c r="W52" i="113"/>
  <c r="W44" i="113"/>
  <c r="W56" i="113"/>
  <c r="W47" i="113"/>
  <c r="W59" i="113"/>
  <c r="W50" i="113"/>
  <c r="W41" i="113"/>
  <c r="W33" i="113"/>
  <c r="W37" i="113"/>
  <c r="W29" i="113"/>
  <c r="W24" i="113"/>
  <c r="W34" i="113"/>
  <c r="W58" i="113"/>
  <c r="W48" i="113"/>
  <c r="W42" i="113"/>
  <c r="W30" i="113"/>
  <c r="W22" i="113"/>
  <c r="W38" i="113"/>
  <c r="W35" i="113"/>
  <c r="W39" i="113"/>
  <c r="W36" i="113"/>
  <c r="W23" i="113"/>
  <c r="W77" i="113"/>
  <c r="W19" i="113"/>
  <c r="W45" i="113"/>
  <c r="W28" i="113"/>
  <c r="W15" i="113"/>
  <c r="W27" i="113"/>
  <c r="W20" i="113"/>
  <c r="W25" i="113"/>
  <c r="X8" i="113"/>
  <c r="X16" i="113" s="1"/>
  <c r="W17" i="113"/>
  <c r="W12" i="113"/>
  <c r="X17" i="113"/>
  <c r="X12" i="113"/>
  <c r="X19" i="113"/>
  <c r="X91" i="111"/>
  <c r="X97" i="111"/>
  <c r="X92" i="111"/>
  <c r="X95" i="111"/>
  <c r="X90" i="111"/>
  <c r="X72" i="111"/>
  <c r="X83" i="111"/>
  <c r="X75" i="111"/>
  <c r="X84" i="111"/>
  <c r="X68" i="111"/>
  <c r="X66" i="111"/>
  <c r="X62" i="111"/>
  <c r="X80" i="111"/>
  <c r="X69" i="111"/>
  <c r="X71" i="111"/>
  <c r="X55" i="111"/>
  <c r="X49" i="111"/>
  <c r="X77" i="111"/>
  <c r="X56" i="111"/>
  <c r="X53" i="111"/>
  <c r="X41" i="111"/>
  <c r="X33" i="111"/>
  <c r="X24" i="111"/>
  <c r="X58" i="111"/>
  <c r="X64" i="111"/>
  <c r="X34" i="111"/>
  <c r="X25" i="111"/>
  <c r="X42" i="111"/>
  <c r="X13" i="111"/>
  <c r="X28" i="111"/>
  <c r="X20" i="111"/>
  <c r="X18" i="111"/>
  <c r="X8" i="111"/>
  <c r="X96" i="111" s="1"/>
  <c r="Y19" i="111"/>
  <c r="Y91" i="111"/>
  <c r="Y94" i="111"/>
  <c r="Y97" i="111"/>
  <c r="Y90" i="111"/>
  <c r="Y84" i="111"/>
  <c r="Y75" i="111"/>
  <c r="Y67" i="111"/>
  <c r="Y64" i="111"/>
  <c r="Y47" i="111"/>
  <c r="Y38" i="111"/>
  <c r="Y74" i="111"/>
  <c r="Y68" i="111"/>
  <c r="Y59" i="111"/>
  <c r="Y82" i="111"/>
  <c r="Y79" i="111"/>
  <c r="Y92" i="111"/>
  <c r="Y83" i="111"/>
  <c r="Y70" i="111"/>
  <c r="Y71" i="111"/>
  <c r="Y55" i="111"/>
  <c r="Y61" i="111"/>
  <c r="Y60" i="111"/>
  <c r="Y36" i="111"/>
  <c r="Y57" i="111"/>
  <c r="Y53" i="111"/>
  <c r="Y93" i="111"/>
  <c r="Y88" i="111"/>
  <c r="Y50" i="111"/>
  <c r="Y46" i="111"/>
  <c r="Y37" i="111"/>
  <c r="Y27" i="111"/>
  <c r="Y35" i="111"/>
  <c r="Y44" i="111"/>
  <c r="Y39" i="111"/>
  <c r="Y28" i="111"/>
  <c r="Y20" i="111"/>
  <c r="Y18" i="111"/>
  <c r="Y8" i="111"/>
  <c r="Y86" i="111" s="1"/>
  <c r="Y34" i="111"/>
  <c r="Y24" i="111"/>
  <c r="Y52" i="111"/>
  <c r="Y33" i="111"/>
  <c r="Y13" i="111"/>
  <c r="Y16" i="111"/>
  <c r="Y14" i="111"/>
  <c r="Z7" i="111"/>
  <c r="X17" i="111"/>
  <c r="Y40" i="111"/>
  <c r="X12" i="111"/>
  <c r="Y17" i="111"/>
  <c r="X35" i="111"/>
  <c r="X50" i="111"/>
  <c r="X67" i="111"/>
  <c r="W93" i="111"/>
  <c r="W96" i="111"/>
  <c r="W88" i="111"/>
  <c r="W91" i="111"/>
  <c r="W97" i="111"/>
  <c r="W89" i="111"/>
  <c r="W92" i="111"/>
  <c r="W83" i="111"/>
  <c r="W78" i="111"/>
  <c r="W69" i="111"/>
  <c r="W58" i="111"/>
  <c r="W49" i="111"/>
  <c r="W40" i="111"/>
  <c r="W95" i="111"/>
  <c r="W73" i="111"/>
  <c r="W67" i="111"/>
  <c r="W90" i="111"/>
  <c r="W84" i="111"/>
  <c r="W81" i="111"/>
  <c r="W75" i="111"/>
  <c r="W74" i="111"/>
  <c r="W68" i="111"/>
  <c r="W66" i="111"/>
  <c r="W62" i="111"/>
  <c r="W59" i="111"/>
  <c r="W86" i="111"/>
  <c r="W63" i="111"/>
  <c r="W57" i="111"/>
  <c r="W53" i="111"/>
  <c r="W82" i="111"/>
  <c r="W71" i="111"/>
  <c r="W56" i="111"/>
  <c r="W52" i="111"/>
  <c r="W61" i="111"/>
  <c r="W55" i="111"/>
  <c r="W37" i="111"/>
  <c r="W79" i="111"/>
  <c r="W60" i="111"/>
  <c r="W94" i="111"/>
  <c r="W70" i="111"/>
  <c r="W45" i="111"/>
  <c r="W41" i="111"/>
  <c r="W38" i="111"/>
  <c r="W36" i="111"/>
  <c r="W85" i="111"/>
  <c r="W50" i="111"/>
  <c r="W29" i="111"/>
  <c r="W20" i="111"/>
  <c r="W72" i="111"/>
  <c r="W47" i="111"/>
  <c r="W33" i="111"/>
  <c r="W24" i="111"/>
  <c r="W77" i="111"/>
  <c r="W35" i="111"/>
  <c r="W30" i="111"/>
  <c r="W18" i="111"/>
  <c r="W15" i="111"/>
  <c r="W23" i="111"/>
  <c r="W42" i="111"/>
  <c r="W44" i="111"/>
  <c r="W28" i="111"/>
  <c r="W46" i="111"/>
  <c r="W80" i="111"/>
  <c r="W12" i="111"/>
  <c r="W27" i="111"/>
  <c r="W31" i="111"/>
  <c r="W39" i="111"/>
  <c r="W93" i="109"/>
  <c r="W96" i="109"/>
  <c r="W88" i="109"/>
  <c r="W91" i="109"/>
  <c r="W94" i="109"/>
  <c r="W97" i="109"/>
  <c r="W89" i="109"/>
  <c r="W86" i="109"/>
  <c r="W84" i="109"/>
  <c r="W92" i="109"/>
  <c r="W90" i="109"/>
  <c r="W79" i="109"/>
  <c r="W85" i="109"/>
  <c r="W82" i="109"/>
  <c r="W70" i="109"/>
  <c r="W81" i="109"/>
  <c r="W74" i="109"/>
  <c r="W73" i="109"/>
  <c r="W75" i="109"/>
  <c r="W63" i="109"/>
  <c r="W58" i="109"/>
  <c r="W64" i="109"/>
  <c r="W62" i="109"/>
  <c r="W95" i="109"/>
  <c r="W78" i="109"/>
  <c r="W59" i="109"/>
  <c r="W66" i="109"/>
  <c r="W72" i="109"/>
  <c r="W69" i="109"/>
  <c r="W56" i="109"/>
  <c r="W67" i="109"/>
  <c r="W61" i="109"/>
  <c r="W57" i="109"/>
  <c r="W49" i="109"/>
  <c r="W53" i="109"/>
  <c r="W37" i="109"/>
  <c r="W28" i="109"/>
  <c r="W19" i="109"/>
  <c r="W77" i="109"/>
  <c r="W71" i="109"/>
  <c r="W55" i="109"/>
  <c r="W40" i="109"/>
  <c r="W31" i="109"/>
  <c r="W23" i="109"/>
  <c r="W14" i="109"/>
  <c r="W83" i="109"/>
  <c r="W60" i="109"/>
  <c r="W38" i="109"/>
  <c r="W29" i="109"/>
  <c r="W20" i="109"/>
  <c r="W48" i="109"/>
  <c r="W47" i="109"/>
  <c r="W44" i="109"/>
  <c r="W34" i="109"/>
  <c r="W39" i="109"/>
  <c r="W35" i="109"/>
  <c r="W68" i="109"/>
  <c r="W52" i="109"/>
  <c r="W46" i="109"/>
  <c r="W30" i="109"/>
  <c r="W26" i="109"/>
  <c r="W45" i="109"/>
  <c r="W42" i="109"/>
  <c r="W27" i="109"/>
  <c r="W80" i="109"/>
  <c r="W33" i="109"/>
  <c r="W25" i="109"/>
  <c r="W12" i="109"/>
  <c r="W18" i="109"/>
  <c r="W36" i="109"/>
  <c r="X22" i="109"/>
  <c r="W11" i="109"/>
  <c r="X16" i="109"/>
  <c r="X27" i="109"/>
  <c r="X48" i="109"/>
  <c r="W22" i="109"/>
  <c r="X28" i="109"/>
  <c r="X11" i="109"/>
  <c r="W24" i="109"/>
  <c r="W41" i="109"/>
  <c r="W16" i="109"/>
  <c r="X96" i="109"/>
  <c r="X88" i="109"/>
  <c r="X91" i="109"/>
  <c r="X94" i="109"/>
  <c r="X97" i="109"/>
  <c r="X89" i="109"/>
  <c r="X92" i="109"/>
  <c r="X93" i="109"/>
  <c r="X90" i="109"/>
  <c r="X79" i="109"/>
  <c r="X82" i="109"/>
  <c r="X73" i="109"/>
  <c r="X64" i="109"/>
  <c r="X95" i="109"/>
  <c r="X77" i="109"/>
  <c r="X86" i="109"/>
  <c r="X80" i="109"/>
  <c r="X72" i="109"/>
  <c r="X69" i="109"/>
  <c r="X66" i="109"/>
  <c r="X61" i="109"/>
  <c r="X62" i="109"/>
  <c r="X74" i="109"/>
  <c r="X81" i="109"/>
  <c r="X67" i="109"/>
  <c r="X60" i="109"/>
  <c r="X85" i="109"/>
  <c r="X78" i="109"/>
  <c r="X71" i="109"/>
  <c r="X83" i="109"/>
  <c r="X63" i="109"/>
  <c r="X53" i="109"/>
  <c r="X52" i="109"/>
  <c r="X56" i="109"/>
  <c r="X55" i="109"/>
  <c r="X40" i="109"/>
  <c r="X31" i="109"/>
  <c r="X23" i="109"/>
  <c r="X14" i="109"/>
  <c r="X70" i="109"/>
  <c r="X58" i="109"/>
  <c r="X49" i="109"/>
  <c r="X46" i="109"/>
  <c r="X44" i="109"/>
  <c r="X35" i="109"/>
  <c r="X26" i="109"/>
  <c r="X17" i="109"/>
  <c r="X84" i="109"/>
  <c r="X50" i="109"/>
  <c r="X47" i="109"/>
  <c r="X41" i="109"/>
  <c r="X33" i="109"/>
  <c r="X24" i="109"/>
  <c r="X15" i="109"/>
  <c r="X57" i="109"/>
  <c r="X39" i="109"/>
  <c r="X68" i="109"/>
  <c r="X36" i="109"/>
  <c r="X51" i="109"/>
  <c r="X45" i="109"/>
  <c r="X59" i="109"/>
  <c r="X25" i="109"/>
  <c r="X30" i="109"/>
  <c r="X18" i="109"/>
  <c r="Y7" i="109"/>
  <c r="X20" i="109"/>
  <c r="W50" i="109"/>
  <c r="W51" i="109"/>
  <c r="W93" i="107"/>
  <c r="W96" i="107"/>
  <c r="W88" i="107"/>
  <c r="W91" i="107"/>
  <c r="W94" i="107"/>
  <c r="W97" i="107"/>
  <c r="W89" i="107"/>
  <c r="W92" i="107"/>
  <c r="W95" i="107"/>
  <c r="W86" i="107"/>
  <c r="W83" i="107"/>
  <c r="W84" i="107"/>
  <c r="W85" i="107"/>
  <c r="W78" i="107"/>
  <c r="W73" i="107"/>
  <c r="W64" i="107"/>
  <c r="W79" i="107"/>
  <c r="W82" i="107"/>
  <c r="W80" i="107"/>
  <c r="W74" i="107"/>
  <c r="W71" i="107"/>
  <c r="W75" i="107"/>
  <c r="W70" i="107"/>
  <c r="W68" i="107"/>
  <c r="W55" i="107"/>
  <c r="W61" i="107"/>
  <c r="W58" i="107"/>
  <c r="W44" i="107"/>
  <c r="W35" i="107"/>
  <c r="W90" i="107"/>
  <c r="W47" i="107"/>
  <c r="W38" i="107"/>
  <c r="W29" i="107"/>
  <c r="W59" i="107"/>
  <c r="W50" i="107"/>
  <c r="W66" i="107"/>
  <c r="W62" i="107"/>
  <c r="W72" i="107"/>
  <c r="W60" i="107"/>
  <c r="W51" i="107"/>
  <c r="W36" i="107"/>
  <c r="W56" i="107"/>
  <c r="W67" i="107"/>
  <c r="W48" i="107"/>
  <c r="W45" i="107"/>
  <c r="W40" i="107"/>
  <c r="W81" i="107"/>
  <c r="W52" i="107"/>
  <c r="W49" i="107"/>
  <c r="W46" i="107"/>
  <c r="W25" i="107"/>
  <c r="W69" i="107"/>
  <c r="W39" i="107"/>
  <c r="W19" i="107"/>
  <c r="W41" i="107"/>
  <c r="W23" i="107"/>
  <c r="W26" i="107"/>
  <c r="W63" i="107"/>
  <c r="W31" i="107"/>
  <c r="W28" i="107"/>
  <c r="W24" i="107"/>
  <c r="W77" i="107"/>
  <c r="W16" i="107"/>
  <c r="W14" i="107"/>
  <c r="W42" i="107"/>
  <c r="W53" i="107"/>
  <c r="W27" i="107"/>
  <c r="W12" i="107"/>
  <c r="W30" i="107"/>
  <c r="W33" i="107"/>
  <c r="W22" i="107"/>
  <c r="W13" i="107"/>
  <c r="W34" i="107"/>
  <c r="W18" i="107"/>
  <c r="W57" i="107"/>
  <c r="X12" i="107"/>
  <c r="W15" i="107"/>
  <c r="W37" i="107"/>
  <c r="W17" i="107"/>
  <c r="Y91" i="107"/>
  <c r="Y92" i="107"/>
  <c r="Y95" i="107"/>
  <c r="Y93" i="107"/>
  <c r="Y62" i="107"/>
  <c r="Y83" i="107"/>
  <c r="Y79" i="107"/>
  <c r="Y56" i="107"/>
  <c r="Y74" i="107"/>
  <c r="Y55" i="107"/>
  <c r="Y80" i="107"/>
  <c r="Y45" i="107"/>
  <c r="Y73" i="107"/>
  <c r="Y48" i="107"/>
  <c r="Y72" i="107"/>
  <c r="Y61" i="107"/>
  <c r="Y78" i="107"/>
  <c r="Y47" i="107"/>
  <c r="Y37" i="107"/>
  <c r="Y35" i="107"/>
  <c r="Y51" i="107"/>
  <c r="Y17" i="107"/>
  <c r="Y42" i="107"/>
  <c r="Y31" i="107"/>
  <c r="Y44" i="107"/>
  <c r="Y27" i="107"/>
  <c r="Y15" i="107"/>
  <c r="Y8" i="107"/>
  <c r="Y94" i="107" s="1"/>
  <c r="Y18" i="107"/>
  <c r="Y57" i="107"/>
  <c r="Y16" i="107"/>
  <c r="Z7" i="107"/>
  <c r="X31" i="107"/>
  <c r="X22" i="107"/>
  <c r="X60" i="107"/>
  <c r="X14" i="107"/>
  <c r="X16" i="107"/>
  <c r="X13" i="107"/>
  <c r="Y38" i="107"/>
  <c r="W11" i="107"/>
  <c r="W20" i="107"/>
  <c r="X11" i="107"/>
  <c r="X24" i="107"/>
  <c r="X35" i="107"/>
  <c r="X15" i="107"/>
  <c r="X96" i="107"/>
  <c r="X88" i="107"/>
  <c r="X91" i="107"/>
  <c r="X94" i="107"/>
  <c r="X97" i="107"/>
  <c r="X89" i="107"/>
  <c r="X92" i="107"/>
  <c r="X95" i="107"/>
  <c r="X86" i="107"/>
  <c r="X90" i="107"/>
  <c r="X78" i="107"/>
  <c r="X93" i="107"/>
  <c r="X79" i="107"/>
  <c r="X82" i="107"/>
  <c r="X68" i="107"/>
  <c r="X74" i="107"/>
  <c r="X84" i="107"/>
  <c r="X71" i="107"/>
  <c r="X80" i="107"/>
  <c r="X64" i="107"/>
  <c r="X61" i="107"/>
  <c r="X58" i="107"/>
  <c r="X52" i="107"/>
  <c r="X47" i="107"/>
  <c r="X38" i="107"/>
  <c r="X29" i="107"/>
  <c r="X70" i="107"/>
  <c r="X59" i="107"/>
  <c r="X55" i="107"/>
  <c r="X50" i="107"/>
  <c r="X41" i="107"/>
  <c r="X33" i="107"/>
  <c r="X66" i="107"/>
  <c r="X62" i="107"/>
  <c r="X56" i="107"/>
  <c r="X77" i="107"/>
  <c r="X73" i="107"/>
  <c r="X67" i="107"/>
  <c r="X63" i="107"/>
  <c r="X85" i="107"/>
  <c r="X44" i="107"/>
  <c r="X48" i="107"/>
  <c r="X45" i="107"/>
  <c r="X40" i="107"/>
  <c r="X81" i="107"/>
  <c r="X37" i="107"/>
  <c r="X72" i="107"/>
  <c r="X53" i="107"/>
  <c r="X83" i="107"/>
  <c r="X69" i="107"/>
  <c r="X57" i="107"/>
  <c r="X42" i="107"/>
  <c r="X39" i="107"/>
  <c r="X19" i="107"/>
  <c r="X51" i="107"/>
  <c r="X23" i="107"/>
  <c r="X75" i="107"/>
  <c r="X26" i="107"/>
  <c r="X17" i="107"/>
  <c r="X49" i="107"/>
  <c r="X30" i="107"/>
  <c r="X20" i="107"/>
  <c r="X36" i="107"/>
  <c r="X34" i="107"/>
  <c r="X27" i="107"/>
  <c r="X18" i="107"/>
  <c r="X25" i="107"/>
  <c r="X46" i="107"/>
  <c r="X11" i="105"/>
  <c r="X29" i="105"/>
  <c r="W93" i="105"/>
  <c r="W96" i="105"/>
  <c r="W88" i="105"/>
  <c r="W91" i="105"/>
  <c r="W94" i="105"/>
  <c r="W97" i="105"/>
  <c r="W89" i="105"/>
  <c r="W92" i="105"/>
  <c r="W80" i="105"/>
  <c r="W90" i="105"/>
  <c r="W83" i="105"/>
  <c r="W74" i="105"/>
  <c r="W81" i="105"/>
  <c r="W95" i="105"/>
  <c r="W84" i="105"/>
  <c r="W79" i="105"/>
  <c r="W86" i="105"/>
  <c r="W67" i="105"/>
  <c r="W58" i="105"/>
  <c r="W78" i="105"/>
  <c r="W70" i="105"/>
  <c r="W61" i="105"/>
  <c r="W64" i="105"/>
  <c r="W75" i="105"/>
  <c r="W68" i="105"/>
  <c r="W59" i="105"/>
  <c r="W71" i="105"/>
  <c r="W62" i="105"/>
  <c r="W73" i="105"/>
  <c r="W69" i="105"/>
  <c r="W82" i="105"/>
  <c r="W55" i="105"/>
  <c r="W60" i="105"/>
  <c r="W72" i="105"/>
  <c r="W57" i="105"/>
  <c r="W48" i="105"/>
  <c r="W51" i="105"/>
  <c r="W42" i="105"/>
  <c r="W46" i="105"/>
  <c r="W85" i="105"/>
  <c r="W56" i="105"/>
  <c r="W52" i="105"/>
  <c r="W47" i="105"/>
  <c r="W44" i="105"/>
  <c r="W27" i="105"/>
  <c r="W77" i="105"/>
  <c r="W41" i="105"/>
  <c r="W34" i="105"/>
  <c r="W66" i="105"/>
  <c r="W53" i="105"/>
  <c r="W50" i="105"/>
  <c r="W63" i="105"/>
  <c r="W39" i="105"/>
  <c r="W29" i="105"/>
  <c r="W35" i="105"/>
  <c r="W25" i="105"/>
  <c r="W23" i="105"/>
  <c r="W14" i="105"/>
  <c r="W33" i="105"/>
  <c r="W30" i="105"/>
  <c r="W17" i="105"/>
  <c r="W38" i="105"/>
  <c r="W26" i="105"/>
  <c r="W15" i="105"/>
  <c r="W37" i="105"/>
  <c r="W20" i="105"/>
  <c r="W12" i="105"/>
  <c r="W31" i="105"/>
  <c r="W24" i="105"/>
  <c r="W40" i="105"/>
  <c r="W36" i="105"/>
  <c r="W28" i="105"/>
  <c r="W22" i="105"/>
  <c r="W13" i="105"/>
  <c r="X25" i="105"/>
  <c r="X35" i="105"/>
  <c r="X53" i="105"/>
  <c r="Y94" i="105"/>
  <c r="Y89" i="105"/>
  <c r="Y92" i="105"/>
  <c r="Y95" i="105"/>
  <c r="Y86" i="105"/>
  <c r="Y90" i="105"/>
  <c r="Y81" i="105"/>
  <c r="Y72" i="105"/>
  <c r="Y93" i="105"/>
  <c r="Y84" i="105"/>
  <c r="Y79" i="105"/>
  <c r="Y82" i="105"/>
  <c r="Y96" i="105"/>
  <c r="Y77" i="105"/>
  <c r="Y74" i="105"/>
  <c r="Y64" i="105"/>
  <c r="Y75" i="105"/>
  <c r="Y68" i="105"/>
  <c r="Y59" i="105"/>
  <c r="Y80" i="105"/>
  <c r="Y66" i="105"/>
  <c r="Y57" i="105"/>
  <c r="Y88" i="105"/>
  <c r="Y69" i="105"/>
  <c r="Y60" i="105"/>
  <c r="Y70" i="105"/>
  <c r="Y63" i="105"/>
  <c r="Y58" i="105"/>
  <c r="Y46" i="105"/>
  <c r="Y62" i="105"/>
  <c r="Y49" i="105"/>
  <c r="Y40" i="105"/>
  <c r="Y44" i="105"/>
  <c r="Y61" i="105"/>
  <c r="Y50" i="105"/>
  <c r="Y41" i="105"/>
  <c r="Y37" i="105"/>
  <c r="Y34" i="105"/>
  <c r="Y25" i="105"/>
  <c r="Y73" i="105"/>
  <c r="Y83" i="105"/>
  <c r="Y35" i="105"/>
  <c r="Y31" i="105"/>
  <c r="Y36" i="105"/>
  <c r="Y33" i="105"/>
  <c r="Y51" i="105"/>
  <c r="Y30" i="105"/>
  <c r="Y20" i="105"/>
  <c r="Y52" i="105"/>
  <c r="Y26" i="105"/>
  <c r="Y24" i="105"/>
  <c r="Y15" i="105"/>
  <c r="Y22" i="105"/>
  <c r="Y38" i="105"/>
  <c r="Y18" i="105"/>
  <c r="Y8" i="105"/>
  <c r="Y97" i="105" s="1"/>
  <c r="Y13" i="105"/>
  <c r="Y47" i="105"/>
  <c r="Y19" i="105"/>
  <c r="Y11" i="105"/>
  <c r="Y48" i="105"/>
  <c r="Y45" i="105"/>
  <c r="Y29" i="105"/>
  <c r="Y27" i="105"/>
  <c r="Y23" i="105"/>
  <c r="Y14" i="105"/>
  <c r="X23" i="105"/>
  <c r="Y42" i="105"/>
  <c r="X18" i="105"/>
  <c r="X41" i="105"/>
  <c r="X19" i="105"/>
  <c r="X14" i="105"/>
  <c r="Z7" i="105"/>
  <c r="X13" i="105"/>
  <c r="X22" i="105"/>
  <c r="W45" i="105"/>
  <c r="W49" i="105"/>
  <c r="Y56" i="105"/>
  <c r="X16" i="105"/>
  <c r="X15" i="105"/>
  <c r="X24" i="105"/>
  <c r="X26" i="105"/>
  <c r="X31" i="105"/>
  <c r="X34" i="105"/>
  <c r="X12" i="105"/>
  <c r="X20" i="105"/>
  <c r="X44" i="105"/>
  <c r="X96" i="105"/>
  <c r="X88" i="105"/>
  <c r="X91" i="105"/>
  <c r="X94" i="105"/>
  <c r="X97" i="105"/>
  <c r="X89" i="105"/>
  <c r="X92" i="105"/>
  <c r="X95" i="105"/>
  <c r="X86" i="105"/>
  <c r="X90" i="105"/>
  <c r="X83" i="105"/>
  <c r="X74" i="105"/>
  <c r="X78" i="105"/>
  <c r="X93" i="105"/>
  <c r="X84" i="105"/>
  <c r="X79" i="105"/>
  <c r="X82" i="105"/>
  <c r="X73" i="105"/>
  <c r="X70" i="105"/>
  <c r="X61" i="105"/>
  <c r="X64" i="105"/>
  <c r="X56" i="105"/>
  <c r="X75" i="105"/>
  <c r="X68" i="105"/>
  <c r="X80" i="105"/>
  <c r="X71" i="105"/>
  <c r="X62" i="105"/>
  <c r="X81" i="105"/>
  <c r="X77" i="105"/>
  <c r="X72" i="105"/>
  <c r="X66" i="105"/>
  <c r="X57" i="105"/>
  <c r="X60" i="105"/>
  <c r="X63" i="105"/>
  <c r="X67" i="105"/>
  <c r="X55" i="105"/>
  <c r="X51" i="105"/>
  <c r="X59" i="105"/>
  <c r="X58" i="105"/>
  <c r="X46" i="105"/>
  <c r="X37" i="105"/>
  <c r="X49" i="105"/>
  <c r="X40" i="105"/>
  <c r="X85" i="105"/>
  <c r="X69" i="105"/>
  <c r="X52" i="105"/>
  <c r="X47" i="105"/>
  <c r="X30" i="105"/>
  <c r="X48" i="105"/>
  <c r="X45" i="105"/>
  <c r="X38" i="105"/>
  <c r="X28" i="105"/>
  <c r="X39" i="105"/>
  <c r="X36" i="105"/>
  <c r="X33" i="105"/>
  <c r="X17" i="105"/>
  <c r="X42" i="105"/>
  <c r="X50" i="105"/>
  <c r="X19" i="103"/>
  <c r="X34" i="103"/>
  <c r="X25" i="103"/>
  <c r="Y30" i="103"/>
  <c r="Y20" i="103"/>
  <c r="W30" i="103"/>
  <c r="X45" i="103"/>
  <c r="X12" i="103"/>
  <c r="Y15" i="103"/>
  <c r="Y19" i="103"/>
  <c r="Y24" i="103"/>
  <c r="Y29" i="103"/>
  <c r="X96" i="103"/>
  <c r="X91" i="103"/>
  <c r="X94" i="103"/>
  <c r="X97" i="103"/>
  <c r="X89" i="103"/>
  <c r="X92" i="103"/>
  <c r="X95" i="103"/>
  <c r="X86" i="103"/>
  <c r="X90" i="103"/>
  <c r="X81" i="103"/>
  <c r="X84" i="103"/>
  <c r="X79" i="103"/>
  <c r="X82" i="103"/>
  <c r="X85" i="103"/>
  <c r="X77" i="103"/>
  <c r="X93" i="103"/>
  <c r="X75" i="103"/>
  <c r="X67" i="103"/>
  <c r="X58" i="103"/>
  <c r="X78" i="103"/>
  <c r="X88" i="103"/>
  <c r="X73" i="103"/>
  <c r="X64" i="103"/>
  <c r="X68" i="103"/>
  <c r="X74" i="103"/>
  <c r="X83" i="103"/>
  <c r="X72" i="103"/>
  <c r="X71" i="103"/>
  <c r="X66" i="103"/>
  <c r="X62" i="103"/>
  <c r="X59" i="103"/>
  <c r="X80" i="103"/>
  <c r="X70" i="103"/>
  <c r="X60" i="103"/>
  <c r="X63" i="103"/>
  <c r="X61" i="103"/>
  <c r="X56" i="103"/>
  <c r="X51" i="103"/>
  <c r="X42" i="103"/>
  <c r="X46" i="103"/>
  <c r="X55" i="103"/>
  <c r="X49" i="103"/>
  <c r="X40" i="103"/>
  <c r="X52" i="103"/>
  <c r="X57" i="103"/>
  <c r="X47" i="103"/>
  <c r="X44" i="103"/>
  <c r="X48" i="103"/>
  <c r="X35" i="103"/>
  <c r="X50" i="103"/>
  <c r="X38" i="103"/>
  <c r="X29" i="103"/>
  <c r="X41" i="103"/>
  <c r="X33" i="103"/>
  <c r="X24" i="103"/>
  <c r="X39" i="103"/>
  <c r="X37" i="103"/>
  <c r="X69" i="103"/>
  <c r="X36" i="103"/>
  <c r="X30" i="103"/>
  <c r="X22" i="103"/>
  <c r="X28" i="103"/>
  <c r="W14" i="103"/>
  <c r="X18" i="103"/>
  <c r="W23" i="103"/>
  <c r="W28" i="103"/>
  <c r="Y91" i="103"/>
  <c r="Y94" i="103"/>
  <c r="Y97" i="103"/>
  <c r="Y89" i="103"/>
  <c r="Y92" i="103"/>
  <c r="Y95" i="103"/>
  <c r="Y90" i="103"/>
  <c r="Y93" i="103"/>
  <c r="Y84" i="103"/>
  <c r="Y82" i="103"/>
  <c r="Y85" i="103"/>
  <c r="Y86" i="103"/>
  <c r="Y80" i="103"/>
  <c r="Y88" i="103"/>
  <c r="Y83" i="103"/>
  <c r="Y78" i="103"/>
  <c r="Y70" i="103"/>
  <c r="Y61" i="103"/>
  <c r="Y81" i="103"/>
  <c r="Y73" i="103"/>
  <c r="Y96" i="103"/>
  <c r="Y79" i="103"/>
  <c r="Y68" i="103"/>
  <c r="Y77" i="103"/>
  <c r="Y71" i="103"/>
  <c r="Y69" i="103"/>
  <c r="Y74" i="103"/>
  <c r="Y64" i="103"/>
  <c r="Y75" i="103"/>
  <c r="Y66" i="103"/>
  <c r="Y62" i="103"/>
  <c r="Y59" i="103"/>
  <c r="Y55" i="103"/>
  <c r="Y72" i="103"/>
  <c r="Y46" i="103"/>
  <c r="Y37" i="103"/>
  <c r="Y49" i="103"/>
  <c r="Y60" i="103"/>
  <c r="Y52" i="103"/>
  <c r="Y44" i="103"/>
  <c r="Y58" i="103"/>
  <c r="Y57" i="103"/>
  <c r="Y47" i="103"/>
  <c r="Y50" i="103"/>
  <c r="Y39" i="103"/>
  <c r="Y48" i="103"/>
  <c r="Y40" i="103"/>
  <c r="Y63" i="103"/>
  <c r="Y56" i="103"/>
  <c r="Y53" i="103"/>
  <c r="Y45" i="103"/>
  <c r="Y51" i="103"/>
  <c r="Y42" i="103"/>
  <c r="Y41" i="103"/>
  <c r="Y35" i="103"/>
  <c r="Y33" i="103"/>
  <c r="Y34" i="103"/>
  <c r="Y27" i="103"/>
  <c r="Y36" i="103"/>
  <c r="Y25" i="103"/>
  <c r="Y67" i="103"/>
  <c r="Y38" i="103"/>
  <c r="Y31" i="103"/>
  <c r="Y23" i="103"/>
  <c r="W11" i="103"/>
  <c r="X14" i="103"/>
  <c r="Y18" i="103"/>
  <c r="X23" i="103"/>
  <c r="Y28" i="103"/>
  <c r="Z7" i="103"/>
  <c r="X11" i="103"/>
  <c r="Y14" i="103"/>
  <c r="W16" i="103"/>
  <c r="W17" i="103"/>
  <c r="W22" i="103"/>
  <c r="X27" i="103"/>
  <c r="W33" i="103"/>
  <c r="Y11" i="103"/>
  <c r="W13" i="103"/>
  <c r="X16" i="103"/>
  <c r="X17" i="103"/>
  <c r="Y22" i="103"/>
  <c r="X26" i="103"/>
  <c r="W93" i="103"/>
  <c r="W96" i="103"/>
  <c r="W88" i="103"/>
  <c r="W91" i="103"/>
  <c r="W94" i="103"/>
  <c r="W97" i="103"/>
  <c r="W89" i="103"/>
  <c r="W92" i="103"/>
  <c r="W95" i="103"/>
  <c r="W86" i="103"/>
  <c r="W78" i="103"/>
  <c r="W81" i="103"/>
  <c r="W84" i="103"/>
  <c r="W90" i="103"/>
  <c r="W82" i="103"/>
  <c r="W85" i="103"/>
  <c r="W80" i="103"/>
  <c r="W72" i="103"/>
  <c r="W63" i="103"/>
  <c r="W75" i="103"/>
  <c r="W70" i="103"/>
  <c r="W79" i="103"/>
  <c r="W73" i="103"/>
  <c r="W64" i="103"/>
  <c r="W83" i="103"/>
  <c r="W71" i="103"/>
  <c r="W68" i="103"/>
  <c r="W74" i="103"/>
  <c r="W61" i="103"/>
  <c r="W58" i="103"/>
  <c r="W77" i="103"/>
  <c r="W67" i="103"/>
  <c r="W48" i="103"/>
  <c r="W39" i="103"/>
  <c r="W56" i="103"/>
  <c r="W51" i="103"/>
  <c r="W46" i="103"/>
  <c r="W37" i="103"/>
  <c r="W66" i="103"/>
  <c r="W60" i="103"/>
  <c r="W55" i="103"/>
  <c r="W49" i="103"/>
  <c r="W52" i="103"/>
  <c r="W69" i="103"/>
  <c r="W59" i="103"/>
  <c r="W57" i="103"/>
  <c r="W53" i="103"/>
  <c r="W47" i="103"/>
  <c r="W45" i="103"/>
  <c r="W42" i="103"/>
  <c r="W34" i="103"/>
  <c r="W62" i="103"/>
  <c r="W44" i="103"/>
  <c r="W40" i="103"/>
  <c r="W41" i="103"/>
  <c r="W50" i="103"/>
  <c r="W26" i="103"/>
  <c r="W35" i="103"/>
  <c r="W29" i="103"/>
  <c r="W20" i="103"/>
  <c r="W27" i="103"/>
  <c r="W18" i="103"/>
  <c r="W25" i="103"/>
  <c r="X13" i="103"/>
  <c r="Y16" i="103"/>
  <c r="Y17" i="103"/>
  <c r="X20" i="103"/>
  <c r="Y26" i="103"/>
  <c r="X31" i="103"/>
  <c r="W36" i="103"/>
  <c r="W93" i="101"/>
  <c r="W96" i="101"/>
  <c r="W88" i="101"/>
  <c r="W91" i="101"/>
  <c r="W94" i="101"/>
  <c r="W97" i="101"/>
  <c r="W89" i="101"/>
  <c r="W92" i="101"/>
  <c r="W90" i="101"/>
  <c r="W81" i="101"/>
  <c r="W84" i="101"/>
  <c r="W79" i="101"/>
  <c r="W82" i="101"/>
  <c r="W83" i="101"/>
  <c r="W75" i="101"/>
  <c r="W77" i="101"/>
  <c r="W85" i="101"/>
  <c r="W78" i="101"/>
  <c r="W86" i="101"/>
  <c r="W95" i="101"/>
  <c r="W66" i="101"/>
  <c r="W57" i="101"/>
  <c r="W80" i="101"/>
  <c r="W69" i="101"/>
  <c r="W60" i="101"/>
  <c r="W63" i="101"/>
  <c r="W55" i="101"/>
  <c r="W67" i="101"/>
  <c r="W58" i="101"/>
  <c r="W74" i="101"/>
  <c r="W71" i="101"/>
  <c r="W70" i="101"/>
  <c r="W72" i="101"/>
  <c r="W46" i="101"/>
  <c r="W61" i="101"/>
  <c r="W49" i="101"/>
  <c r="W40" i="101"/>
  <c r="W64" i="101"/>
  <c r="W44" i="101"/>
  <c r="W35" i="101"/>
  <c r="W56" i="101"/>
  <c r="W47" i="101"/>
  <c r="W73" i="101"/>
  <c r="W59" i="101"/>
  <c r="W45" i="101"/>
  <c r="W68" i="101"/>
  <c r="W27" i="101"/>
  <c r="W48" i="101"/>
  <c r="W41" i="101"/>
  <c r="W36" i="101"/>
  <c r="W30" i="101"/>
  <c r="W34" i="101"/>
  <c r="W25" i="101"/>
  <c r="W50" i="101"/>
  <c r="W42" i="101"/>
  <c r="W51" i="101"/>
  <c r="W53" i="101"/>
  <c r="W52" i="101"/>
  <c r="W62" i="101"/>
  <c r="W38" i="101"/>
  <c r="W37" i="101"/>
  <c r="W31" i="101"/>
  <c r="W33" i="101"/>
  <c r="W23" i="101"/>
  <c r="W28" i="101"/>
  <c r="W29" i="101"/>
  <c r="W39" i="101"/>
  <c r="X13" i="101"/>
  <c r="X18" i="101"/>
  <c r="X51" i="101"/>
  <c r="X15" i="101"/>
  <c r="W17" i="101"/>
  <c r="X37" i="101"/>
  <c r="X96" i="101"/>
  <c r="X88" i="101"/>
  <c r="X91" i="101"/>
  <c r="X94" i="101"/>
  <c r="X97" i="101"/>
  <c r="X89" i="101"/>
  <c r="X92" i="101"/>
  <c r="X95" i="101"/>
  <c r="X86" i="101"/>
  <c r="X93" i="101"/>
  <c r="X84" i="101"/>
  <c r="X75" i="101"/>
  <c r="X82" i="101"/>
  <c r="X85" i="101"/>
  <c r="X90" i="101"/>
  <c r="X77" i="101"/>
  <c r="X73" i="101"/>
  <c r="X78" i="101"/>
  <c r="X74" i="101"/>
  <c r="X83" i="101"/>
  <c r="X80" i="101"/>
  <c r="X79" i="101"/>
  <c r="X69" i="101"/>
  <c r="X60" i="101"/>
  <c r="X63" i="101"/>
  <c r="X67" i="101"/>
  <c r="X58" i="101"/>
  <c r="X71" i="101"/>
  <c r="X70" i="101"/>
  <c r="X61" i="101"/>
  <c r="X81" i="101"/>
  <c r="X64" i="101"/>
  <c r="X55" i="101"/>
  <c r="X49" i="101"/>
  <c r="X40" i="101"/>
  <c r="X44" i="101"/>
  <c r="X56" i="101"/>
  <c r="X47" i="101"/>
  <c r="X38" i="101"/>
  <c r="X62" i="101"/>
  <c r="X52" i="101"/>
  <c r="X50" i="101"/>
  <c r="X68" i="101"/>
  <c r="X57" i="101"/>
  <c r="X48" i="101"/>
  <c r="X72" i="101"/>
  <c r="X41" i="101"/>
  <c r="X36" i="101"/>
  <c r="X30" i="101"/>
  <c r="X66" i="101"/>
  <c r="X34" i="101"/>
  <c r="X25" i="101"/>
  <c r="X42" i="101"/>
  <c r="X28" i="101"/>
  <c r="X59" i="101"/>
  <c r="X53" i="101"/>
  <c r="X45" i="101"/>
  <c r="X29" i="101"/>
  <c r="X39" i="101"/>
  <c r="X33" i="101"/>
  <c r="X27" i="101"/>
  <c r="X20" i="101"/>
  <c r="X46" i="101"/>
  <c r="X35" i="101"/>
  <c r="X24" i="101"/>
  <c r="W14" i="101"/>
  <c r="X17" i="101"/>
  <c r="W19" i="101"/>
  <c r="W24" i="101"/>
  <c r="W26" i="101"/>
  <c r="Y7" i="101"/>
  <c r="W11" i="101"/>
  <c r="X14" i="101"/>
  <c r="X19" i="101"/>
  <c r="X26" i="101"/>
  <c r="X11" i="101"/>
  <c r="W16" i="101"/>
  <c r="W22" i="101"/>
  <c r="W18" i="101"/>
  <c r="X22" i="101"/>
  <c r="X23" i="101"/>
  <c r="X31" i="101"/>
  <c r="X22" i="99"/>
  <c r="W93" i="99"/>
  <c r="W96" i="99"/>
  <c r="W88" i="99"/>
  <c r="W91" i="99"/>
  <c r="W94" i="99"/>
  <c r="W97" i="99"/>
  <c r="W89" i="99"/>
  <c r="W92" i="99"/>
  <c r="W95" i="99"/>
  <c r="W86" i="99"/>
  <c r="W85" i="99"/>
  <c r="W77" i="99"/>
  <c r="W68" i="99"/>
  <c r="W80" i="99"/>
  <c r="W71" i="99"/>
  <c r="W83" i="99"/>
  <c r="W74" i="99"/>
  <c r="W66" i="99"/>
  <c r="W78" i="99"/>
  <c r="W90" i="99"/>
  <c r="W81" i="99"/>
  <c r="W72" i="99"/>
  <c r="W84" i="99"/>
  <c r="W75" i="99"/>
  <c r="W67" i="99"/>
  <c r="W57" i="99"/>
  <c r="W48" i="99"/>
  <c r="W73" i="99"/>
  <c r="W60" i="99"/>
  <c r="W55" i="99"/>
  <c r="W79" i="99"/>
  <c r="W61" i="99"/>
  <c r="W52" i="99"/>
  <c r="W40" i="99"/>
  <c r="W69" i="99"/>
  <c r="W64" i="99"/>
  <c r="W59" i="99"/>
  <c r="W44" i="99"/>
  <c r="W49" i="99"/>
  <c r="W38" i="99"/>
  <c r="W41" i="99"/>
  <c r="W82" i="99"/>
  <c r="W70" i="99"/>
  <c r="W62" i="99"/>
  <c r="W51" i="99"/>
  <c r="W42" i="99"/>
  <c r="W56" i="99"/>
  <c r="W34" i="99"/>
  <c r="W28" i="99"/>
  <c r="W45" i="99"/>
  <c r="W31" i="99"/>
  <c r="W23" i="99"/>
  <c r="W58" i="99"/>
  <c r="W50" i="99"/>
  <c r="W46" i="99"/>
  <c r="W29" i="99"/>
  <c r="W39" i="99"/>
  <c r="W63" i="99"/>
  <c r="W47" i="99"/>
  <c r="W35" i="99"/>
  <c r="W33" i="99"/>
  <c r="W25" i="99"/>
  <c r="W13" i="99"/>
  <c r="W37" i="99"/>
  <c r="W26" i="99"/>
  <c r="W16" i="99"/>
  <c r="W27" i="99"/>
  <c r="W19" i="99"/>
  <c r="W11" i="99"/>
  <c r="W14" i="99"/>
  <c r="W24" i="99"/>
  <c r="W12" i="99"/>
  <c r="W53" i="99"/>
  <c r="W36" i="99"/>
  <c r="W30" i="99"/>
  <c r="W22" i="99"/>
  <c r="X18" i="99"/>
  <c r="W17" i="99"/>
  <c r="W20" i="99"/>
  <c r="W15" i="99"/>
  <c r="X25" i="99"/>
  <c r="X30" i="99"/>
  <c r="X68" i="99"/>
  <c r="X15" i="99"/>
  <c r="X29" i="99"/>
  <c r="X38" i="99"/>
  <c r="X20" i="99"/>
  <c r="X34" i="99"/>
  <c r="X17" i="99"/>
  <c r="Y7" i="99"/>
  <c r="X14" i="99"/>
  <c r="X96" i="99"/>
  <c r="X88" i="99"/>
  <c r="X91" i="99"/>
  <c r="X94" i="99"/>
  <c r="X97" i="99"/>
  <c r="X89" i="99"/>
  <c r="X92" i="99"/>
  <c r="X95" i="99"/>
  <c r="X86" i="99"/>
  <c r="X90" i="99"/>
  <c r="X80" i="99"/>
  <c r="X71" i="99"/>
  <c r="X83" i="99"/>
  <c r="X74" i="99"/>
  <c r="X66" i="99"/>
  <c r="X78" i="99"/>
  <c r="X69" i="99"/>
  <c r="X81" i="99"/>
  <c r="X72" i="99"/>
  <c r="X84" i="99"/>
  <c r="X75" i="99"/>
  <c r="X67" i="99"/>
  <c r="X93" i="99"/>
  <c r="X79" i="99"/>
  <c r="X70" i="99"/>
  <c r="X73" i="99"/>
  <c r="X60" i="99"/>
  <c r="X51" i="99"/>
  <c r="X85" i="99"/>
  <c r="X55" i="99"/>
  <c r="X63" i="99"/>
  <c r="X58" i="99"/>
  <c r="X77" i="99"/>
  <c r="X56" i="99"/>
  <c r="X64" i="99"/>
  <c r="X59" i="99"/>
  <c r="X44" i="99"/>
  <c r="X35" i="99"/>
  <c r="X49" i="99"/>
  <c r="X41" i="99"/>
  <c r="X33" i="99"/>
  <c r="X61" i="99"/>
  <c r="X50" i="99"/>
  <c r="X45" i="99"/>
  <c r="X36" i="99"/>
  <c r="X62" i="99"/>
  <c r="X57" i="99"/>
  <c r="X53" i="99"/>
  <c r="X46" i="99"/>
  <c r="X31" i="99"/>
  <c r="X23" i="99"/>
  <c r="X52" i="99"/>
  <c r="X48" i="99"/>
  <c r="X37" i="99"/>
  <c r="X26" i="99"/>
  <c r="X39" i="99"/>
  <c r="X47" i="99"/>
  <c r="X27" i="99"/>
  <c r="X40" i="99"/>
  <c r="X11" i="99"/>
  <c r="X19" i="99"/>
  <c r="X16" i="99"/>
  <c r="X42" i="99"/>
  <c r="X82" i="99"/>
  <c r="X58" i="97"/>
  <c r="X8" i="97"/>
  <c r="X16" i="97" s="1"/>
  <c r="X37" i="97"/>
  <c r="X18" i="97"/>
  <c r="X25" i="97"/>
  <c r="X11" i="97"/>
  <c r="X96" i="97"/>
  <c r="X88" i="97"/>
  <c r="X91" i="97"/>
  <c r="X94" i="97"/>
  <c r="X97" i="97"/>
  <c r="X89" i="97"/>
  <c r="X92" i="97"/>
  <c r="X95" i="97"/>
  <c r="X86" i="97"/>
  <c r="X90" i="97"/>
  <c r="X80" i="97"/>
  <c r="X71" i="97"/>
  <c r="X83" i="97"/>
  <c r="X78" i="97"/>
  <c r="X69" i="97"/>
  <c r="X81" i="97"/>
  <c r="X72" i="97"/>
  <c r="X84" i="97"/>
  <c r="X73" i="97"/>
  <c r="X62" i="97"/>
  <c r="X53" i="97"/>
  <c r="X93" i="97"/>
  <c r="X79" i="97"/>
  <c r="X57" i="97"/>
  <c r="X74" i="97"/>
  <c r="X70" i="97"/>
  <c r="X60" i="97"/>
  <c r="X85" i="97"/>
  <c r="X75" i="97"/>
  <c r="X55" i="97"/>
  <c r="X49" i="97"/>
  <c r="X67" i="97"/>
  <c r="X66" i="97"/>
  <c r="X56" i="97"/>
  <c r="X52" i="97"/>
  <c r="X68" i="97"/>
  <c r="X50" i="97"/>
  <c r="X82" i="97"/>
  <c r="X77" i="97"/>
  <c r="X42" i="97"/>
  <c r="X34" i="97"/>
  <c r="X63" i="97"/>
  <c r="X61" i="97"/>
  <c r="X44" i="97"/>
  <c r="X40" i="97"/>
  <c r="X59" i="97"/>
  <c r="X46" i="97"/>
  <c r="X64" i="97"/>
  <c r="X39" i="97"/>
  <c r="X38" i="97"/>
  <c r="X23" i="97"/>
  <c r="X14" i="97"/>
  <c r="Y7" i="97"/>
  <c r="X26" i="97"/>
  <c r="X47" i="97"/>
  <c r="X35" i="97"/>
  <c r="X51" i="97"/>
  <c r="X48" i="97"/>
  <c r="X33" i="97"/>
  <c r="X29" i="97"/>
  <c r="X20" i="97"/>
  <c r="X12" i="97"/>
  <c r="X45" i="97"/>
  <c r="X41" i="97"/>
  <c r="X28" i="97"/>
  <c r="X19" i="97"/>
  <c r="X36" i="97"/>
  <c r="X27" i="97"/>
  <c r="X24" i="97"/>
  <c r="X13" i="97"/>
  <c r="X31" i="97"/>
  <c r="X22" i="97"/>
  <c r="X15" i="97"/>
  <c r="X30" i="97"/>
  <c r="X17" i="97"/>
  <c r="W93" i="97"/>
  <c r="W96" i="97"/>
  <c r="W88" i="97"/>
  <c r="W91" i="97"/>
  <c r="W94" i="97"/>
  <c r="W97" i="97"/>
  <c r="W89" i="97"/>
  <c r="W92" i="97"/>
  <c r="W95" i="97"/>
  <c r="W86" i="97"/>
  <c r="W85" i="97"/>
  <c r="W77" i="97"/>
  <c r="W68" i="97"/>
  <c r="W80" i="97"/>
  <c r="W83" i="97"/>
  <c r="W74" i="97"/>
  <c r="W66" i="97"/>
  <c r="W78" i="97"/>
  <c r="W69" i="97"/>
  <c r="W59" i="97"/>
  <c r="W84" i="97"/>
  <c r="W73" i="97"/>
  <c r="W62" i="97"/>
  <c r="W79" i="97"/>
  <c r="W57" i="97"/>
  <c r="W60" i="97"/>
  <c r="W46" i="97"/>
  <c r="W55" i="97"/>
  <c r="W49" i="97"/>
  <c r="W90" i="97"/>
  <c r="W81" i="97"/>
  <c r="W72" i="97"/>
  <c r="W71" i="97"/>
  <c r="W61" i="97"/>
  <c r="W47" i="97"/>
  <c r="W67" i="97"/>
  <c r="W39" i="97"/>
  <c r="W30" i="97"/>
  <c r="W58" i="97"/>
  <c r="W56" i="97"/>
  <c r="W50" i="97"/>
  <c r="W37" i="97"/>
  <c r="W82" i="97"/>
  <c r="W75" i="97"/>
  <c r="W63" i="97"/>
  <c r="W44" i="97"/>
  <c r="W40" i="97"/>
  <c r="W70" i="97"/>
  <c r="W64" i="97"/>
  <c r="W34" i="97"/>
  <c r="W31" i="97"/>
  <c r="W28" i="97"/>
  <c r="W19" i="97"/>
  <c r="W11" i="97"/>
  <c r="W38" i="97"/>
  <c r="W35" i="97"/>
  <c r="W26" i="97"/>
  <c r="W17" i="97"/>
  <c r="W16" i="97"/>
  <c r="W20" i="97"/>
  <c r="W27" i="97"/>
  <c r="W33" i="97"/>
  <c r="W36" i="97"/>
  <c r="W41" i="97"/>
  <c r="W45" i="97"/>
  <c r="W53" i="97"/>
  <c r="W42" i="97"/>
  <c r="W51" i="97"/>
  <c r="N14" i="59"/>
  <c r="O14" i="59" s="1"/>
  <c r="N15" i="59"/>
  <c r="O15" i="59" s="1"/>
  <c r="Y8" i="59" l="1"/>
  <c r="Y91" i="59" s="1"/>
  <c r="Z7" i="59"/>
  <c r="X39" i="113"/>
  <c r="X15" i="113"/>
  <c r="X48" i="113"/>
  <c r="X63" i="113"/>
  <c r="X26" i="113"/>
  <c r="X72" i="113"/>
  <c r="X58" i="113"/>
  <c r="X85" i="113"/>
  <c r="X86" i="113"/>
  <c r="X96" i="113"/>
  <c r="X23" i="113"/>
  <c r="X29" i="113"/>
  <c r="X51" i="113"/>
  <c r="X77" i="113"/>
  <c r="X35" i="113"/>
  <c r="X62" i="113"/>
  <c r="X67" i="113"/>
  <c r="X93" i="113"/>
  <c r="X95" i="113"/>
  <c r="X14" i="113"/>
  <c r="X31" i="113"/>
  <c r="X37" i="113"/>
  <c r="X18" i="113"/>
  <c r="X50" i="113"/>
  <c r="X44" i="113"/>
  <c r="X70" i="113"/>
  <c r="X78" i="113"/>
  <c r="X73" i="113"/>
  <c r="X92" i="113"/>
  <c r="X33" i="113"/>
  <c r="X41" i="113"/>
  <c r="X34" i="113"/>
  <c r="X59" i="113"/>
  <c r="X52" i="113"/>
  <c r="X80" i="113"/>
  <c r="X83" i="113"/>
  <c r="X82" i="113"/>
  <c r="X89" i="113"/>
  <c r="Y91" i="113"/>
  <c r="Y97" i="113"/>
  <c r="Y90" i="113"/>
  <c r="Y79" i="113"/>
  <c r="Y73" i="113"/>
  <c r="Y96" i="113"/>
  <c r="Y88" i="113"/>
  <c r="Y69" i="113"/>
  <c r="Y61" i="113"/>
  <c r="Y75" i="113"/>
  <c r="Y66" i="113"/>
  <c r="Y72" i="113"/>
  <c r="Y67" i="113"/>
  <c r="Y49" i="113"/>
  <c r="Y38" i="113"/>
  <c r="Y29" i="113"/>
  <c r="Y56" i="113"/>
  <c r="Y45" i="113"/>
  <c r="Y48" i="113"/>
  <c r="Y30" i="113"/>
  <c r="Y78" i="113"/>
  <c r="Y35" i="113"/>
  <c r="Y19" i="113"/>
  <c r="Y36" i="113"/>
  <c r="Y28" i="113"/>
  <c r="Y53" i="113"/>
  <c r="Y24" i="113"/>
  <c r="Y17" i="113"/>
  <c r="Y8" i="113"/>
  <c r="Y89" i="113" s="1"/>
  <c r="Y18" i="113"/>
  <c r="Y15" i="113"/>
  <c r="Y14" i="113"/>
  <c r="Z7" i="113"/>
  <c r="Y12" i="113"/>
  <c r="X22" i="113"/>
  <c r="X28" i="113"/>
  <c r="X46" i="113"/>
  <c r="X38" i="113"/>
  <c r="X55" i="113"/>
  <c r="X56" i="113"/>
  <c r="X57" i="113"/>
  <c r="X79" i="113"/>
  <c r="X97" i="113"/>
  <c r="X25" i="113"/>
  <c r="X53" i="113"/>
  <c r="X27" i="113"/>
  <c r="X47" i="113"/>
  <c r="X40" i="113"/>
  <c r="X61" i="113"/>
  <c r="X66" i="113"/>
  <c r="X75" i="113"/>
  <c r="X94" i="113"/>
  <c r="X24" i="113"/>
  <c r="X13" i="113"/>
  <c r="X30" i="113"/>
  <c r="X36" i="113"/>
  <c r="X60" i="113"/>
  <c r="X49" i="113"/>
  <c r="X69" i="113"/>
  <c r="X81" i="113"/>
  <c r="X84" i="113"/>
  <c r="X91" i="113"/>
  <c r="Y42" i="111"/>
  <c r="Y73" i="111"/>
  <c r="Y58" i="111"/>
  <c r="Y96" i="111"/>
  <c r="Y85" i="111"/>
  <c r="Y56" i="111"/>
  <c r="Y81" i="111"/>
  <c r="X40" i="111"/>
  <c r="X45" i="111"/>
  <c r="X57" i="111"/>
  <c r="X38" i="111"/>
  <c r="X60" i="111"/>
  <c r="X79" i="111"/>
  <c r="X74" i="111"/>
  <c r="X81" i="111"/>
  <c r="X94" i="111"/>
  <c r="Z94" i="111"/>
  <c r="Z89" i="111"/>
  <c r="Z84" i="111"/>
  <c r="Z79" i="111"/>
  <c r="Z70" i="111"/>
  <c r="Z50" i="111"/>
  <c r="Z82" i="111"/>
  <c r="Z91" i="111"/>
  <c r="Z83" i="111"/>
  <c r="Z80" i="111"/>
  <c r="Z69" i="111"/>
  <c r="Z63" i="111"/>
  <c r="Z60" i="111"/>
  <c r="Z62" i="111"/>
  <c r="Z74" i="111"/>
  <c r="Z73" i="111"/>
  <c r="Z67" i="111"/>
  <c r="Z64" i="111"/>
  <c r="Z57" i="111"/>
  <c r="Z38" i="111"/>
  <c r="Z42" i="111"/>
  <c r="Z39" i="111"/>
  <c r="Z96" i="111"/>
  <c r="Z72" i="111"/>
  <c r="Z52" i="111"/>
  <c r="Z56" i="111"/>
  <c r="Z35" i="111"/>
  <c r="Z30" i="111"/>
  <c r="Z45" i="111"/>
  <c r="Z34" i="111"/>
  <c r="Z25" i="111"/>
  <c r="Z31" i="111"/>
  <c r="Z23" i="111"/>
  <c r="Z88" i="111"/>
  <c r="Z33" i="111"/>
  <c r="Z28" i="111"/>
  <c r="Z13" i="111"/>
  <c r="Z47" i="111"/>
  <c r="Z19" i="111"/>
  <c r="Z24" i="111"/>
  <c r="Z29" i="111"/>
  <c r="Z11" i="111"/>
  <c r="AA7" i="111"/>
  <c r="Z17" i="111"/>
  <c r="Z71" i="111"/>
  <c r="Z40" i="111"/>
  <c r="Z48" i="111"/>
  <c r="Z18" i="111"/>
  <c r="Z27" i="111"/>
  <c r="Z8" i="111"/>
  <c r="Z97" i="111" s="1"/>
  <c r="Z37" i="111"/>
  <c r="Z26" i="111"/>
  <c r="Z20" i="111"/>
  <c r="Y51" i="111"/>
  <c r="Y22" i="111"/>
  <c r="Y49" i="111"/>
  <c r="Y41" i="111"/>
  <c r="Y77" i="111"/>
  <c r="Y62" i="111"/>
  <c r="Y69" i="111"/>
  <c r="X14" i="111"/>
  <c r="X22" i="111"/>
  <c r="X27" i="111"/>
  <c r="X47" i="111"/>
  <c r="X70" i="111"/>
  <c r="X82" i="111"/>
  <c r="X44" i="111"/>
  <c r="X78" i="111"/>
  <c r="X88" i="111"/>
  <c r="Y11" i="111"/>
  <c r="Y26" i="111"/>
  <c r="Y15" i="111"/>
  <c r="Y31" i="111"/>
  <c r="Y12" i="111"/>
  <c r="Y25" i="111"/>
  <c r="Y29" i="111"/>
  <c r="Y23" i="111"/>
  <c r="Y30" i="111"/>
  <c r="Y63" i="111"/>
  <c r="Y45" i="111"/>
  <c r="Y78" i="111"/>
  <c r="Y66" i="111"/>
  <c r="Y72" i="111"/>
  <c r="Y95" i="111"/>
  <c r="X36" i="111"/>
  <c r="X15" i="111"/>
  <c r="X37" i="111"/>
  <c r="X63" i="111"/>
  <c r="X48" i="111"/>
  <c r="X85" i="111"/>
  <c r="X52" i="111"/>
  <c r="X89" i="111"/>
  <c r="Y80" i="111"/>
  <c r="Y89" i="111"/>
  <c r="X11" i="111"/>
  <c r="X73" i="111"/>
  <c r="X30" i="111"/>
  <c r="X29" i="111"/>
  <c r="X26" i="111"/>
  <c r="X16" i="111"/>
  <c r="X31" i="111"/>
  <c r="X39" i="111"/>
  <c r="X19" i="111"/>
  <c r="X23" i="111"/>
  <c r="X46" i="111"/>
  <c r="X93" i="111"/>
  <c r="X51" i="111"/>
  <c r="X59" i="111"/>
  <c r="X61" i="111"/>
  <c r="X86" i="111"/>
  <c r="Y48" i="111"/>
  <c r="Y92" i="109"/>
  <c r="Y88" i="109"/>
  <c r="Y77" i="109"/>
  <c r="Y68" i="109"/>
  <c r="Y79" i="109"/>
  <c r="Y56" i="109"/>
  <c r="Y80" i="109"/>
  <c r="Y62" i="109"/>
  <c r="Y60" i="109"/>
  <c r="Y44" i="109"/>
  <c r="Y17" i="109"/>
  <c r="Y36" i="109"/>
  <c r="Y81" i="109"/>
  <c r="Y45" i="109"/>
  <c r="Y33" i="109"/>
  <c r="Y24" i="109"/>
  <c r="Y19" i="109"/>
  <c r="Z7" i="109"/>
  <c r="Y37" i="109"/>
  <c r="Y15" i="109"/>
  <c r="Y63" i="109"/>
  <c r="Y8" i="109"/>
  <c r="Y91" i="109" s="1"/>
  <c r="Y12" i="109"/>
  <c r="Z95" i="107"/>
  <c r="Z93" i="107"/>
  <c r="Z77" i="107"/>
  <c r="Z66" i="107"/>
  <c r="Z82" i="107"/>
  <c r="Z62" i="107"/>
  <c r="Z67" i="107"/>
  <c r="Z48" i="107"/>
  <c r="Z64" i="107"/>
  <c r="Z51" i="107"/>
  <c r="Z53" i="107"/>
  <c r="Z49" i="107"/>
  <c r="Z26" i="107"/>
  <c r="Z40" i="107"/>
  <c r="Z24" i="107"/>
  <c r="Z27" i="107"/>
  <c r="Z38" i="107"/>
  <c r="Z8" i="107"/>
  <c r="Z94" i="107" s="1"/>
  <c r="Z13" i="107"/>
  <c r="AA7" i="107"/>
  <c r="Z78" i="107"/>
  <c r="Z12" i="107"/>
  <c r="Z22" i="107"/>
  <c r="Y24" i="107"/>
  <c r="Y26" i="107"/>
  <c r="Y58" i="107"/>
  <c r="Y64" i="107"/>
  <c r="Y77" i="107"/>
  <c r="Y59" i="107"/>
  <c r="Y85" i="107"/>
  <c r="Y90" i="107"/>
  <c r="Y13" i="107"/>
  <c r="Y14" i="107"/>
  <c r="Y19" i="107"/>
  <c r="Y28" i="107"/>
  <c r="Y23" i="107"/>
  <c r="Y40" i="107"/>
  <c r="Y68" i="107"/>
  <c r="Y36" i="107"/>
  <c r="Y70" i="107"/>
  <c r="Y88" i="107"/>
  <c r="Y86" i="107"/>
  <c r="Y25" i="107"/>
  <c r="Y29" i="107"/>
  <c r="Y20" i="107"/>
  <c r="Y39" i="107"/>
  <c r="Y69" i="107"/>
  <c r="Y52" i="107"/>
  <c r="Y33" i="107"/>
  <c r="Y66" i="107"/>
  <c r="Y71" i="107"/>
  <c r="Y89" i="107"/>
  <c r="Y46" i="107"/>
  <c r="Y12" i="107"/>
  <c r="Y30" i="107"/>
  <c r="Y34" i="107"/>
  <c r="Y84" i="107"/>
  <c r="Y63" i="107"/>
  <c r="Y41" i="107"/>
  <c r="Y96" i="107"/>
  <c r="Y82" i="107"/>
  <c r="Y97" i="107"/>
  <c r="Y11" i="107"/>
  <c r="Y22" i="107"/>
  <c r="Y49" i="107"/>
  <c r="Y53" i="107"/>
  <c r="Y60" i="107"/>
  <c r="Y67" i="107"/>
  <c r="Y50" i="107"/>
  <c r="Y75" i="107"/>
  <c r="Y81" i="107"/>
  <c r="Z95" i="105"/>
  <c r="Z82" i="105"/>
  <c r="Z59" i="105"/>
  <c r="Z79" i="105"/>
  <c r="Z63" i="105"/>
  <c r="Z73" i="105"/>
  <c r="Z57" i="105"/>
  <c r="Z67" i="105"/>
  <c r="Z51" i="105"/>
  <c r="Z46" i="105"/>
  <c r="Z37" i="105"/>
  <c r="Z34" i="105"/>
  <c r="Z8" i="105"/>
  <c r="Z94" i="105" s="1"/>
  <c r="Z13" i="105"/>
  <c r="Z41" i="105"/>
  <c r="AA7" i="105"/>
  <c r="Z19" i="105"/>
  <c r="Z20" i="105"/>
  <c r="Z36" i="105"/>
  <c r="Y28" i="105"/>
  <c r="Y39" i="105"/>
  <c r="Y17" i="105"/>
  <c r="Y12" i="105"/>
  <c r="Y55" i="105"/>
  <c r="Y53" i="105"/>
  <c r="Y67" i="105"/>
  <c r="Y71" i="105"/>
  <c r="Y85" i="105"/>
  <c r="Y78" i="105"/>
  <c r="Y91" i="105"/>
  <c r="Y16" i="105"/>
  <c r="Z94" i="103"/>
  <c r="Z89" i="103"/>
  <c r="Z95" i="103"/>
  <c r="Z90" i="103"/>
  <c r="Z93" i="103"/>
  <c r="Z96" i="103"/>
  <c r="Z79" i="103"/>
  <c r="Z85" i="103"/>
  <c r="Z91" i="103"/>
  <c r="Z83" i="103"/>
  <c r="Z81" i="103"/>
  <c r="Z64" i="103"/>
  <c r="Z71" i="103"/>
  <c r="Z66" i="103"/>
  <c r="Z84" i="103"/>
  <c r="Z72" i="103"/>
  <c r="Z62" i="103"/>
  <c r="Z69" i="103"/>
  <c r="Z68" i="103"/>
  <c r="Z63" i="103"/>
  <c r="Z49" i="103"/>
  <c r="Z60" i="103"/>
  <c r="Z52" i="103"/>
  <c r="Z57" i="103"/>
  <c r="Z47" i="103"/>
  <c r="Z38" i="103"/>
  <c r="Z67" i="103"/>
  <c r="Z45" i="103"/>
  <c r="Z44" i="103"/>
  <c r="Z35" i="103"/>
  <c r="Z41" i="103"/>
  <c r="Z34" i="103"/>
  <c r="Z39" i="103"/>
  <c r="Z36" i="103"/>
  <c r="Z30" i="103"/>
  <c r="Z22" i="103"/>
  <c r="Z61" i="103"/>
  <c r="Z28" i="103"/>
  <c r="Z26" i="103"/>
  <c r="Z11" i="103"/>
  <c r="Z56" i="103"/>
  <c r="Z33" i="103"/>
  <c r="AA7" i="103"/>
  <c r="Z18" i="103"/>
  <c r="Z12" i="103"/>
  <c r="Z25" i="103"/>
  <c r="Z29" i="103"/>
  <c r="Z15" i="103"/>
  <c r="Z8" i="103"/>
  <c r="Z97" i="103" s="1"/>
  <c r="Z31" i="103"/>
  <c r="Z16" i="103"/>
  <c r="Z17" i="103"/>
  <c r="Y92" i="101"/>
  <c r="Y90" i="101"/>
  <c r="Y85" i="101"/>
  <c r="Y84" i="101"/>
  <c r="Y55" i="101"/>
  <c r="Y70" i="101"/>
  <c r="Y80" i="101"/>
  <c r="Y78" i="101"/>
  <c r="Y58" i="101"/>
  <c r="Y66" i="101"/>
  <c r="Y69" i="101"/>
  <c r="Y83" i="101"/>
  <c r="Y31" i="101"/>
  <c r="Y33" i="101"/>
  <c r="Y20" i="101"/>
  <c r="Y29" i="101"/>
  <c r="Z7" i="101"/>
  <c r="Y8" i="101"/>
  <c r="Y91" i="101" s="1"/>
  <c r="Y17" i="101"/>
  <c r="Y15" i="101"/>
  <c r="Y23" i="101"/>
  <c r="Y16" i="101"/>
  <c r="Y94" i="99"/>
  <c r="Y95" i="99"/>
  <c r="Y90" i="99"/>
  <c r="Y93" i="99"/>
  <c r="Y83" i="99"/>
  <c r="Y78" i="99"/>
  <c r="Y69" i="99"/>
  <c r="Y72" i="99"/>
  <c r="Y63" i="99"/>
  <c r="Y88" i="99"/>
  <c r="Y79" i="99"/>
  <c r="Y70" i="99"/>
  <c r="Y73" i="99"/>
  <c r="Y64" i="99"/>
  <c r="Y85" i="99"/>
  <c r="Y58" i="99"/>
  <c r="Y96" i="99"/>
  <c r="Y61" i="99"/>
  <c r="Y52" i="99"/>
  <c r="Y68" i="99"/>
  <c r="Y38" i="99"/>
  <c r="Y41" i="99"/>
  <c r="Y50" i="99"/>
  <c r="Y45" i="99"/>
  <c r="Y36" i="99"/>
  <c r="Y39" i="99"/>
  <c r="Y48" i="99"/>
  <c r="Y44" i="99"/>
  <c r="Y37" i="99"/>
  <c r="Y26" i="99"/>
  <c r="Y53" i="99"/>
  <c r="Y29" i="99"/>
  <c r="Y27" i="99"/>
  <c r="Y62" i="99"/>
  <c r="Y35" i="99"/>
  <c r="Y57" i="99"/>
  <c r="Y23" i="99"/>
  <c r="Y19" i="99"/>
  <c r="Y11" i="99"/>
  <c r="Y24" i="99"/>
  <c r="Y14" i="99"/>
  <c r="Z7" i="99"/>
  <c r="Y34" i="99"/>
  <c r="Y17" i="99"/>
  <c r="Y12" i="99"/>
  <c r="Y28" i="99"/>
  <c r="Y31" i="99"/>
  <c r="Y22" i="99"/>
  <c r="Y8" i="99"/>
  <c r="Y91" i="99" s="1"/>
  <c r="Y46" i="99"/>
  <c r="Y42" i="99"/>
  <c r="Y25" i="99"/>
  <c r="Y16" i="99"/>
  <c r="Y13" i="99"/>
  <c r="Y15" i="99"/>
  <c r="Y92" i="97"/>
  <c r="Y95" i="97"/>
  <c r="Y86" i="97"/>
  <c r="Y90" i="97"/>
  <c r="Y78" i="97"/>
  <c r="Y81" i="97"/>
  <c r="Y72" i="97"/>
  <c r="Y63" i="97"/>
  <c r="Y79" i="97"/>
  <c r="Y69" i="97"/>
  <c r="Y57" i="97"/>
  <c r="Y70" i="97"/>
  <c r="Y56" i="97"/>
  <c r="Y52" i="97"/>
  <c r="Y44" i="97"/>
  <c r="Y96" i="97"/>
  <c r="Y61" i="97"/>
  <c r="Y71" i="97"/>
  <c r="Y53" i="97"/>
  <c r="Y49" i="97"/>
  <c r="Y37" i="97"/>
  <c r="Y28" i="97"/>
  <c r="Y59" i="97"/>
  <c r="Y46" i="97"/>
  <c r="Y35" i="97"/>
  <c r="Y51" i="97"/>
  <c r="Y45" i="97"/>
  <c r="Y26" i="97"/>
  <c r="Y17" i="97"/>
  <c r="Y33" i="97"/>
  <c r="Y29" i="97"/>
  <c r="Y48" i="97"/>
  <c r="Y41" i="97"/>
  <c r="Y24" i="97"/>
  <c r="Y15" i="97"/>
  <c r="Y36" i="97"/>
  <c r="Y27" i="97"/>
  <c r="Y8" i="97"/>
  <c r="Y91" i="97" s="1"/>
  <c r="Y68" i="97"/>
  <c r="Y30" i="97"/>
  <c r="Y25" i="97"/>
  <c r="Y18" i="97"/>
  <c r="Y14" i="97"/>
  <c r="Y11" i="97"/>
  <c r="Y12" i="97"/>
  <c r="Y23" i="97"/>
  <c r="Y20" i="97"/>
  <c r="Y13" i="97"/>
  <c r="Z7" i="97"/>
  <c r="Y34" i="97"/>
  <c r="Y31" i="97"/>
  <c r="U19" i="59"/>
  <c r="M19" i="59"/>
  <c r="L19" i="59"/>
  <c r="U18" i="59"/>
  <c r="M18" i="59"/>
  <c r="L18" i="59"/>
  <c r="U13" i="59"/>
  <c r="M13" i="59"/>
  <c r="L13" i="59"/>
  <c r="U12" i="59"/>
  <c r="M12" i="59"/>
  <c r="L12" i="59"/>
  <c r="AA8" i="95"/>
  <c r="AA30" i="95" s="1"/>
  <c r="AB7" i="95"/>
  <c r="CI1" i="95"/>
  <c r="Y71" i="59" l="1"/>
  <c r="Z89" i="59"/>
  <c r="Z96" i="59"/>
  <c r="Z79" i="59"/>
  <c r="Z82" i="59"/>
  <c r="Z88" i="59"/>
  <c r="Z61" i="59"/>
  <c r="Z83" i="59"/>
  <c r="Z62" i="59"/>
  <c r="Z70" i="59"/>
  <c r="Z53" i="59"/>
  <c r="Z50" i="59"/>
  <c r="Z74" i="59"/>
  <c r="Z52" i="59"/>
  <c r="Z35" i="59"/>
  <c r="Z38" i="59"/>
  <c r="Z42" i="59"/>
  <c r="Z20" i="59"/>
  <c r="Z36" i="59"/>
  <c r="Z25" i="59"/>
  <c r="Z12" i="59"/>
  <c r="Z41" i="59"/>
  <c r="Z8" i="59"/>
  <c r="Z94" i="59" s="1"/>
  <c r="Z57" i="59"/>
  <c r="Z28" i="59"/>
  <c r="Z13" i="59"/>
  <c r="Z14" i="59"/>
  <c r="AA7" i="59"/>
  <c r="Z11" i="59"/>
  <c r="Y52" i="59"/>
  <c r="Y63" i="59"/>
  <c r="Y42" i="59"/>
  <c r="Y40" i="59"/>
  <c r="Y48" i="59"/>
  <c r="Y83" i="59"/>
  <c r="Y79" i="59"/>
  <c r="Y61" i="59"/>
  <c r="Y90" i="59"/>
  <c r="Y14" i="59"/>
  <c r="Y12" i="59"/>
  <c r="Y22" i="59"/>
  <c r="Y46" i="59"/>
  <c r="Y44" i="59"/>
  <c r="Y59" i="59"/>
  <c r="Y74" i="59"/>
  <c r="Y58" i="59"/>
  <c r="Y70" i="59"/>
  <c r="Y86" i="59"/>
  <c r="Y13" i="59"/>
  <c r="Y16" i="59"/>
  <c r="Y27" i="59"/>
  <c r="Y23" i="59"/>
  <c r="Y28" i="59"/>
  <c r="Y60" i="59"/>
  <c r="Y77" i="59"/>
  <c r="Y64" i="59"/>
  <c r="Y75" i="59"/>
  <c r="Y95" i="59"/>
  <c r="Y30" i="59"/>
  <c r="Y33" i="59"/>
  <c r="Y37" i="59"/>
  <c r="Y67" i="59"/>
  <c r="Y85" i="59"/>
  <c r="Y68" i="59"/>
  <c r="Y92" i="59"/>
  <c r="Y19" i="59"/>
  <c r="Y18" i="59"/>
  <c r="Y20" i="59"/>
  <c r="Y35" i="59"/>
  <c r="Y49" i="59"/>
  <c r="Y45" i="59"/>
  <c r="Y62" i="59"/>
  <c r="Y89" i="59"/>
  <c r="Y41" i="59"/>
  <c r="Y39" i="59"/>
  <c r="Y29" i="59"/>
  <c r="Y47" i="59"/>
  <c r="Y57" i="59"/>
  <c r="Y50" i="59"/>
  <c r="Y66" i="59"/>
  <c r="Y55" i="59"/>
  <c r="Y88" i="59"/>
  <c r="Y97" i="59"/>
  <c r="Y17" i="59"/>
  <c r="Y78" i="59"/>
  <c r="Y81" i="59"/>
  <c r="Y11" i="59"/>
  <c r="Y25" i="59"/>
  <c r="Y24" i="59"/>
  <c r="Y26" i="59"/>
  <c r="Y51" i="59"/>
  <c r="Y73" i="59"/>
  <c r="Y53" i="59"/>
  <c r="Y69" i="59"/>
  <c r="Y80" i="59"/>
  <c r="Y84" i="59"/>
  <c r="Y94" i="59"/>
  <c r="Y15" i="59"/>
  <c r="Y36" i="59"/>
  <c r="Y34" i="59"/>
  <c r="Y38" i="59"/>
  <c r="Y31" i="59"/>
  <c r="Y82" i="59"/>
  <c r="Y56" i="59"/>
  <c r="Y72" i="59"/>
  <c r="Y96" i="59"/>
  <c r="Y93" i="59"/>
  <c r="Y46" i="113"/>
  <c r="Y27" i="113"/>
  <c r="Y39" i="113"/>
  <c r="Y59" i="113"/>
  <c r="Y68" i="113"/>
  <c r="Y57" i="113"/>
  <c r="Y81" i="113"/>
  <c r="Y82" i="113"/>
  <c r="Y94" i="113"/>
  <c r="Z95" i="113"/>
  <c r="Z90" i="113"/>
  <c r="Z82" i="113"/>
  <c r="Z86" i="113"/>
  <c r="Z80" i="113"/>
  <c r="Z81" i="113"/>
  <c r="Z63" i="113"/>
  <c r="Z75" i="113"/>
  <c r="Z79" i="113"/>
  <c r="Z71" i="113"/>
  <c r="Z70" i="113"/>
  <c r="Z53" i="113"/>
  <c r="Z52" i="113"/>
  <c r="Z88" i="113"/>
  <c r="Z47" i="113"/>
  <c r="Z38" i="113"/>
  <c r="Z33" i="113"/>
  <c r="Z45" i="113"/>
  <c r="Z48" i="113"/>
  <c r="Z58" i="113"/>
  <c r="Z25" i="113"/>
  <c r="Z30" i="113"/>
  <c r="Z35" i="113"/>
  <c r="Z31" i="113"/>
  <c r="Z23" i="113"/>
  <c r="Z68" i="113"/>
  <c r="Z44" i="113"/>
  <c r="Z40" i="113"/>
  <c r="Z37" i="113"/>
  <c r="Z24" i="113"/>
  <c r="Z49" i="113"/>
  <c r="Z27" i="113"/>
  <c r="Z16" i="113"/>
  <c r="Z22" i="113"/>
  <c r="Z18" i="113"/>
  <c r="Z8" i="113"/>
  <c r="Z94" i="113" s="1"/>
  <c r="Z11" i="113"/>
  <c r="Z29" i="113"/>
  <c r="Z15" i="113"/>
  <c r="Z14" i="113"/>
  <c r="AA7" i="113"/>
  <c r="Y23" i="113"/>
  <c r="Y20" i="113"/>
  <c r="Y22" i="113"/>
  <c r="Y63" i="113"/>
  <c r="Y47" i="113"/>
  <c r="Y74" i="113"/>
  <c r="Y70" i="113"/>
  <c r="Y80" i="113"/>
  <c r="Y86" i="113"/>
  <c r="Y37" i="113"/>
  <c r="Y34" i="113"/>
  <c r="Y25" i="113"/>
  <c r="Y26" i="113"/>
  <c r="Y64" i="113"/>
  <c r="Y44" i="113"/>
  <c r="Y62" i="113"/>
  <c r="Y83" i="113"/>
  <c r="Y77" i="113"/>
  <c r="Y95" i="113"/>
  <c r="Y11" i="113"/>
  <c r="Y40" i="113"/>
  <c r="Y33" i="113"/>
  <c r="Y42" i="113"/>
  <c r="Y41" i="113"/>
  <c r="Y52" i="113"/>
  <c r="Y71" i="113"/>
  <c r="Y84" i="113"/>
  <c r="Y85" i="113"/>
  <c r="Y92" i="113"/>
  <c r="Y13" i="113"/>
  <c r="Y16" i="113"/>
  <c r="Y31" i="113"/>
  <c r="Y51" i="113"/>
  <c r="Y50" i="113"/>
  <c r="Y55" i="113"/>
  <c r="Y58" i="113"/>
  <c r="Y60" i="113"/>
  <c r="Y93" i="113"/>
  <c r="Z12" i="111"/>
  <c r="Z49" i="111"/>
  <c r="Z36" i="111"/>
  <c r="Z51" i="111"/>
  <c r="Z46" i="111"/>
  <c r="Z61" i="111"/>
  <c r="Z75" i="111"/>
  <c r="Z85" i="111"/>
  <c r="Z93" i="111"/>
  <c r="AA89" i="111"/>
  <c r="AA95" i="111"/>
  <c r="AA93" i="111"/>
  <c r="AA96" i="111"/>
  <c r="AA88" i="111"/>
  <c r="AA79" i="111"/>
  <c r="AA82" i="111"/>
  <c r="AA84" i="111"/>
  <c r="AA77" i="111"/>
  <c r="AA62" i="111"/>
  <c r="AA45" i="111"/>
  <c r="AA81" i="111"/>
  <c r="AA78" i="111"/>
  <c r="AA75" i="111"/>
  <c r="AA69" i="111"/>
  <c r="AA63" i="111"/>
  <c r="AA71" i="111"/>
  <c r="AA61" i="111"/>
  <c r="AA72" i="111"/>
  <c r="AA56" i="111"/>
  <c r="AA49" i="111"/>
  <c r="AA85" i="111"/>
  <c r="AA59" i="111"/>
  <c r="AA58" i="111"/>
  <c r="AA68" i="111"/>
  <c r="AA57" i="111"/>
  <c r="AA46" i="111"/>
  <c r="AA42" i="111"/>
  <c r="AA34" i="111"/>
  <c r="AA25" i="111"/>
  <c r="AA66" i="111"/>
  <c r="AA48" i="111"/>
  <c r="AA24" i="111"/>
  <c r="AA16" i="111"/>
  <c r="AB7" i="111"/>
  <c r="AA55" i="111"/>
  <c r="AA29" i="111"/>
  <c r="AA19" i="111"/>
  <c r="AA11" i="111"/>
  <c r="AA41" i="111"/>
  <c r="AA64" i="111"/>
  <c r="AA18" i="111"/>
  <c r="AA8" i="111"/>
  <c r="AA97" i="111" s="1"/>
  <c r="AA31" i="111"/>
  <c r="AA30" i="111"/>
  <c r="AA27" i="111"/>
  <c r="AA17" i="111"/>
  <c r="AA35" i="111"/>
  <c r="AA39" i="111"/>
  <c r="AA37" i="111"/>
  <c r="AA20" i="111"/>
  <c r="AA15" i="111"/>
  <c r="AA33" i="111"/>
  <c r="Z77" i="111"/>
  <c r="Z95" i="111"/>
  <c r="Z90" i="111"/>
  <c r="Z66" i="111"/>
  <c r="Z53" i="111"/>
  <c r="Z55" i="111"/>
  <c r="Z78" i="111"/>
  <c r="Z41" i="111"/>
  <c r="Z92" i="111"/>
  <c r="Z15" i="111"/>
  <c r="Z14" i="111"/>
  <c r="Z16" i="111"/>
  <c r="Z44" i="111"/>
  <c r="Z22" i="111"/>
  <c r="Z86" i="111"/>
  <c r="Z58" i="111"/>
  <c r="Z68" i="111"/>
  <c r="Z81" i="111"/>
  <c r="Z59" i="111"/>
  <c r="Y11" i="109"/>
  <c r="Y86" i="109"/>
  <c r="Y50" i="109"/>
  <c r="Y18" i="109"/>
  <c r="Y26" i="109"/>
  <c r="Y70" i="109"/>
  <c r="Y59" i="109"/>
  <c r="Y83" i="109"/>
  <c r="Y96" i="109"/>
  <c r="Y22" i="109"/>
  <c r="Y31" i="109"/>
  <c r="Y13" i="109"/>
  <c r="Y40" i="109"/>
  <c r="Y27" i="109"/>
  <c r="Y35" i="109"/>
  <c r="Y75" i="109"/>
  <c r="Y66" i="109"/>
  <c r="Y90" i="109"/>
  <c r="Y95" i="109"/>
  <c r="Y14" i="109"/>
  <c r="Y28" i="109"/>
  <c r="Y51" i="109"/>
  <c r="Y20" i="109"/>
  <c r="Y46" i="109"/>
  <c r="Y69" i="109"/>
  <c r="Y89" i="109"/>
  <c r="Y16" i="109"/>
  <c r="Y67" i="109"/>
  <c r="Y55" i="109"/>
  <c r="Y30" i="109"/>
  <c r="Y29" i="109"/>
  <c r="Y49" i="109"/>
  <c r="Y71" i="109"/>
  <c r="Y74" i="109"/>
  <c r="Y93" i="109"/>
  <c r="Y97" i="109"/>
  <c r="Y41" i="109"/>
  <c r="Y64" i="109"/>
  <c r="Y42" i="109"/>
  <c r="Y39" i="109"/>
  <c r="Y73" i="109"/>
  <c r="Y23" i="109"/>
  <c r="Y53" i="109"/>
  <c r="Y38" i="109"/>
  <c r="Y58" i="109"/>
  <c r="Y72" i="109"/>
  <c r="Y78" i="109"/>
  <c r="Y85" i="109"/>
  <c r="Y94" i="109"/>
  <c r="Y34" i="109"/>
  <c r="Y48" i="109"/>
  <c r="Z94" i="109"/>
  <c r="Z97" i="109"/>
  <c r="Z95" i="109"/>
  <c r="Z90" i="109"/>
  <c r="Z91" i="109"/>
  <c r="Z80" i="109"/>
  <c r="Z83" i="109"/>
  <c r="Z79" i="109"/>
  <c r="Z74" i="109"/>
  <c r="Z75" i="109"/>
  <c r="Z84" i="109"/>
  <c r="Z81" i="109"/>
  <c r="Z60" i="109"/>
  <c r="Z68" i="109"/>
  <c r="Z61" i="109"/>
  <c r="Z57" i="109"/>
  <c r="Z88" i="109"/>
  <c r="Z58" i="109"/>
  <c r="Z70" i="109"/>
  <c r="Z38" i="109"/>
  <c r="Z73" i="109"/>
  <c r="Z72" i="109"/>
  <c r="Z24" i="109"/>
  <c r="Z15" i="109"/>
  <c r="Z30" i="109"/>
  <c r="Z22" i="109"/>
  <c r="Z46" i="109"/>
  <c r="Z45" i="109"/>
  <c r="Z31" i="109"/>
  <c r="Z27" i="109"/>
  <c r="Z28" i="109"/>
  <c r="Z13" i="109"/>
  <c r="Z14" i="109"/>
  <c r="Z37" i="109"/>
  <c r="Z42" i="109"/>
  <c r="Z49" i="109"/>
  <c r="Z16" i="109"/>
  <c r="AA7" i="109"/>
  <c r="Z8" i="109"/>
  <c r="Z85" i="109" s="1"/>
  <c r="Z26" i="109"/>
  <c r="Z25" i="109"/>
  <c r="Z17" i="109"/>
  <c r="Z23" i="109"/>
  <c r="Y25" i="109"/>
  <c r="Y61" i="109"/>
  <c r="Y52" i="109"/>
  <c r="Y47" i="109"/>
  <c r="Y57" i="109"/>
  <c r="Y84" i="109"/>
  <c r="Y82" i="109"/>
  <c r="Z33" i="107"/>
  <c r="Z47" i="107"/>
  <c r="Z70" i="107"/>
  <c r="Z60" i="107"/>
  <c r="Z52" i="107"/>
  <c r="Z83" i="107"/>
  <c r="Z74" i="107"/>
  <c r="Z90" i="107"/>
  <c r="Z55" i="107"/>
  <c r="Z19" i="107"/>
  <c r="Z35" i="107"/>
  <c r="Z17" i="107"/>
  <c r="Z34" i="107"/>
  <c r="Z61" i="107"/>
  <c r="Z63" i="107"/>
  <c r="Z56" i="107"/>
  <c r="Z79" i="107"/>
  <c r="Z86" i="107"/>
  <c r="Z15" i="107"/>
  <c r="Z28" i="107"/>
  <c r="Z91" i="107"/>
  <c r="Z68" i="107"/>
  <c r="Z73" i="107"/>
  <c r="Z92" i="107"/>
  <c r="Z14" i="107"/>
  <c r="Z44" i="107"/>
  <c r="Z31" i="107"/>
  <c r="Z57" i="107"/>
  <c r="Z37" i="107"/>
  <c r="Z71" i="107"/>
  <c r="Z36" i="107"/>
  <c r="Z75" i="107"/>
  <c r="Z84" i="107"/>
  <c r="Z89" i="107"/>
  <c r="AA89" i="107"/>
  <c r="AA92" i="107"/>
  <c r="AA90" i="107"/>
  <c r="AA93" i="107"/>
  <c r="AA96" i="107"/>
  <c r="AA79" i="107"/>
  <c r="AA94" i="107"/>
  <c r="AA83" i="107"/>
  <c r="AA69" i="107"/>
  <c r="AA75" i="107"/>
  <c r="AA72" i="107"/>
  <c r="AA66" i="107"/>
  <c r="AA59" i="107"/>
  <c r="AA78" i="107"/>
  <c r="AA74" i="107"/>
  <c r="AA67" i="107"/>
  <c r="AA63" i="107"/>
  <c r="AA48" i="107"/>
  <c r="AA39" i="107"/>
  <c r="AA30" i="107"/>
  <c r="AA68" i="107"/>
  <c r="AA64" i="107"/>
  <c r="AA60" i="107"/>
  <c r="AA56" i="107"/>
  <c r="AA51" i="107"/>
  <c r="AA57" i="107"/>
  <c r="AA82" i="107"/>
  <c r="AA81" i="107"/>
  <c r="AA70" i="107"/>
  <c r="AA49" i="107"/>
  <c r="AA38" i="107"/>
  <c r="AA55" i="107"/>
  <c r="AA47" i="107"/>
  <c r="AA40" i="107"/>
  <c r="AA20" i="107"/>
  <c r="AA24" i="107"/>
  <c r="AA35" i="107"/>
  <c r="AA27" i="107"/>
  <c r="AA18" i="107"/>
  <c r="AA22" i="107"/>
  <c r="AA19" i="107"/>
  <c r="AA26" i="107"/>
  <c r="AA8" i="107"/>
  <c r="AA88" i="107" s="1"/>
  <c r="AA13" i="107"/>
  <c r="AA58" i="107"/>
  <c r="AA50" i="107"/>
  <c r="AA25" i="107"/>
  <c r="AA12" i="107"/>
  <c r="AA14" i="107"/>
  <c r="AA11" i="107"/>
  <c r="AA17" i="107"/>
  <c r="AB7" i="107"/>
  <c r="AA16" i="107"/>
  <c r="Z50" i="107"/>
  <c r="Z85" i="107"/>
  <c r="Z18" i="107"/>
  <c r="Z16" i="107"/>
  <c r="Z25" i="107"/>
  <c r="Z42" i="107"/>
  <c r="Z41" i="107"/>
  <c r="Z58" i="107"/>
  <c r="Z30" i="107"/>
  <c r="Z45" i="107"/>
  <c r="Z72" i="107"/>
  <c r="Z88" i="107"/>
  <c r="Z97" i="107"/>
  <c r="Z69" i="107"/>
  <c r="Z11" i="107"/>
  <c r="Z23" i="107"/>
  <c r="Z29" i="107"/>
  <c r="Z20" i="107"/>
  <c r="Z46" i="107"/>
  <c r="Z81" i="107"/>
  <c r="Z39" i="107"/>
  <c r="Z59" i="107"/>
  <c r="Z80" i="107"/>
  <c r="Z96" i="107"/>
  <c r="Z33" i="105"/>
  <c r="Z44" i="105"/>
  <c r="Z74" i="105"/>
  <c r="Z81" i="105"/>
  <c r="Z12" i="105"/>
  <c r="Z27" i="105"/>
  <c r="Z18" i="105"/>
  <c r="Z30" i="105"/>
  <c r="Z45" i="105"/>
  <c r="Z49" i="105"/>
  <c r="Z70" i="105"/>
  <c r="Z62" i="105"/>
  <c r="Z85" i="105"/>
  <c r="Z93" i="105"/>
  <c r="Z23" i="105"/>
  <c r="Z28" i="105"/>
  <c r="Z66" i="105"/>
  <c r="Z80" i="105"/>
  <c r="Z50" i="105"/>
  <c r="Z29" i="105"/>
  <c r="Z31" i="105"/>
  <c r="Z40" i="105"/>
  <c r="Z48" i="105"/>
  <c r="Z52" i="105"/>
  <c r="Z55" i="105"/>
  <c r="Z71" i="105"/>
  <c r="Z96" i="105"/>
  <c r="Z90" i="105"/>
  <c r="Z60" i="105"/>
  <c r="Z92" i="105"/>
  <c r="Z25" i="105"/>
  <c r="Z22" i="105"/>
  <c r="Z15" i="105"/>
  <c r="Z42" i="105"/>
  <c r="Z38" i="105"/>
  <c r="Z61" i="105"/>
  <c r="Z69" i="105"/>
  <c r="Z68" i="105"/>
  <c r="Z84" i="105"/>
  <c r="Z89" i="105"/>
  <c r="Z58" i="105"/>
  <c r="Z75" i="105"/>
  <c r="Z11" i="105"/>
  <c r="AA86" i="105"/>
  <c r="AA79" i="105"/>
  <c r="AA66" i="105"/>
  <c r="AA73" i="105"/>
  <c r="AA55" i="105"/>
  <c r="AA41" i="105"/>
  <c r="AA37" i="105"/>
  <c r="AA8" i="105"/>
  <c r="AA90" i="105" s="1"/>
  <c r="AA13" i="105"/>
  <c r="AA45" i="105"/>
  <c r="AA70" i="105"/>
  <c r="AA23" i="105"/>
  <c r="AA33" i="105"/>
  <c r="AB7" i="105"/>
  <c r="Z16" i="105"/>
  <c r="Z24" i="105"/>
  <c r="Z64" i="105"/>
  <c r="Z47" i="105"/>
  <c r="Z53" i="105"/>
  <c r="Z77" i="105"/>
  <c r="Z78" i="105"/>
  <c r="Z91" i="105"/>
  <c r="Z97" i="105"/>
  <c r="Z17" i="105"/>
  <c r="Z14" i="105"/>
  <c r="Z39" i="105"/>
  <c r="Z26" i="105"/>
  <c r="Z83" i="105"/>
  <c r="Z35" i="105"/>
  <c r="Z56" i="105"/>
  <c r="Z88" i="105"/>
  <c r="Z86" i="105"/>
  <c r="Z72" i="105"/>
  <c r="Z23" i="103"/>
  <c r="Z19" i="103"/>
  <c r="Z37" i="103"/>
  <c r="Z48" i="103"/>
  <c r="Z58" i="103"/>
  <c r="Z78" i="103"/>
  <c r="Z74" i="103"/>
  <c r="Z80" i="103"/>
  <c r="Z86" i="103"/>
  <c r="AA95" i="103"/>
  <c r="AA86" i="103"/>
  <c r="AA90" i="103"/>
  <c r="AA93" i="103"/>
  <c r="AA85" i="103"/>
  <c r="AA80" i="103"/>
  <c r="AA83" i="103"/>
  <c r="AA78" i="103"/>
  <c r="AA77" i="103"/>
  <c r="AA74" i="103"/>
  <c r="AA66" i="103"/>
  <c r="AA69" i="103"/>
  <c r="AA67" i="103"/>
  <c r="AA60" i="103"/>
  <c r="AA57" i="103"/>
  <c r="AA71" i="103"/>
  <c r="AA61" i="103"/>
  <c r="AA72" i="103"/>
  <c r="AA58" i="103"/>
  <c r="AA47" i="103"/>
  <c r="AA50" i="103"/>
  <c r="AA41" i="103"/>
  <c r="AA62" i="103"/>
  <c r="AA48" i="103"/>
  <c r="AA63" i="103"/>
  <c r="AA49" i="103"/>
  <c r="AA37" i="103"/>
  <c r="AA46" i="103"/>
  <c r="AA39" i="103"/>
  <c r="AA30" i="103"/>
  <c r="AA25" i="103"/>
  <c r="AA40" i="103"/>
  <c r="AA31" i="103"/>
  <c r="AA20" i="103"/>
  <c r="AA56" i="103"/>
  <c r="AA45" i="103"/>
  <c r="AA33" i="103"/>
  <c r="AA22" i="103"/>
  <c r="AA14" i="103"/>
  <c r="AB7" i="103"/>
  <c r="AA18" i="103"/>
  <c r="AA28" i="103"/>
  <c r="AA12" i="103"/>
  <c r="AA24" i="103"/>
  <c r="AA15" i="103"/>
  <c r="AA19" i="103"/>
  <c r="AA8" i="103"/>
  <c r="AA96" i="103" s="1"/>
  <c r="AA35" i="103"/>
  <c r="AA34" i="103"/>
  <c r="AA13" i="103"/>
  <c r="AA42" i="103"/>
  <c r="AA26" i="103"/>
  <c r="AA17" i="103"/>
  <c r="AA11" i="103"/>
  <c r="AA16" i="103"/>
  <c r="Z24" i="103"/>
  <c r="Z14" i="103"/>
  <c r="Z46" i="103"/>
  <c r="Z27" i="103"/>
  <c r="Z53" i="103"/>
  <c r="Z55" i="103"/>
  <c r="Z59" i="103"/>
  <c r="Z77" i="103"/>
  <c r="Z82" i="103"/>
  <c r="Z92" i="103"/>
  <c r="Z13" i="103"/>
  <c r="Z20" i="103"/>
  <c r="Z51" i="103"/>
  <c r="Z70" i="103"/>
  <c r="Z42" i="103"/>
  <c r="Z50" i="103"/>
  <c r="Z40" i="103"/>
  <c r="Z75" i="103"/>
  <c r="Z73" i="103"/>
  <c r="Z88" i="103"/>
  <c r="Y22" i="101"/>
  <c r="Y24" i="101"/>
  <c r="Y72" i="101"/>
  <c r="Y35" i="101"/>
  <c r="Y34" i="101"/>
  <c r="Y41" i="101"/>
  <c r="Y44" i="101"/>
  <c r="Y71" i="101"/>
  <c r="Y73" i="101"/>
  <c r="Y86" i="101"/>
  <c r="Y45" i="101"/>
  <c r="Y39" i="101"/>
  <c r="Y48" i="101"/>
  <c r="Y50" i="101"/>
  <c r="Y60" i="101"/>
  <c r="Y67" i="101"/>
  <c r="Y77" i="101"/>
  <c r="Y95" i="101"/>
  <c r="Y25" i="101"/>
  <c r="Y14" i="101"/>
  <c r="Y36" i="101"/>
  <c r="Y37" i="101"/>
  <c r="Y42" i="101"/>
  <c r="Y62" i="101"/>
  <c r="Y68" i="101"/>
  <c r="Y63" i="101"/>
  <c r="Y82" i="101"/>
  <c r="Y89" i="101"/>
  <c r="Z97" i="101"/>
  <c r="Z89" i="101"/>
  <c r="Z86" i="101"/>
  <c r="Z82" i="101"/>
  <c r="Z85" i="101"/>
  <c r="Z83" i="101"/>
  <c r="Z96" i="101"/>
  <c r="Z81" i="101"/>
  <c r="Z58" i="101"/>
  <c r="Z56" i="101"/>
  <c r="Z74" i="101"/>
  <c r="Z72" i="101"/>
  <c r="Z77" i="101"/>
  <c r="Z75" i="101"/>
  <c r="Z62" i="101"/>
  <c r="Z66" i="101"/>
  <c r="Z36" i="101"/>
  <c r="Z57" i="101"/>
  <c r="Z48" i="101"/>
  <c r="Z28" i="101"/>
  <c r="Z37" i="101"/>
  <c r="Z31" i="101"/>
  <c r="Z26" i="101"/>
  <c r="Z44" i="101"/>
  <c r="Z27" i="101"/>
  <c r="Z40" i="101"/>
  <c r="Z33" i="101"/>
  <c r="Z55" i="101"/>
  <c r="Z29" i="101"/>
  <c r="Z35" i="101"/>
  <c r="Z53" i="101"/>
  <c r="Z39" i="101"/>
  <c r="Z30" i="101"/>
  <c r="Z19" i="101"/>
  <c r="Z17" i="101"/>
  <c r="Z16" i="101"/>
  <c r="Z12" i="101"/>
  <c r="Z25" i="101"/>
  <c r="Z15" i="101"/>
  <c r="Z22" i="101"/>
  <c r="Z8" i="101"/>
  <c r="Z95" i="101" s="1"/>
  <c r="Z18" i="101"/>
  <c r="Z13" i="101"/>
  <c r="Z23" i="101"/>
  <c r="Z11" i="101"/>
  <c r="AA7" i="101"/>
  <c r="Y18" i="101"/>
  <c r="Y19" i="101"/>
  <c r="Y40" i="101"/>
  <c r="Y49" i="101"/>
  <c r="Y51" i="101"/>
  <c r="Y75" i="101"/>
  <c r="Y64" i="101"/>
  <c r="Y81" i="101"/>
  <c r="Y79" i="101"/>
  <c r="Y97" i="101"/>
  <c r="Y13" i="101"/>
  <c r="Y12" i="101"/>
  <c r="Y26" i="101"/>
  <c r="Y27" i="101"/>
  <c r="Y28" i="101"/>
  <c r="Y53" i="101"/>
  <c r="Y47" i="101"/>
  <c r="Y52" i="101"/>
  <c r="Y74" i="101"/>
  <c r="Y88" i="101"/>
  <c r="Y94" i="101"/>
  <c r="Y11" i="101"/>
  <c r="Y38" i="101"/>
  <c r="Y30" i="101"/>
  <c r="Y46" i="101"/>
  <c r="Y57" i="101"/>
  <c r="Y59" i="101"/>
  <c r="Y56" i="101"/>
  <c r="Y61" i="101"/>
  <c r="Y93" i="101"/>
  <c r="Y96" i="101"/>
  <c r="Y20" i="99"/>
  <c r="Y40" i="99"/>
  <c r="Y60" i="99"/>
  <c r="Y77" i="99"/>
  <c r="Y82" i="99"/>
  <c r="Y81" i="99"/>
  <c r="Y86" i="99"/>
  <c r="Y92" i="99"/>
  <c r="Y51" i="99"/>
  <c r="Y30" i="99"/>
  <c r="Y67" i="99"/>
  <c r="Y47" i="99"/>
  <c r="Y49" i="99"/>
  <c r="Y55" i="99"/>
  <c r="Y75" i="99"/>
  <c r="Y66" i="99"/>
  <c r="Y89" i="99"/>
  <c r="Y18" i="99"/>
  <c r="Z89" i="99"/>
  <c r="Z92" i="99"/>
  <c r="Z95" i="99"/>
  <c r="Z86" i="99"/>
  <c r="Z93" i="99"/>
  <c r="Z88" i="99"/>
  <c r="Z78" i="99"/>
  <c r="Z69" i="99"/>
  <c r="Z81" i="99"/>
  <c r="Z72" i="99"/>
  <c r="Z75" i="99"/>
  <c r="Z79" i="99"/>
  <c r="Z91" i="99"/>
  <c r="Z82" i="99"/>
  <c r="Z73" i="99"/>
  <c r="Z64" i="99"/>
  <c r="Z77" i="99"/>
  <c r="Z58" i="99"/>
  <c r="Z49" i="99"/>
  <c r="Z74" i="99"/>
  <c r="Z63" i="99"/>
  <c r="Z61" i="99"/>
  <c r="Z56" i="99"/>
  <c r="Z62" i="99"/>
  <c r="Z53" i="99"/>
  <c r="Z41" i="99"/>
  <c r="Z60" i="99"/>
  <c r="Z50" i="99"/>
  <c r="Z71" i="99"/>
  <c r="Z47" i="99"/>
  <c r="Z39" i="99"/>
  <c r="Z42" i="99"/>
  <c r="Z70" i="99"/>
  <c r="Z52" i="99"/>
  <c r="Z48" i="99"/>
  <c r="Z20" i="99"/>
  <c r="Z51" i="99"/>
  <c r="Z46" i="99"/>
  <c r="Z38" i="99"/>
  <c r="Z24" i="99"/>
  <c r="Z33" i="99"/>
  <c r="Z57" i="99"/>
  <c r="Z40" i="99"/>
  <c r="Z25" i="99"/>
  <c r="Z83" i="99"/>
  <c r="Z34" i="99"/>
  <c r="Z26" i="99"/>
  <c r="AA7" i="99"/>
  <c r="Z27" i="99"/>
  <c r="Z17" i="99"/>
  <c r="Z28" i="99"/>
  <c r="Z12" i="99"/>
  <c r="Z59" i="99"/>
  <c r="Z36" i="99"/>
  <c r="Z23" i="99"/>
  <c r="Z19" i="99"/>
  <c r="Z31" i="99"/>
  <c r="Z16" i="99"/>
  <c r="Z8" i="99"/>
  <c r="Z90" i="99" s="1"/>
  <c r="Z18" i="99"/>
  <c r="Z22" i="99"/>
  <c r="Y33" i="99"/>
  <c r="Y80" i="99"/>
  <c r="Y56" i="99"/>
  <c r="Y59" i="99"/>
  <c r="Y71" i="99"/>
  <c r="Y84" i="99"/>
  <c r="Y74" i="99"/>
  <c r="Y97" i="99"/>
  <c r="Y67" i="97"/>
  <c r="Y66" i="97"/>
  <c r="Y89" i="97"/>
  <c r="Y42" i="97"/>
  <c r="Y38" i="97"/>
  <c r="Y62" i="97"/>
  <c r="Y58" i="97"/>
  <c r="Y80" i="97"/>
  <c r="Y75" i="97"/>
  <c r="Y74" i="97"/>
  <c r="Y97" i="97"/>
  <c r="Y22" i="97"/>
  <c r="Y64" i="97"/>
  <c r="Y50" i="97"/>
  <c r="Y39" i="97"/>
  <c r="Y82" i="97"/>
  <c r="Y73" i="97"/>
  <c r="Y85" i="97"/>
  <c r="Y84" i="97"/>
  <c r="Y83" i="97"/>
  <c r="Y94" i="97"/>
  <c r="Z8" i="97"/>
  <c r="Z92" i="97" s="1"/>
  <c r="AA7" i="97"/>
  <c r="Y19" i="97"/>
  <c r="Y16" i="97"/>
  <c r="Y40" i="97"/>
  <c r="Y55" i="97"/>
  <c r="Y77" i="97"/>
  <c r="Y47" i="97"/>
  <c r="Y60" i="97"/>
  <c r="Y88" i="97"/>
  <c r="Y93" i="97"/>
  <c r="AA18" i="95"/>
  <c r="AA16" i="95"/>
  <c r="AA37" i="95"/>
  <c r="AA46" i="95"/>
  <c r="AA13" i="95"/>
  <c r="AA11" i="95"/>
  <c r="AA31" i="95"/>
  <c r="AA17" i="95"/>
  <c r="AA48" i="95"/>
  <c r="AA19" i="95"/>
  <c r="AA29" i="95"/>
  <c r="N12" i="59"/>
  <c r="O12" i="59" s="1"/>
  <c r="N18" i="59"/>
  <c r="O18" i="59" s="1"/>
  <c r="N13" i="59"/>
  <c r="O13" i="59" s="1"/>
  <c r="N19" i="59"/>
  <c r="O19" i="59" s="1"/>
  <c r="AB8" i="95"/>
  <c r="AB97" i="95" s="1"/>
  <c r="AC7" i="95"/>
  <c r="AA92" i="95"/>
  <c r="AA83" i="95"/>
  <c r="AA96" i="95"/>
  <c r="AA95" i="95"/>
  <c r="AA97" i="95"/>
  <c r="AA74" i="95"/>
  <c r="AA68" i="95"/>
  <c r="AA93" i="95"/>
  <c r="AA81" i="95"/>
  <c r="AA80" i="95"/>
  <c r="AA62" i="95"/>
  <c r="AA56" i="95"/>
  <c r="AA94" i="95"/>
  <c r="AA91" i="95"/>
  <c r="AA89" i="95"/>
  <c r="AA85" i="95"/>
  <c r="AA78" i="95"/>
  <c r="AA86" i="95"/>
  <c r="AA88" i="95"/>
  <c r="AA70" i="95"/>
  <c r="AA51" i="95"/>
  <c r="AA45" i="95"/>
  <c r="AA38" i="95"/>
  <c r="AA90" i="95"/>
  <c r="AA73" i="95"/>
  <c r="AA72" i="95"/>
  <c r="AA63" i="95"/>
  <c r="AA59" i="95"/>
  <c r="AA58" i="95"/>
  <c r="AA50" i="95"/>
  <c r="AA84" i="95"/>
  <c r="AA75" i="95"/>
  <c r="AA77" i="95"/>
  <c r="AA82" i="95"/>
  <c r="AA71" i="95"/>
  <c r="AA69" i="95"/>
  <c r="AA61" i="95"/>
  <c r="AA60" i="95"/>
  <c r="AA44" i="95"/>
  <c r="AA41" i="95"/>
  <c r="AA39" i="95"/>
  <c r="AA79" i="95"/>
  <c r="AA66" i="95"/>
  <c r="AA64" i="95"/>
  <c r="AA40" i="95"/>
  <c r="AA34" i="95"/>
  <c r="AA57" i="95"/>
  <c r="AA52" i="95"/>
  <c r="AA67" i="95"/>
  <c r="AA53" i="95"/>
  <c r="AA42" i="95"/>
  <c r="AA36" i="95"/>
  <c r="AA35" i="95"/>
  <c r="AA28" i="95"/>
  <c r="AA22" i="95"/>
  <c r="AA15" i="95"/>
  <c r="AA24" i="95"/>
  <c r="AA26" i="95"/>
  <c r="AA33" i="95"/>
  <c r="AA55" i="95"/>
  <c r="AA23" i="95"/>
  <c r="AA25" i="95"/>
  <c r="AA27" i="95"/>
  <c r="AA49" i="95"/>
  <c r="AA20" i="95"/>
  <c r="AA47" i="95"/>
  <c r="AA12" i="95"/>
  <c r="AA14" i="95"/>
  <c r="Z24" i="59" l="1"/>
  <c r="Z31" i="59"/>
  <c r="Z72" i="59"/>
  <c r="Z58" i="59"/>
  <c r="Z90" i="59"/>
  <c r="Z27" i="59"/>
  <c r="Z26" i="59"/>
  <c r="Z46" i="59"/>
  <c r="Z80" i="59"/>
  <c r="Z64" i="59"/>
  <c r="Z23" i="59"/>
  <c r="Z33" i="59"/>
  <c r="Z30" i="59"/>
  <c r="Z15" i="59"/>
  <c r="Z37" i="59"/>
  <c r="Z56" i="59"/>
  <c r="Z51" i="59"/>
  <c r="Z91" i="59"/>
  <c r="Z59" i="59"/>
  <c r="Z81" i="59"/>
  <c r="Z73" i="59"/>
  <c r="Z93" i="59"/>
  <c r="Z16" i="59"/>
  <c r="Z34" i="59"/>
  <c r="Z55" i="59"/>
  <c r="Z40" i="59"/>
  <c r="Z48" i="59"/>
  <c r="Z63" i="59"/>
  <c r="Z66" i="59"/>
  <c r="Z68" i="59"/>
  <c r="Z85" i="59"/>
  <c r="Z95" i="59"/>
  <c r="Z22" i="59"/>
  <c r="Z19" i="59"/>
  <c r="Z18" i="59"/>
  <c r="Z49" i="59"/>
  <c r="Z29" i="59"/>
  <c r="Z44" i="59"/>
  <c r="Z45" i="59"/>
  <c r="Z67" i="59"/>
  <c r="Z84" i="59"/>
  <c r="Z71" i="59"/>
  <c r="Z75" i="59"/>
  <c r="Z92" i="59"/>
  <c r="AA85" i="59"/>
  <c r="AA48" i="59"/>
  <c r="AA47" i="59"/>
  <c r="AA8" i="59"/>
  <c r="AA97" i="59" s="1"/>
  <c r="AB7" i="59"/>
  <c r="AA15" i="59"/>
  <c r="Z97" i="59"/>
  <c r="Z39" i="59"/>
  <c r="Z17" i="59"/>
  <c r="Z47" i="59"/>
  <c r="Z77" i="59"/>
  <c r="Z60" i="59"/>
  <c r="Z69" i="59"/>
  <c r="Z78" i="59"/>
  <c r="Z86" i="59"/>
  <c r="Z62" i="113"/>
  <c r="Z64" i="113"/>
  <c r="Z83" i="113"/>
  <c r="Z93" i="113"/>
  <c r="Z41" i="113"/>
  <c r="Z55" i="113"/>
  <c r="Z66" i="113"/>
  <c r="Z72" i="113"/>
  <c r="Z77" i="113"/>
  <c r="Z92" i="113"/>
  <c r="Z13" i="113"/>
  <c r="Z28" i="113"/>
  <c r="Z34" i="113"/>
  <c r="Z50" i="113"/>
  <c r="Z57" i="113"/>
  <c r="Z56" i="113"/>
  <c r="Z74" i="113"/>
  <c r="Z85" i="113"/>
  <c r="Z89" i="113"/>
  <c r="Z17" i="113"/>
  <c r="Z19" i="113"/>
  <c r="Z20" i="113"/>
  <c r="Z36" i="113"/>
  <c r="Z42" i="113"/>
  <c r="Z59" i="113"/>
  <c r="Z78" i="113"/>
  <c r="Z61" i="113"/>
  <c r="Z84" i="113"/>
  <c r="Z91" i="113"/>
  <c r="Z97" i="113"/>
  <c r="Z12" i="113"/>
  <c r="Z26" i="113"/>
  <c r="Z46" i="113"/>
  <c r="Z39" i="113"/>
  <c r="Z51" i="113"/>
  <c r="Z60" i="113"/>
  <c r="Z67" i="113"/>
  <c r="Z69" i="113"/>
  <c r="Z96" i="113"/>
  <c r="Z73" i="113"/>
  <c r="AA93" i="113"/>
  <c r="AA74" i="113"/>
  <c r="AA58" i="113"/>
  <c r="AA62" i="113"/>
  <c r="AA27" i="113"/>
  <c r="AA28" i="113"/>
  <c r="AA31" i="113"/>
  <c r="AA18" i="113"/>
  <c r="AA42" i="113"/>
  <c r="AB7" i="113"/>
  <c r="AA8" i="113"/>
  <c r="AA97" i="113" s="1"/>
  <c r="AA22" i="111"/>
  <c r="AA26" i="111"/>
  <c r="AA44" i="111"/>
  <c r="AA50" i="111"/>
  <c r="AA74" i="111"/>
  <c r="AA80" i="111"/>
  <c r="AA73" i="111"/>
  <c r="AA86" i="111"/>
  <c r="AA38" i="111"/>
  <c r="AA13" i="111"/>
  <c r="AA36" i="111"/>
  <c r="AA51" i="111"/>
  <c r="AA47" i="111"/>
  <c r="AA94" i="111"/>
  <c r="AA60" i="111"/>
  <c r="AA83" i="111"/>
  <c r="AA91" i="111"/>
  <c r="AA92" i="111"/>
  <c r="AA23" i="111"/>
  <c r="AA12" i="111"/>
  <c r="AA14" i="111"/>
  <c r="AA40" i="111"/>
  <c r="AA28" i="111"/>
  <c r="AA67" i="111"/>
  <c r="AA52" i="111"/>
  <c r="AA70" i="111"/>
  <c r="AA53" i="111"/>
  <c r="AA90" i="111"/>
  <c r="AB95" i="111"/>
  <c r="AB86" i="111"/>
  <c r="AB90" i="111"/>
  <c r="AB91" i="111"/>
  <c r="AB77" i="111"/>
  <c r="AB68" i="111"/>
  <c r="AB97" i="111"/>
  <c r="AB81" i="111"/>
  <c r="AB73" i="111"/>
  <c r="AB66" i="111"/>
  <c r="AB57" i="111"/>
  <c r="AB48" i="111"/>
  <c r="AB94" i="111"/>
  <c r="AB84" i="111"/>
  <c r="AB60" i="111"/>
  <c r="AB71" i="111"/>
  <c r="AB93" i="111"/>
  <c r="AB56" i="111"/>
  <c r="AB52" i="111"/>
  <c r="AB75" i="111"/>
  <c r="AB59" i="111"/>
  <c r="AB58" i="111"/>
  <c r="AB42" i="111"/>
  <c r="AB51" i="111"/>
  <c r="AB83" i="111"/>
  <c r="AB62" i="111"/>
  <c r="AB55" i="111"/>
  <c r="AB28" i="111"/>
  <c r="AB64" i="111"/>
  <c r="AB44" i="111"/>
  <c r="AB36" i="111"/>
  <c r="AB31" i="111"/>
  <c r="AB40" i="111"/>
  <c r="AB29" i="111"/>
  <c r="AB19" i="111"/>
  <c r="AB11" i="111"/>
  <c r="AC7" i="111"/>
  <c r="AB78" i="111"/>
  <c r="AB47" i="111"/>
  <c r="AB14" i="111"/>
  <c r="AB25" i="111"/>
  <c r="AB74" i="111"/>
  <c r="AB37" i="111"/>
  <c r="AB27" i="111"/>
  <c r="AB8" i="111"/>
  <c r="AB96" i="111" s="1"/>
  <c r="AB20" i="111"/>
  <c r="AB15" i="111"/>
  <c r="AB33" i="111"/>
  <c r="AB26" i="111"/>
  <c r="AB30" i="111"/>
  <c r="AB16" i="111"/>
  <c r="AB38" i="111"/>
  <c r="AA61" i="109"/>
  <c r="AA24" i="109"/>
  <c r="AA8" i="109"/>
  <c r="AA97" i="109" s="1"/>
  <c r="AB7" i="109"/>
  <c r="Z47" i="109"/>
  <c r="Z34" i="109"/>
  <c r="Z55" i="109"/>
  <c r="Z51" i="109"/>
  <c r="Z33" i="109"/>
  <c r="Z77" i="109"/>
  <c r="Z63" i="109"/>
  <c r="Z59" i="109"/>
  <c r="Z96" i="109"/>
  <c r="Z92" i="109"/>
  <c r="Z11" i="109"/>
  <c r="Z64" i="109"/>
  <c r="Z35" i="109"/>
  <c r="Z41" i="109"/>
  <c r="Z50" i="109"/>
  <c r="Z62" i="109"/>
  <c r="Z66" i="109"/>
  <c r="Z82" i="109"/>
  <c r="Z89" i="109"/>
  <c r="Z56" i="109"/>
  <c r="Z18" i="109"/>
  <c r="Z19" i="109"/>
  <c r="Z36" i="109"/>
  <c r="Z39" i="109"/>
  <c r="Z20" i="109"/>
  <c r="Z52" i="109"/>
  <c r="Z67" i="109"/>
  <c r="Z86" i="109"/>
  <c r="Z93" i="109"/>
  <c r="Z12" i="109"/>
  <c r="Z48" i="109"/>
  <c r="Z44" i="109"/>
  <c r="Z40" i="109"/>
  <c r="Z69" i="109"/>
  <c r="Z29" i="109"/>
  <c r="Z53" i="109"/>
  <c r="Z78" i="109"/>
  <c r="Z71" i="109"/>
  <c r="AA33" i="107"/>
  <c r="AA44" i="107"/>
  <c r="AA45" i="107"/>
  <c r="AA61" i="107"/>
  <c r="AA52" i="107"/>
  <c r="AA62" i="107"/>
  <c r="AA80" i="107"/>
  <c r="AA95" i="107"/>
  <c r="AA36" i="107"/>
  <c r="AA15" i="107"/>
  <c r="AA37" i="107"/>
  <c r="AA28" i="107"/>
  <c r="AA41" i="107"/>
  <c r="AA34" i="107"/>
  <c r="AA71" i="107"/>
  <c r="AA73" i="107"/>
  <c r="AA85" i="107"/>
  <c r="AA91" i="107"/>
  <c r="AA97" i="107"/>
  <c r="AA23" i="107"/>
  <c r="AA29" i="107"/>
  <c r="AA84" i="107"/>
  <c r="AA31" i="107"/>
  <c r="AA46" i="107"/>
  <c r="AA42" i="107"/>
  <c r="AA77" i="107"/>
  <c r="AA53" i="107"/>
  <c r="AA86" i="107"/>
  <c r="AB92" i="107"/>
  <c r="AB90" i="107"/>
  <c r="AB93" i="107"/>
  <c r="AB96" i="107"/>
  <c r="AB88" i="107"/>
  <c r="AB82" i="107"/>
  <c r="AB83" i="107"/>
  <c r="AB89" i="107"/>
  <c r="AB72" i="107"/>
  <c r="AB63" i="107"/>
  <c r="AB97" i="107"/>
  <c r="AB85" i="107"/>
  <c r="AB79" i="107"/>
  <c r="AB69" i="107"/>
  <c r="AB78" i="107"/>
  <c r="AB74" i="107"/>
  <c r="AB53" i="107"/>
  <c r="AB57" i="107"/>
  <c r="AB80" i="107"/>
  <c r="AB71" i="107"/>
  <c r="AB68" i="107"/>
  <c r="AB64" i="107"/>
  <c r="AB61" i="107"/>
  <c r="AB51" i="107"/>
  <c r="AB42" i="107"/>
  <c r="AB34" i="107"/>
  <c r="AB66" i="107"/>
  <c r="AB62" i="107"/>
  <c r="AB46" i="107"/>
  <c r="AB49" i="107"/>
  <c r="AB81" i="107"/>
  <c r="AB70" i="107"/>
  <c r="AB48" i="107"/>
  <c r="AB41" i="107"/>
  <c r="AB38" i="107"/>
  <c r="AB30" i="107"/>
  <c r="AB59" i="107"/>
  <c r="AB47" i="107"/>
  <c r="AB40" i="107"/>
  <c r="AB36" i="107"/>
  <c r="AB86" i="107"/>
  <c r="AB75" i="107"/>
  <c r="AB33" i="107"/>
  <c r="AB27" i="107"/>
  <c r="AB18" i="107"/>
  <c r="AB22" i="107"/>
  <c r="AB58" i="107"/>
  <c r="AB29" i="107"/>
  <c r="AB25" i="107"/>
  <c r="AB45" i="107"/>
  <c r="AB23" i="107"/>
  <c r="AB19" i="107"/>
  <c r="AB13" i="107"/>
  <c r="AB50" i="107"/>
  <c r="AB20" i="107"/>
  <c r="AB17" i="107"/>
  <c r="AB11" i="107"/>
  <c r="AB12" i="107"/>
  <c r="AB15" i="107"/>
  <c r="AB26" i="107"/>
  <c r="AB14" i="107"/>
  <c r="AB8" i="107"/>
  <c r="AB91" i="107" s="1"/>
  <c r="AC7" i="107"/>
  <c r="AB16" i="107"/>
  <c r="AA15" i="105"/>
  <c r="AA17" i="105"/>
  <c r="AA22" i="105"/>
  <c r="AA40" i="105"/>
  <c r="AA50" i="105"/>
  <c r="AA68" i="105"/>
  <c r="AA82" i="105"/>
  <c r="AA62" i="105"/>
  <c r="AA75" i="105"/>
  <c r="AA95" i="105"/>
  <c r="AA14" i="105"/>
  <c r="AA25" i="105"/>
  <c r="AA19" i="105"/>
  <c r="AA46" i="105"/>
  <c r="AA56" i="105"/>
  <c r="AA52" i="105"/>
  <c r="AA63" i="105"/>
  <c r="AA71" i="105"/>
  <c r="AA84" i="105"/>
  <c r="AA92" i="105"/>
  <c r="AB92" i="105"/>
  <c r="AB90" i="105"/>
  <c r="AB79" i="105"/>
  <c r="AB94" i="105"/>
  <c r="AB78" i="105"/>
  <c r="AB66" i="105"/>
  <c r="AB81" i="105"/>
  <c r="AB67" i="105"/>
  <c r="AB74" i="105"/>
  <c r="AB68" i="105"/>
  <c r="AB56" i="105"/>
  <c r="AB53" i="105"/>
  <c r="AB38" i="105"/>
  <c r="AB36" i="105"/>
  <c r="AB28" i="105"/>
  <c r="AB13" i="105"/>
  <c r="AB19" i="105"/>
  <c r="AB48" i="105"/>
  <c r="AB24" i="105"/>
  <c r="AC7" i="105"/>
  <c r="AB8" i="105"/>
  <c r="AB93" i="105" s="1"/>
  <c r="AB46" i="105"/>
  <c r="AB29" i="105"/>
  <c r="AA29" i="105"/>
  <c r="AA38" i="105"/>
  <c r="AA64" i="105"/>
  <c r="AA72" i="105"/>
  <c r="AA74" i="105"/>
  <c r="AA91" i="105"/>
  <c r="AA89" i="105"/>
  <c r="AA12" i="105"/>
  <c r="AA18" i="105"/>
  <c r="AA39" i="105"/>
  <c r="AA78" i="105"/>
  <c r="AA83" i="105"/>
  <c r="AA97" i="105"/>
  <c r="AA26" i="105"/>
  <c r="AA20" i="105"/>
  <c r="AA16" i="105"/>
  <c r="AA51" i="105"/>
  <c r="AA49" i="105"/>
  <c r="AA60" i="105"/>
  <c r="AA61" i="105"/>
  <c r="AA69" i="105"/>
  <c r="AA80" i="105"/>
  <c r="AA96" i="105"/>
  <c r="AA36" i="105"/>
  <c r="AA47" i="105"/>
  <c r="AA81" i="105"/>
  <c r="AA88" i="105"/>
  <c r="AA30" i="105"/>
  <c r="AA35" i="105"/>
  <c r="AA11" i="105"/>
  <c r="AA53" i="105"/>
  <c r="AA31" i="105"/>
  <c r="AA44" i="105"/>
  <c r="AA58" i="105"/>
  <c r="AA77" i="105"/>
  <c r="AA85" i="105"/>
  <c r="AA93" i="105"/>
  <c r="AA27" i="105"/>
  <c r="AA24" i="105"/>
  <c r="AA42" i="105"/>
  <c r="AA28" i="105"/>
  <c r="AA34" i="105"/>
  <c r="AA48" i="105"/>
  <c r="AA59" i="105"/>
  <c r="AA67" i="105"/>
  <c r="AA57" i="105"/>
  <c r="AA94" i="105"/>
  <c r="AA79" i="103"/>
  <c r="AA82" i="103"/>
  <c r="AA92" i="103"/>
  <c r="AA38" i="103"/>
  <c r="AA27" i="103"/>
  <c r="AA29" i="103"/>
  <c r="AA70" i="103"/>
  <c r="AA64" i="103"/>
  <c r="AA44" i="103"/>
  <c r="AA84" i="103"/>
  <c r="AA59" i="103"/>
  <c r="AA91" i="103"/>
  <c r="AA89" i="103"/>
  <c r="AB95" i="103"/>
  <c r="AB86" i="103"/>
  <c r="AB77" i="103"/>
  <c r="AB80" i="103"/>
  <c r="AB79" i="103"/>
  <c r="AB71" i="103"/>
  <c r="AB72" i="103"/>
  <c r="AB63" i="103"/>
  <c r="AB70" i="103"/>
  <c r="AB75" i="103"/>
  <c r="AB56" i="103"/>
  <c r="AB73" i="103"/>
  <c r="AB78" i="103"/>
  <c r="AB58" i="103"/>
  <c r="AB45" i="103"/>
  <c r="AB64" i="103"/>
  <c r="AB48" i="103"/>
  <c r="AB59" i="103"/>
  <c r="AB41" i="103"/>
  <c r="AB68" i="103"/>
  <c r="AB39" i="103"/>
  <c r="AB37" i="103"/>
  <c r="AB61" i="103"/>
  <c r="AB46" i="103"/>
  <c r="AB26" i="103"/>
  <c r="AB17" i="103"/>
  <c r="AB33" i="103"/>
  <c r="AB42" i="103"/>
  <c r="AB18" i="103"/>
  <c r="AB23" i="103"/>
  <c r="AB12" i="103"/>
  <c r="AB15" i="103"/>
  <c r="AB8" i="103"/>
  <c r="AB90" i="103" s="1"/>
  <c r="AB19" i="103"/>
  <c r="AB34" i="103"/>
  <c r="AB13" i="103"/>
  <c r="AB30" i="103"/>
  <c r="AB20" i="103"/>
  <c r="AB16" i="103"/>
  <c r="AB52" i="103"/>
  <c r="AB11" i="103"/>
  <c r="AC7" i="103"/>
  <c r="AB14" i="103"/>
  <c r="AA23" i="103"/>
  <c r="AA51" i="103"/>
  <c r="AA81" i="103"/>
  <c r="AA52" i="103"/>
  <c r="AA73" i="103"/>
  <c r="AA68" i="103"/>
  <c r="AA88" i="103"/>
  <c r="AA97" i="103"/>
  <c r="AA36" i="103"/>
  <c r="AA53" i="103"/>
  <c r="AA55" i="103"/>
  <c r="AA75" i="103"/>
  <c r="AA94" i="103"/>
  <c r="AA88" i="101"/>
  <c r="AA74" i="101"/>
  <c r="AA64" i="101"/>
  <c r="AA66" i="101"/>
  <c r="AA48" i="101"/>
  <c r="AA67" i="101"/>
  <c r="AA55" i="101"/>
  <c r="AA35" i="101"/>
  <c r="AA12" i="101"/>
  <c r="AA8" i="101"/>
  <c r="AA97" i="101" s="1"/>
  <c r="AA19" i="101"/>
  <c r="AB7" i="101"/>
  <c r="Z14" i="101"/>
  <c r="Z69" i="101"/>
  <c r="Z63" i="101"/>
  <c r="Z46" i="101"/>
  <c r="Z50" i="101"/>
  <c r="Z68" i="101"/>
  <c r="Z79" i="101"/>
  <c r="Z80" i="101"/>
  <c r="Z92" i="101"/>
  <c r="Z64" i="101"/>
  <c r="Z71" i="101"/>
  <c r="Z91" i="101"/>
  <c r="Z94" i="101"/>
  <c r="Z60" i="101"/>
  <c r="Z42" i="101"/>
  <c r="Z45" i="101"/>
  <c r="Z38" i="101"/>
  <c r="Z61" i="101"/>
  <c r="Z78" i="101"/>
  <c r="Z93" i="101"/>
  <c r="Z49" i="101"/>
  <c r="Z52" i="101"/>
  <c r="Z47" i="101"/>
  <c r="Z70" i="101"/>
  <c r="Z84" i="101"/>
  <c r="Z90" i="101"/>
  <c r="Z20" i="101"/>
  <c r="Z24" i="101"/>
  <c r="Z34" i="101"/>
  <c r="Z51" i="101"/>
  <c r="Z73" i="101"/>
  <c r="Z41" i="101"/>
  <c r="Z59" i="101"/>
  <c r="Z67" i="101"/>
  <c r="Z88" i="101"/>
  <c r="AA89" i="99"/>
  <c r="AA90" i="99"/>
  <c r="AA93" i="99"/>
  <c r="AA96" i="99"/>
  <c r="AA91" i="99"/>
  <c r="AA84" i="99"/>
  <c r="AA75" i="99"/>
  <c r="AA67" i="99"/>
  <c r="AA79" i="99"/>
  <c r="AA82" i="99"/>
  <c r="AA77" i="99"/>
  <c r="AA68" i="99"/>
  <c r="AA94" i="99"/>
  <c r="AA80" i="99"/>
  <c r="AA74" i="99"/>
  <c r="AA52" i="99"/>
  <c r="AA66" i="99"/>
  <c r="AA56" i="99"/>
  <c r="AA59" i="99"/>
  <c r="AA78" i="99"/>
  <c r="AA69" i="99"/>
  <c r="AA60" i="99"/>
  <c r="AA45" i="99"/>
  <c r="AA36" i="99"/>
  <c r="AA47" i="99"/>
  <c r="AA34" i="99"/>
  <c r="AA62" i="99"/>
  <c r="AA51" i="99"/>
  <c r="AA46" i="99"/>
  <c r="AA83" i="99"/>
  <c r="AA53" i="99"/>
  <c r="AA24" i="99"/>
  <c r="AA27" i="99"/>
  <c r="AA40" i="99"/>
  <c r="AA49" i="99"/>
  <c r="AA31" i="99"/>
  <c r="AA17" i="99"/>
  <c r="AA12" i="99"/>
  <c r="AA20" i="99"/>
  <c r="AA18" i="99"/>
  <c r="AA8" i="99"/>
  <c r="AA97" i="99" s="1"/>
  <c r="AA22" i="99"/>
  <c r="AA30" i="99"/>
  <c r="AA16" i="99"/>
  <c r="AA48" i="99"/>
  <c r="AA33" i="99"/>
  <c r="AA44" i="99"/>
  <c r="AA35" i="99"/>
  <c r="AA26" i="99"/>
  <c r="AB7" i="99"/>
  <c r="AA23" i="99"/>
  <c r="AA11" i="99"/>
  <c r="AA13" i="99"/>
  <c r="AA14" i="99"/>
  <c r="AA29" i="99"/>
  <c r="AA19" i="99"/>
  <c r="Z97" i="99"/>
  <c r="Z11" i="99"/>
  <c r="Z13" i="99"/>
  <c r="Z14" i="99"/>
  <c r="Z30" i="99"/>
  <c r="Z29" i="99"/>
  <c r="Z55" i="99"/>
  <c r="Z80" i="99"/>
  <c r="Z68" i="99"/>
  <c r="Z67" i="99"/>
  <c r="Z96" i="99"/>
  <c r="Z94" i="99"/>
  <c r="Z15" i="99"/>
  <c r="Z37" i="99"/>
  <c r="Z35" i="99"/>
  <c r="Z44" i="99"/>
  <c r="Z45" i="99"/>
  <c r="Z66" i="99"/>
  <c r="Z85" i="99"/>
  <c r="Z84" i="99"/>
  <c r="Z23" i="97"/>
  <c r="Z17" i="97"/>
  <c r="Z41" i="97"/>
  <c r="Z62" i="97"/>
  <c r="Z61" i="97"/>
  <c r="Z91" i="97"/>
  <c r="Z78" i="97"/>
  <c r="Z89" i="97"/>
  <c r="Z16" i="97"/>
  <c r="Z14" i="97"/>
  <c r="Z34" i="97"/>
  <c r="Z36" i="97"/>
  <c r="Z29" i="97"/>
  <c r="Z45" i="97"/>
  <c r="Z77" i="97"/>
  <c r="Z63" i="97"/>
  <c r="Z79" i="97"/>
  <c r="Z96" i="97"/>
  <c r="Z94" i="97"/>
  <c r="Z12" i="97"/>
  <c r="Z57" i="97"/>
  <c r="Z15" i="97"/>
  <c r="Z13" i="97"/>
  <c r="Z49" i="97"/>
  <c r="Z33" i="97"/>
  <c r="Z51" i="97"/>
  <c r="Z82" i="97"/>
  <c r="Z66" i="97"/>
  <c r="Z67" i="97"/>
  <c r="Z93" i="97"/>
  <c r="Z88" i="97"/>
  <c r="Z39" i="97"/>
  <c r="Z30" i="97"/>
  <c r="Z27" i="97"/>
  <c r="Z52" i="97"/>
  <c r="Z35" i="97"/>
  <c r="Z31" i="97"/>
  <c r="Z50" i="97"/>
  <c r="Z80" i="97"/>
  <c r="Z75" i="97"/>
  <c r="Z90" i="97"/>
  <c r="Z97" i="97"/>
  <c r="Z55" i="97"/>
  <c r="Z11" i="97"/>
  <c r="Z28" i="97"/>
  <c r="Z42" i="97"/>
  <c r="Z44" i="97"/>
  <c r="Z40" i="97"/>
  <c r="Z68" i="97"/>
  <c r="Z74" i="97"/>
  <c r="Z84" i="97"/>
  <c r="Z86" i="97"/>
  <c r="Z19" i="97"/>
  <c r="Z18" i="97"/>
  <c r="Z38" i="97"/>
  <c r="Z70" i="97"/>
  <c r="Z25" i="97"/>
  <c r="Z37" i="97"/>
  <c r="Z53" i="97"/>
  <c r="Z46" i="97"/>
  <c r="Z83" i="97"/>
  <c r="Z73" i="97"/>
  <c r="Z71" i="97"/>
  <c r="Z85" i="97"/>
  <c r="Z81" i="97"/>
  <c r="Z95" i="97"/>
  <c r="Z26" i="97"/>
  <c r="Z22" i="97"/>
  <c r="Z20" i="97"/>
  <c r="Z64" i="97"/>
  <c r="Z58" i="97"/>
  <c r="AA97" i="97"/>
  <c r="AA92" i="97"/>
  <c r="AA95" i="97"/>
  <c r="AA86" i="97"/>
  <c r="AA90" i="97"/>
  <c r="AA93" i="97"/>
  <c r="AA96" i="97"/>
  <c r="AA88" i="97"/>
  <c r="AA81" i="97"/>
  <c r="AA72" i="97"/>
  <c r="AA84" i="97"/>
  <c r="AA79" i="97"/>
  <c r="AA70" i="97"/>
  <c r="AA82" i="97"/>
  <c r="AA73" i="97"/>
  <c r="AA74" i="97"/>
  <c r="AA55" i="97"/>
  <c r="AA80" i="97"/>
  <c r="AA66" i="97"/>
  <c r="AA63" i="97"/>
  <c r="AA58" i="97"/>
  <c r="AA75" i="97"/>
  <c r="AA61" i="97"/>
  <c r="AA77" i="97"/>
  <c r="AA68" i="97"/>
  <c r="AA67" i="97"/>
  <c r="AA50" i="97"/>
  <c r="AA41" i="97"/>
  <c r="AA57" i="97"/>
  <c r="AA53" i="97"/>
  <c r="AA51" i="97"/>
  <c r="AA83" i="97"/>
  <c r="AA94" i="97"/>
  <c r="AA78" i="97"/>
  <c r="AA69" i="97"/>
  <c r="AA59" i="97"/>
  <c r="AA46" i="97"/>
  <c r="AA44" i="97"/>
  <c r="AA35" i="97"/>
  <c r="AA60" i="97"/>
  <c r="AA47" i="97"/>
  <c r="AA48" i="97"/>
  <c r="AA42" i="97"/>
  <c r="AA24" i="97"/>
  <c r="AA15" i="97"/>
  <c r="AA52" i="97"/>
  <c r="AA49" i="97"/>
  <c r="AA36" i="97"/>
  <c r="AA62" i="97"/>
  <c r="AA30" i="97"/>
  <c r="AA22" i="97"/>
  <c r="AA13" i="97"/>
  <c r="AA20" i="97"/>
  <c r="AA64" i="97"/>
  <c r="AA34" i="97"/>
  <c r="AA33" i="97"/>
  <c r="AA38" i="97"/>
  <c r="AA25" i="97"/>
  <c r="AA14" i="97"/>
  <c r="AA23" i="97"/>
  <c r="AA17" i="97"/>
  <c r="AA11" i="97"/>
  <c r="AB7" i="97"/>
  <c r="AA12" i="97"/>
  <c r="AA8" i="97"/>
  <c r="AA89" i="97" s="1"/>
  <c r="AA19" i="97"/>
  <c r="AA39" i="97"/>
  <c r="AA28" i="97"/>
  <c r="AA18" i="97"/>
  <c r="AA37" i="97"/>
  <c r="AA16" i="97"/>
  <c r="AA26" i="97"/>
  <c r="AA29" i="97"/>
  <c r="Z56" i="97"/>
  <c r="Z72" i="97"/>
  <c r="Z24" i="97"/>
  <c r="Z59" i="97"/>
  <c r="Z48" i="97"/>
  <c r="Z47" i="97"/>
  <c r="Z60" i="97"/>
  <c r="Z69" i="97"/>
  <c r="AB37" i="95"/>
  <c r="AB94" i="95"/>
  <c r="AB41" i="95"/>
  <c r="AB44" i="95"/>
  <c r="AB22" i="95"/>
  <c r="AB14" i="95"/>
  <c r="AB52" i="95"/>
  <c r="AB80" i="95"/>
  <c r="AB45" i="95"/>
  <c r="AB38" i="95"/>
  <c r="AB67" i="95"/>
  <c r="AB31" i="95"/>
  <c r="AB39" i="95"/>
  <c r="AB92" i="95"/>
  <c r="AB82" i="95"/>
  <c r="AB30" i="95"/>
  <c r="AB58" i="95"/>
  <c r="AB61" i="95"/>
  <c r="AB15" i="95"/>
  <c r="AB35" i="95"/>
  <c r="AB59" i="95"/>
  <c r="AB69" i="95"/>
  <c r="AB66" i="95"/>
  <c r="AB24" i="95"/>
  <c r="AB47" i="95"/>
  <c r="AB78" i="95"/>
  <c r="AB73" i="95"/>
  <c r="AB26" i="95"/>
  <c r="AB28" i="95"/>
  <c r="AB29" i="95"/>
  <c r="AB18" i="95"/>
  <c r="AB40" i="95"/>
  <c r="AB33" i="95"/>
  <c r="AB48" i="95"/>
  <c r="AB72" i="95"/>
  <c r="AB84" i="95"/>
  <c r="AB64" i="95"/>
  <c r="AB55" i="95"/>
  <c r="AB90" i="95"/>
  <c r="AB93" i="95"/>
  <c r="AD7" i="95"/>
  <c r="AC8" i="95"/>
  <c r="AC88" i="95" s="1"/>
  <c r="AB19" i="95"/>
  <c r="AB16" i="95"/>
  <c r="AB53" i="95"/>
  <c r="AB42" i="95"/>
  <c r="AB20" i="95"/>
  <c r="AB49" i="95"/>
  <c r="AB51" i="95"/>
  <c r="AB62" i="95"/>
  <c r="AB56" i="95"/>
  <c r="AB50" i="95"/>
  <c r="AB75" i="95"/>
  <c r="AB71" i="95"/>
  <c r="AB95" i="95"/>
  <c r="AB89" i="95"/>
  <c r="AB11" i="95"/>
  <c r="AB23" i="95"/>
  <c r="AB27" i="95"/>
  <c r="AB60" i="95"/>
  <c r="AB36" i="95"/>
  <c r="AB63" i="95"/>
  <c r="AB57" i="95"/>
  <c r="AB74" i="95"/>
  <c r="AB77" i="95"/>
  <c r="AB79" i="95"/>
  <c r="AB96" i="95"/>
  <c r="AB91" i="95"/>
  <c r="AB17" i="95"/>
  <c r="AB12" i="95"/>
  <c r="AB13" i="95"/>
  <c r="AB25" i="95"/>
  <c r="AB34" i="95"/>
  <c r="AB68" i="95"/>
  <c r="AB46" i="95"/>
  <c r="AB70" i="95"/>
  <c r="AB81" i="95"/>
  <c r="AB85" i="95"/>
  <c r="AB83" i="95"/>
  <c r="AB88" i="95"/>
  <c r="AB86" i="95"/>
  <c r="U97" i="113"/>
  <c r="M97" i="113"/>
  <c r="L97" i="113"/>
  <c r="U96" i="113"/>
  <c r="M96" i="113"/>
  <c r="L96" i="113"/>
  <c r="U95" i="113"/>
  <c r="M95" i="113"/>
  <c r="L95" i="113"/>
  <c r="U94" i="113"/>
  <c r="M94" i="113"/>
  <c r="L94" i="113"/>
  <c r="U93" i="113"/>
  <c r="M93" i="113"/>
  <c r="L93" i="113"/>
  <c r="U92" i="113"/>
  <c r="M92" i="113"/>
  <c r="L92" i="113"/>
  <c r="U91" i="113"/>
  <c r="M91" i="113"/>
  <c r="L91" i="113"/>
  <c r="U90" i="113"/>
  <c r="M90" i="113"/>
  <c r="L90" i="113"/>
  <c r="U89" i="113"/>
  <c r="M89" i="113"/>
  <c r="L89" i="113"/>
  <c r="U88" i="113"/>
  <c r="M88" i="113"/>
  <c r="L88" i="113"/>
  <c r="U87" i="113"/>
  <c r="S87" i="113"/>
  <c r="R87" i="113"/>
  <c r="Q87" i="113"/>
  <c r="P87" i="113"/>
  <c r="I87" i="113"/>
  <c r="H87" i="113"/>
  <c r="B87" i="113"/>
  <c r="U86" i="113"/>
  <c r="M86" i="113"/>
  <c r="L86" i="113"/>
  <c r="U85" i="113"/>
  <c r="M85" i="113"/>
  <c r="L85" i="113"/>
  <c r="U84" i="113"/>
  <c r="M84" i="113"/>
  <c r="L84" i="113"/>
  <c r="U83" i="113"/>
  <c r="M83" i="113"/>
  <c r="L83" i="113"/>
  <c r="U82" i="113"/>
  <c r="M82" i="113"/>
  <c r="L82" i="113"/>
  <c r="U81" i="113"/>
  <c r="M81" i="113"/>
  <c r="L81" i="113"/>
  <c r="U80" i="113"/>
  <c r="M80" i="113"/>
  <c r="L80" i="113"/>
  <c r="U79" i="113"/>
  <c r="M79" i="113"/>
  <c r="L79" i="113"/>
  <c r="U78" i="113"/>
  <c r="M78" i="113"/>
  <c r="L78" i="113"/>
  <c r="U77" i="113"/>
  <c r="M77" i="113"/>
  <c r="L77" i="113"/>
  <c r="U76" i="113"/>
  <c r="S76" i="113"/>
  <c r="R76" i="113"/>
  <c r="Q76" i="113"/>
  <c r="P76" i="113"/>
  <c r="I76" i="113"/>
  <c r="H76" i="113"/>
  <c r="B76" i="113"/>
  <c r="U75" i="113"/>
  <c r="M75" i="113"/>
  <c r="L75" i="113"/>
  <c r="U74" i="113"/>
  <c r="M74" i="113"/>
  <c r="L74" i="113"/>
  <c r="U73" i="113"/>
  <c r="M73" i="113"/>
  <c r="L73" i="113"/>
  <c r="U72" i="113"/>
  <c r="M72" i="113"/>
  <c r="L72" i="113"/>
  <c r="U71" i="113"/>
  <c r="M71" i="113"/>
  <c r="L71" i="113"/>
  <c r="U70" i="113"/>
  <c r="M70" i="113"/>
  <c r="L70" i="113"/>
  <c r="U69" i="113"/>
  <c r="M69" i="113"/>
  <c r="L69" i="113"/>
  <c r="U68" i="113"/>
  <c r="M68" i="113"/>
  <c r="L68" i="113"/>
  <c r="U67" i="113"/>
  <c r="M67" i="113"/>
  <c r="L67" i="113"/>
  <c r="U66" i="113"/>
  <c r="M66" i="113"/>
  <c r="K65" i="113" s="1"/>
  <c r="G21" i="112" s="1"/>
  <c r="L66" i="113"/>
  <c r="U65" i="113"/>
  <c r="S65" i="113"/>
  <c r="R65" i="113"/>
  <c r="Q65" i="113"/>
  <c r="P65" i="113"/>
  <c r="I65" i="113"/>
  <c r="H65" i="113"/>
  <c r="B65" i="113"/>
  <c r="U64" i="113"/>
  <c r="M64" i="113"/>
  <c r="L64" i="113"/>
  <c r="N64" i="113" s="1"/>
  <c r="O64" i="113" s="1"/>
  <c r="U63" i="113"/>
  <c r="M63" i="113"/>
  <c r="L63" i="113"/>
  <c r="U62" i="113"/>
  <c r="M62" i="113"/>
  <c r="L62" i="113"/>
  <c r="U61" i="113"/>
  <c r="M61" i="113"/>
  <c r="L61" i="113"/>
  <c r="U60" i="113"/>
  <c r="M60" i="113"/>
  <c r="L60" i="113"/>
  <c r="N60" i="113" s="1"/>
  <c r="O60" i="113" s="1"/>
  <c r="U59" i="113"/>
  <c r="M59" i="113"/>
  <c r="L59" i="113"/>
  <c r="U58" i="113"/>
  <c r="M58" i="113"/>
  <c r="L58" i="113"/>
  <c r="U57" i="113"/>
  <c r="M57" i="113"/>
  <c r="L57" i="113"/>
  <c r="U56" i="113"/>
  <c r="M56" i="113"/>
  <c r="L56" i="113"/>
  <c r="N56" i="113" s="1"/>
  <c r="O56" i="113" s="1"/>
  <c r="U55" i="113"/>
  <c r="M55" i="113"/>
  <c r="L55" i="113"/>
  <c r="U54" i="113"/>
  <c r="S54" i="113"/>
  <c r="R54" i="113"/>
  <c r="Q54" i="113"/>
  <c r="P54" i="113"/>
  <c r="I54" i="113"/>
  <c r="H54" i="113"/>
  <c r="B54" i="113"/>
  <c r="U53" i="113"/>
  <c r="M53" i="113"/>
  <c r="L53" i="113"/>
  <c r="N53" i="113" s="1"/>
  <c r="O53" i="113" s="1"/>
  <c r="U52" i="113"/>
  <c r="M52" i="113"/>
  <c r="L52" i="113"/>
  <c r="N52" i="113" s="1"/>
  <c r="O52" i="113" s="1"/>
  <c r="U51" i="113"/>
  <c r="M51" i="113"/>
  <c r="L51" i="113"/>
  <c r="N51" i="113" s="1"/>
  <c r="O51" i="113" s="1"/>
  <c r="U50" i="113"/>
  <c r="M50" i="113"/>
  <c r="L50" i="113"/>
  <c r="N50" i="113" s="1"/>
  <c r="O50" i="113" s="1"/>
  <c r="U49" i="113"/>
  <c r="M49" i="113"/>
  <c r="L49" i="113"/>
  <c r="N49" i="113" s="1"/>
  <c r="O49" i="113" s="1"/>
  <c r="U48" i="113"/>
  <c r="M48" i="113"/>
  <c r="L48" i="113"/>
  <c r="N48" i="113" s="1"/>
  <c r="O48" i="113" s="1"/>
  <c r="U47" i="113"/>
  <c r="M47" i="113"/>
  <c r="L47" i="113"/>
  <c r="N47" i="113" s="1"/>
  <c r="O47" i="113" s="1"/>
  <c r="U46" i="113"/>
  <c r="M46" i="113"/>
  <c r="L46" i="113"/>
  <c r="N46" i="113" s="1"/>
  <c r="O46" i="113" s="1"/>
  <c r="U45" i="113"/>
  <c r="M45" i="113"/>
  <c r="L45" i="113"/>
  <c r="N45" i="113" s="1"/>
  <c r="O45" i="113" s="1"/>
  <c r="U44" i="113"/>
  <c r="M44" i="113"/>
  <c r="K43" i="113" s="1"/>
  <c r="E21" i="112" s="1"/>
  <c r="L44" i="113"/>
  <c r="U43" i="113"/>
  <c r="S43" i="113"/>
  <c r="R43" i="113"/>
  <c r="Q43" i="113"/>
  <c r="P43" i="113"/>
  <c r="I43" i="113"/>
  <c r="H43" i="113"/>
  <c r="B43" i="113"/>
  <c r="U42" i="113"/>
  <c r="M42" i="113"/>
  <c r="L42" i="113"/>
  <c r="U41" i="113"/>
  <c r="M41" i="113"/>
  <c r="L41" i="113"/>
  <c r="U40" i="113"/>
  <c r="M40" i="113"/>
  <c r="L40" i="113"/>
  <c r="U39" i="113"/>
  <c r="M39" i="113"/>
  <c r="L39" i="113"/>
  <c r="N39" i="113" s="1"/>
  <c r="O39" i="113" s="1"/>
  <c r="U38" i="113"/>
  <c r="M38" i="113"/>
  <c r="L38" i="113"/>
  <c r="U37" i="113"/>
  <c r="M37" i="113"/>
  <c r="L37" i="113"/>
  <c r="U36" i="113"/>
  <c r="M36" i="113"/>
  <c r="L36" i="113"/>
  <c r="U35" i="113"/>
  <c r="M35" i="113"/>
  <c r="L35" i="113"/>
  <c r="N35" i="113" s="1"/>
  <c r="O35" i="113" s="1"/>
  <c r="U34" i="113"/>
  <c r="M34" i="113"/>
  <c r="L34" i="113"/>
  <c r="U33" i="113"/>
  <c r="M33" i="113"/>
  <c r="L33" i="113"/>
  <c r="U32" i="113"/>
  <c r="S32" i="113"/>
  <c r="R32" i="113"/>
  <c r="Q32" i="113"/>
  <c r="P32" i="113"/>
  <c r="I32" i="113"/>
  <c r="H32" i="113"/>
  <c r="B32" i="113"/>
  <c r="U31" i="113"/>
  <c r="M31" i="113"/>
  <c r="L31" i="113"/>
  <c r="N31" i="113" s="1"/>
  <c r="O31" i="113" s="1"/>
  <c r="U30" i="113"/>
  <c r="M30" i="113"/>
  <c r="L30" i="113"/>
  <c r="N30" i="113" s="1"/>
  <c r="O30" i="113" s="1"/>
  <c r="U29" i="113"/>
  <c r="M29" i="113"/>
  <c r="L29" i="113"/>
  <c r="N29" i="113" s="1"/>
  <c r="O29" i="113" s="1"/>
  <c r="U28" i="113"/>
  <c r="M28" i="113"/>
  <c r="L28" i="113"/>
  <c r="N28" i="113" s="1"/>
  <c r="O28" i="113" s="1"/>
  <c r="U27" i="113"/>
  <c r="M27" i="113"/>
  <c r="L27" i="113"/>
  <c r="N27" i="113" s="1"/>
  <c r="O27" i="113" s="1"/>
  <c r="U26" i="113"/>
  <c r="M26" i="113"/>
  <c r="L26" i="113"/>
  <c r="N26" i="113" s="1"/>
  <c r="O26" i="113" s="1"/>
  <c r="U25" i="113"/>
  <c r="M25" i="113"/>
  <c r="L25" i="113"/>
  <c r="N25" i="113" s="1"/>
  <c r="O25" i="113" s="1"/>
  <c r="U24" i="113"/>
  <c r="M24" i="113"/>
  <c r="L24" i="113"/>
  <c r="N24" i="113" s="1"/>
  <c r="O24" i="113" s="1"/>
  <c r="U23" i="113"/>
  <c r="M23" i="113"/>
  <c r="L23" i="113"/>
  <c r="N23" i="113" s="1"/>
  <c r="O23" i="113" s="1"/>
  <c r="U22" i="113"/>
  <c r="M22" i="113"/>
  <c r="U21" i="113"/>
  <c r="S21" i="113"/>
  <c r="R21" i="113"/>
  <c r="Q21" i="113"/>
  <c r="P21" i="113"/>
  <c r="I21" i="113"/>
  <c r="H21" i="113"/>
  <c r="B21" i="113"/>
  <c r="U20" i="113"/>
  <c r="M20" i="113"/>
  <c r="L20" i="113"/>
  <c r="U19" i="113"/>
  <c r="M19" i="113"/>
  <c r="L19" i="113"/>
  <c r="U18" i="113"/>
  <c r="M18" i="113"/>
  <c r="L18" i="113"/>
  <c r="U17" i="113"/>
  <c r="M17" i="113"/>
  <c r="L17" i="113"/>
  <c r="U16" i="113"/>
  <c r="M16" i="113"/>
  <c r="L16" i="113"/>
  <c r="U15" i="113"/>
  <c r="M15" i="113"/>
  <c r="L15" i="113"/>
  <c r="N15" i="113" s="1"/>
  <c r="O15" i="113" s="1"/>
  <c r="U14" i="113"/>
  <c r="M14" i="113"/>
  <c r="L14" i="113"/>
  <c r="U13" i="113"/>
  <c r="M13" i="113"/>
  <c r="L13" i="113"/>
  <c r="U12" i="113"/>
  <c r="M12" i="113"/>
  <c r="L12" i="113"/>
  <c r="U11" i="113"/>
  <c r="M11" i="113"/>
  <c r="U10" i="113"/>
  <c r="S10" i="113"/>
  <c r="R10" i="113"/>
  <c r="Q10" i="113"/>
  <c r="P10" i="113"/>
  <c r="I10" i="113"/>
  <c r="H10" i="113"/>
  <c r="B10" i="113"/>
  <c r="U9" i="113"/>
  <c r="V1" i="113"/>
  <c r="A1" i="113"/>
  <c r="I29" i="112"/>
  <c r="H29" i="112"/>
  <c r="G29" i="112"/>
  <c r="F29" i="112"/>
  <c r="E29" i="112"/>
  <c r="D29" i="112"/>
  <c r="C29" i="112"/>
  <c r="B29" i="112"/>
  <c r="J28" i="112"/>
  <c r="J27" i="112"/>
  <c r="J29" i="112" s="1"/>
  <c r="J16" i="112"/>
  <c r="J1" i="112"/>
  <c r="A1" i="112"/>
  <c r="U97" i="111"/>
  <c r="M97" i="111"/>
  <c r="L97" i="111"/>
  <c r="N97" i="111" s="1"/>
  <c r="O97" i="111" s="1"/>
  <c r="U96" i="111"/>
  <c r="M96" i="111"/>
  <c r="L96" i="111"/>
  <c r="N96" i="111" s="1"/>
  <c r="O96" i="111" s="1"/>
  <c r="U95" i="111"/>
  <c r="M95" i="111"/>
  <c r="L95" i="111"/>
  <c r="N95" i="111" s="1"/>
  <c r="O95" i="111" s="1"/>
  <c r="U94" i="111"/>
  <c r="M94" i="111"/>
  <c r="L94" i="111"/>
  <c r="N94" i="111" s="1"/>
  <c r="O94" i="111" s="1"/>
  <c r="U93" i="111"/>
  <c r="M93" i="111"/>
  <c r="L93" i="111"/>
  <c r="N93" i="111" s="1"/>
  <c r="O93" i="111" s="1"/>
  <c r="U92" i="111"/>
  <c r="M92" i="111"/>
  <c r="L92" i="111"/>
  <c r="N92" i="111" s="1"/>
  <c r="O92" i="111" s="1"/>
  <c r="U91" i="111"/>
  <c r="M91" i="111"/>
  <c r="L91" i="111"/>
  <c r="N91" i="111" s="1"/>
  <c r="O91" i="111" s="1"/>
  <c r="U90" i="111"/>
  <c r="M90" i="111"/>
  <c r="L90" i="111"/>
  <c r="N90" i="111" s="1"/>
  <c r="O90" i="111" s="1"/>
  <c r="U89" i="111"/>
  <c r="M89" i="111"/>
  <c r="L89" i="111"/>
  <c r="U88" i="111"/>
  <c r="M88" i="111"/>
  <c r="K87" i="111" s="1"/>
  <c r="L88" i="111"/>
  <c r="U87" i="111"/>
  <c r="S87" i="111"/>
  <c r="R87" i="111"/>
  <c r="Q87" i="111"/>
  <c r="P87" i="111"/>
  <c r="I87" i="111"/>
  <c r="H87" i="111"/>
  <c r="B87" i="111"/>
  <c r="U86" i="111"/>
  <c r="M86" i="111"/>
  <c r="L86" i="111"/>
  <c r="N86" i="111" s="1"/>
  <c r="O86" i="111" s="1"/>
  <c r="U85" i="111"/>
  <c r="M85" i="111"/>
  <c r="L85" i="111"/>
  <c r="N85" i="111" s="1"/>
  <c r="O85" i="111" s="1"/>
  <c r="U84" i="111"/>
  <c r="M84" i="111"/>
  <c r="L84" i="111"/>
  <c r="N84" i="111" s="1"/>
  <c r="O84" i="111" s="1"/>
  <c r="U83" i="111"/>
  <c r="M83" i="111"/>
  <c r="L83" i="111"/>
  <c r="U82" i="111"/>
  <c r="M82" i="111"/>
  <c r="L82" i="111"/>
  <c r="N82" i="111" s="1"/>
  <c r="O82" i="111" s="1"/>
  <c r="U81" i="111"/>
  <c r="M81" i="111"/>
  <c r="L81" i="111"/>
  <c r="N81" i="111" s="1"/>
  <c r="O81" i="111" s="1"/>
  <c r="U80" i="111"/>
  <c r="M80" i="111"/>
  <c r="L80" i="111"/>
  <c r="U79" i="111"/>
  <c r="M79" i="111"/>
  <c r="L79" i="111"/>
  <c r="U78" i="111"/>
  <c r="M78" i="111"/>
  <c r="L78" i="111"/>
  <c r="N78" i="111" s="1"/>
  <c r="O78" i="111" s="1"/>
  <c r="U77" i="111"/>
  <c r="M77" i="111"/>
  <c r="U76" i="111"/>
  <c r="S76" i="111"/>
  <c r="R76" i="111"/>
  <c r="Q76" i="111"/>
  <c r="P76" i="111"/>
  <c r="I76" i="111"/>
  <c r="H76" i="111"/>
  <c r="B76" i="111"/>
  <c r="U75" i="111"/>
  <c r="M75" i="111"/>
  <c r="L75" i="111"/>
  <c r="N75" i="111" s="1"/>
  <c r="O75" i="111" s="1"/>
  <c r="U74" i="111"/>
  <c r="M74" i="111"/>
  <c r="L74" i="111"/>
  <c r="N74" i="111" s="1"/>
  <c r="O74" i="111" s="1"/>
  <c r="U73" i="111"/>
  <c r="M73" i="111"/>
  <c r="L73" i="111"/>
  <c r="N73" i="111" s="1"/>
  <c r="O73" i="111" s="1"/>
  <c r="U72" i="111"/>
  <c r="M72" i="111"/>
  <c r="L72" i="111"/>
  <c r="U71" i="111"/>
  <c r="M71" i="111"/>
  <c r="L71" i="111"/>
  <c r="N71" i="111" s="1"/>
  <c r="O71" i="111" s="1"/>
  <c r="U70" i="111"/>
  <c r="M70" i="111"/>
  <c r="L70" i="111"/>
  <c r="N70" i="111" s="1"/>
  <c r="O70" i="111" s="1"/>
  <c r="U69" i="111"/>
  <c r="M69" i="111"/>
  <c r="L69" i="111"/>
  <c r="U68" i="111"/>
  <c r="M68" i="111"/>
  <c r="L68" i="111"/>
  <c r="N68" i="111" s="1"/>
  <c r="O68" i="111" s="1"/>
  <c r="U67" i="111"/>
  <c r="M67" i="111"/>
  <c r="L67" i="111"/>
  <c r="N67" i="111" s="1"/>
  <c r="O67" i="111" s="1"/>
  <c r="U66" i="111"/>
  <c r="M66" i="111"/>
  <c r="K65" i="111" s="1"/>
  <c r="G21" i="110" s="1"/>
  <c r="L66" i="111"/>
  <c r="U65" i="111"/>
  <c r="S65" i="111"/>
  <c r="R65" i="111"/>
  <c r="Q65" i="111"/>
  <c r="P65" i="111"/>
  <c r="I65" i="111"/>
  <c r="H65" i="111"/>
  <c r="B65" i="111"/>
  <c r="U64" i="111"/>
  <c r="M64" i="111"/>
  <c r="L64" i="111"/>
  <c r="U63" i="111"/>
  <c r="M63" i="111"/>
  <c r="L63" i="111"/>
  <c r="U62" i="111"/>
  <c r="M62" i="111"/>
  <c r="L62" i="111"/>
  <c r="U61" i="111"/>
  <c r="M61" i="111"/>
  <c r="L61" i="111"/>
  <c r="U60" i="111"/>
  <c r="M60" i="111"/>
  <c r="L60" i="111"/>
  <c r="U59" i="111"/>
  <c r="M59" i="111"/>
  <c r="L59" i="111"/>
  <c r="U58" i="111"/>
  <c r="M58" i="111"/>
  <c r="L58" i="111"/>
  <c r="U57" i="111"/>
  <c r="M57" i="111"/>
  <c r="L57" i="111"/>
  <c r="U56" i="111"/>
  <c r="M56" i="111"/>
  <c r="L56" i="111"/>
  <c r="U55" i="111"/>
  <c r="M55" i="111"/>
  <c r="L55" i="111"/>
  <c r="U54" i="111"/>
  <c r="S54" i="111"/>
  <c r="R54" i="111"/>
  <c r="Q54" i="111"/>
  <c r="P54" i="111"/>
  <c r="I54" i="111"/>
  <c r="H54" i="111"/>
  <c r="B54" i="111"/>
  <c r="U53" i="111"/>
  <c r="M53" i="111"/>
  <c r="L53" i="111"/>
  <c r="U52" i="111"/>
  <c r="M52" i="111"/>
  <c r="L52" i="111"/>
  <c r="U51" i="111"/>
  <c r="M51" i="111"/>
  <c r="L51" i="111"/>
  <c r="U50" i="111"/>
  <c r="M50" i="111"/>
  <c r="L50" i="111"/>
  <c r="U49" i="111"/>
  <c r="M49" i="111"/>
  <c r="L49" i="111"/>
  <c r="U48" i="111"/>
  <c r="M48" i="111"/>
  <c r="L48" i="111"/>
  <c r="U47" i="111"/>
  <c r="M47" i="111"/>
  <c r="L47" i="111"/>
  <c r="U46" i="111"/>
  <c r="M46" i="111"/>
  <c r="U45" i="111"/>
  <c r="M45" i="111"/>
  <c r="L45" i="111"/>
  <c r="U44" i="111"/>
  <c r="M44" i="111"/>
  <c r="L44" i="111"/>
  <c r="U43" i="111"/>
  <c r="S43" i="111"/>
  <c r="R43" i="111"/>
  <c r="Q43" i="111"/>
  <c r="P43" i="111"/>
  <c r="I43" i="111"/>
  <c r="H43" i="111"/>
  <c r="B43" i="111"/>
  <c r="U42" i="111"/>
  <c r="M42" i="111"/>
  <c r="L42" i="111"/>
  <c r="U41" i="111"/>
  <c r="M41" i="111"/>
  <c r="L41" i="111"/>
  <c r="U40" i="111"/>
  <c r="M40" i="111"/>
  <c r="L40" i="111"/>
  <c r="U39" i="111"/>
  <c r="M39" i="111"/>
  <c r="L39" i="111"/>
  <c r="U38" i="111"/>
  <c r="M38" i="111"/>
  <c r="L38" i="111"/>
  <c r="U37" i="111"/>
  <c r="M37" i="111"/>
  <c r="L37" i="111"/>
  <c r="U36" i="111"/>
  <c r="M36" i="111"/>
  <c r="L36" i="111"/>
  <c r="U35" i="111"/>
  <c r="M35" i="111"/>
  <c r="L35" i="111"/>
  <c r="U34" i="111"/>
  <c r="M34" i="111"/>
  <c r="L34" i="111"/>
  <c r="U33" i="111"/>
  <c r="M33" i="111"/>
  <c r="U32" i="111"/>
  <c r="S32" i="111"/>
  <c r="R32" i="111"/>
  <c r="Q32" i="111"/>
  <c r="P32" i="111"/>
  <c r="I32" i="111"/>
  <c r="H32" i="111"/>
  <c r="B32" i="111"/>
  <c r="U31" i="111"/>
  <c r="M31" i="111"/>
  <c r="L31" i="111"/>
  <c r="U30" i="111"/>
  <c r="M30" i="111"/>
  <c r="L30" i="111"/>
  <c r="U29" i="111"/>
  <c r="M29" i="111"/>
  <c r="L29" i="111"/>
  <c r="U28" i="111"/>
  <c r="M28" i="111"/>
  <c r="L28" i="111"/>
  <c r="U27" i="111"/>
  <c r="M27" i="111"/>
  <c r="L27" i="111"/>
  <c r="U26" i="111"/>
  <c r="M26" i="111"/>
  <c r="L26" i="111"/>
  <c r="U25" i="111"/>
  <c r="M25" i="111"/>
  <c r="L25" i="111"/>
  <c r="U24" i="111"/>
  <c r="M24" i="111"/>
  <c r="L24" i="111"/>
  <c r="U23" i="111"/>
  <c r="M23" i="111"/>
  <c r="L23" i="111"/>
  <c r="U22" i="111"/>
  <c r="M22" i="111"/>
  <c r="L22" i="111"/>
  <c r="U21" i="111"/>
  <c r="S21" i="111"/>
  <c r="R21" i="111"/>
  <c r="Q21" i="111"/>
  <c r="P21" i="111"/>
  <c r="I21" i="111"/>
  <c r="H21" i="111"/>
  <c r="B21" i="111"/>
  <c r="U20" i="111"/>
  <c r="M20" i="111"/>
  <c r="L20" i="111"/>
  <c r="U19" i="111"/>
  <c r="M19" i="111"/>
  <c r="L19" i="111"/>
  <c r="U18" i="111"/>
  <c r="M18" i="111"/>
  <c r="L18" i="111"/>
  <c r="U17" i="111"/>
  <c r="M17" i="111"/>
  <c r="L17" i="111"/>
  <c r="U16" i="111"/>
  <c r="M16" i="111"/>
  <c r="L16" i="111"/>
  <c r="U15" i="111"/>
  <c r="M15" i="111"/>
  <c r="L15" i="111"/>
  <c r="U14" i="111"/>
  <c r="M14" i="111"/>
  <c r="L14" i="111"/>
  <c r="U13" i="111"/>
  <c r="M13" i="111"/>
  <c r="L13" i="111"/>
  <c r="U12" i="111"/>
  <c r="M12" i="111"/>
  <c r="L12" i="111"/>
  <c r="U11" i="111"/>
  <c r="M11" i="111"/>
  <c r="K10" i="111" s="1"/>
  <c r="B21" i="110" s="1"/>
  <c r="L11" i="111"/>
  <c r="U10" i="111"/>
  <c r="S10" i="111"/>
  <c r="R10" i="111"/>
  <c r="Q10" i="111"/>
  <c r="P10" i="111"/>
  <c r="P9" i="111" s="1"/>
  <c r="I10" i="111"/>
  <c r="I9" i="111" s="1"/>
  <c r="H10" i="111"/>
  <c r="B10" i="111"/>
  <c r="U9" i="111"/>
  <c r="V1" i="111"/>
  <c r="A1" i="111"/>
  <c r="I29" i="110"/>
  <c r="H29" i="110"/>
  <c r="G29" i="110"/>
  <c r="F29" i="110"/>
  <c r="E29" i="110"/>
  <c r="D29" i="110"/>
  <c r="C29" i="110"/>
  <c r="B29" i="110"/>
  <c r="J28" i="110"/>
  <c r="J27" i="110"/>
  <c r="I21" i="110"/>
  <c r="J16" i="110"/>
  <c r="J1" i="110"/>
  <c r="A1" i="110"/>
  <c r="U97" i="109"/>
  <c r="M97" i="109"/>
  <c r="L97" i="109"/>
  <c r="U96" i="109"/>
  <c r="M96" i="109"/>
  <c r="L96" i="109"/>
  <c r="U95" i="109"/>
  <c r="M95" i="109"/>
  <c r="L95" i="109"/>
  <c r="U94" i="109"/>
  <c r="M94" i="109"/>
  <c r="L94" i="109"/>
  <c r="U93" i="109"/>
  <c r="M93" i="109"/>
  <c r="L93" i="109"/>
  <c r="U92" i="109"/>
  <c r="M92" i="109"/>
  <c r="L92" i="109"/>
  <c r="U91" i="109"/>
  <c r="M91" i="109"/>
  <c r="L91" i="109"/>
  <c r="U90" i="109"/>
  <c r="M90" i="109"/>
  <c r="L90" i="109"/>
  <c r="U89" i="109"/>
  <c r="M89" i="109"/>
  <c r="L89" i="109"/>
  <c r="U88" i="109"/>
  <c r="M88" i="109"/>
  <c r="K87" i="109" s="1"/>
  <c r="I21" i="108" s="1"/>
  <c r="U87" i="109"/>
  <c r="S87" i="109"/>
  <c r="R87" i="109"/>
  <c r="Q87" i="109"/>
  <c r="P87" i="109"/>
  <c r="I87" i="109"/>
  <c r="H87" i="109"/>
  <c r="B87" i="109"/>
  <c r="U86" i="109"/>
  <c r="M86" i="109"/>
  <c r="L86" i="109"/>
  <c r="U85" i="109"/>
  <c r="M85" i="109"/>
  <c r="L85" i="109"/>
  <c r="U84" i="109"/>
  <c r="M84" i="109"/>
  <c r="L84" i="109"/>
  <c r="U83" i="109"/>
  <c r="M83" i="109"/>
  <c r="L83" i="109"/>
  <c r="U82" i="109"/>
  <c r="M82" i="109"/>
  <c r="L82" i="109"/>
  <c r="U81" i="109"/>
  <c r="M81" i="109"/>
  <c r="L81" i="109"/>
  <c r="U80" i="109"/>
  <c r="M80" i="109"/>
  <c r="L80" i="109"/>
  <c r="U79" i="109"/>
  <c r="M79" i="109"/>
  <c r="L79" i="109"/>
  <c r="U78" i="109"/>
  <c r="M78" i="109"/>
  <c r="L78" i="109"/>
  <c r="U77" i="109"/>
  <c r="M77" i="109"/>
  <c r="K76" i="109" s="1"/>
  <c r="H21" i="108" s="1"/>
  <c r="L77" i="109"/>
  <c r="U76" i="109"/>
  <c r="S76" i="109"/>
  <c r="R76" i="109"/>
  <c r="Q76" i="109"/>
  <c r="P76" i="109"/>
  <c r="I76" i="109"/>
  <c r="H76" i="109"/>
  <c r="B76" i="109"/>
  <c r="U75" i="109"/>
  <c r="M75" i="109"/>
  <c r="L75" i="109"/>
  <c r="U74" i="109"/>
  <c r="M74" i="109"/>
  <c r="L74" i="109"/>
  <c r="U73" i="109"/>
  <c r="M73" i="109"/>
  <c r="L73" i="109"/>
  <c r="U72" i="109"/>
  <c r="M72" i="109"/>
  <c r="L72" i="109"/>
  <c r="U71" i="109"/>
  <c r="M71" i="109"/>
  <c r="L71" i="109"/>
  <c r="U70" i="109"/>
  <c r="M70" i="109"/>
  <c r="L70" i="109"/>
  <c r="U69" i="109"/>
  <c r="M69" i="109"/>
  <c r="L69" i="109"/>
  <c r="U68" i="109"/>
  <c r="M68" i="109"/>
  <c r="L68" i="109"/>
  <c r="U67" i="109"/>
  <c r="M67" i="109"/>
  <c r="L67" i="109"/>
  <c r="U66" i="109"/>
  <c r="M66" i="109"/>
  <c r="K65" i="109" s="1"/>
  <c r="G21" i="108" s="1"/>
  <c r="L66" i="109"/>
  <c r="U65" i="109"/>
  <c r="S65" i="109"/>
  <c r="R65" i="109"/>
  <c r="Q65" i="109"/>
  <c r="P65" i="109"/>
  <c r="I65" i="109"/>
  <c r="H65" i="109"/>
  <c r="B65" i="109"/>
  <c r="U64" i="109"/>
  <c r="M64" i="109"/>
  <c r="L64" i="109"/>
  <c r="U63" i="109"/>
  <c r="M63" i="109"/>
  <c r="L63" i="109"/>
  <c r="U62" i="109"/>
  <c r="M62" i="109"/>
  <c r="L62" i="109"/>
  <c r="U61" i="109"/>
  <c r="M61" i="109"/>
  <c r="L61" i="109"/>
  <c r="U60" i="109"/>
  <c r="M60" i="109"/>
  <c r="L60" i="109"/>
  <c r="U59" i="109"/>
  <c r="M59" i="109"/>
  <c r="L59" i="109"/>
  <c r="U58" i="109"/>
  <c r="M58" i="109"/>
  <c r="L58" i="109"/>
  <c r="U57" i="109"/>
  <c r="M57" i="109"/>
  <c r="L57" i="109"/>
  <c r="U56" i="109"/>
  <c r="M56" i="109"/>
  <c r="L56" i="109"/>
  <c r="U55" i="109"/>
  <c r="M55" i="109"/>
  <c r="L55" i="109"/>
  <c r="J54" i="109" s="1"/>
  <c r="U54" i="109"/>
  <c r="S54" i="109"/>
  <c r="R54" i="109"/>
  <c r="Q54" i="109"/>
  <c r="P54" i="109"/>
  <c r="I54" i="109"/>
  <c r="H54" i="109"/>
  <c r="B54" i="109"/>
  <c r="U53" i="109"/>
  <c r="M53" i="109"/>
  <c r="L53" i="109"/>
  <c r="U52" i="109"/>
  <c r="M52" i="109"/>
  <c r="L52" i="109"/>
  <c r="U51" i="109"/>
  <c r="M51" i="109"/>
  <c r="L51" i="109"/>
  <c r="U50" i="109"/>
  <c r="M50" i="109"/>
  <c r="L50" i="109"/>
  <c r="U49" i="109"/>
  <c r="M49" i="109"/>
  <c r="L49" i="109"/>
  <c r="U48" i="109"/>
  <c r="M48" i="109"/>
  <c r="L48" i="109"/>
  <c r="U47" i="109"/>
  <c r="M47" i="109"/>
  <c r="L47" i="109"/>
  <c r="U46" i="109"/>
  <c r="M46" i="109"/>
  <c r="L46" i="109"/>
  <c r="U45" i="109"/>
  <c r="M45" i="109"/>
  <c r="L45" i="109"/>
  <c r="U44" i="109"/>
  <c r="M44" i="109"/>
  <c r="K43" i="109" s="1"/>
  <c r="E21" i="108" s="1"/>
  <c r="L44" i="109"/>
  <c r="U43" i="109"/>
  <c r="S43" i="109"/>
  <c r="R43" i="109"/>
  <c r="Q43" i="109"/>
  <c r="P43" i="109"/>
  <c r="I43" i="109"/>
  <c r="H43" i="109"/>
  <c r="B43" i="109"/>
  <c r="U42" i="109"/>
  <c r="M42" i="109"/>
  <c r="L42" i="109"/>
  <c r="U41" i="109"/>
  <c r="M41" i="109"/>
  <c r="L41" i="109"/>
  <c r="U40" i="109"/>
  <c r="M40" i="109"/>
  <c r="L40" i="109"/>
  <c r="U39" i="109"/>
  <c r="M39" i="109"/>
  <c r="L39" i="109"/>
  <c r="U38" i="109"/>
  <c r="M38" i="109"/>
  <c r="L38" i="109"/>
  <c r="U37" i="109"/>
  <c r="M37" i="109"/>
  <c r="L37" i="109"/>
  <c r="U36" i="109"/>
  <c r="M36" i="109"/>
  <c r="L36" i="109"/>
  <c r="U35" i="109"/>
  <c r="M35" i="109"/>
  <c r="L35" i="109"/>
  <c r="U34" i="109"/>
  <c r="M34" i="109"/>
  <c r="L34" i="109"/>
  <c r="U33" i="109"/>
  <c r="M33" i="109"/>
  <c r="L33" i="109"/>
  <c r="U32" i="109"/>
  <c r="S32" i="109"/>
  <c r="R32" i="109"/>
  <c r="Q32" i="109"/>
  <c r="P32" i="109"/>
  <c r="I32" i="109"/>
  <c r="H32" i="109"/>
  <c r="B32" i="109"/>
  <c r="U31" i="109"/>
  <c r="M31" i="109"/>
  <c r="L31" i="109"/>
  <c r="U30" i="109"/>
  <c r="M30" i="109"/>
  <c r="L30" i="109"/>
  <c r="U29" i="109"/>
  <c r="M29" i="109"/>
  <c r="L29" i="109"/>
  <c r="U28" i="109"/>
  <c r="M28" i="109"/>
  <c r="L28" i="109"/>
  <c r="U27" i="109"/>
  <c r="M27" i="109"/>
  <c r="L27" i="109"/>
  <c r="U26" i="109"/>
  <c r="M26" i="109"/>
  <c r="L26" i="109"/>
  <c r="U25" i="109"/>
  <c r="M25" i="109"/>
  <c r="L25" i="109"/>
  <c r="U24" i="109"/>
  <c r="M24" i="109"/>
  <c r="L24" i="109"/>
  <c r="U23" i="109"/>
  <c r="M23" i="109"/>
  <c r="L23" i="109"/>
  <c r="U22" i="109"/>
  <c r="M22" i="109"/>
  <c r="K21" i="109" s="1"/>
  <c r="C21" i="108" s="1"/>
  <c r="L22" i="109"/>
  <c r="U21" i="109"/>
  <c r="S21" i="109"/>
  <c r="R21" i="109"/>
  <c r="Q21" i="109"/>
  <c r="P21" i="109"/>
  <c r="I21" i="109"/>
  <c r="H21" i="109"/>
  <c r="B21" i="109"/>
  <c r="U20" i="109"/>
  <c r="M20" i="109"/>
  <c r="L20" i="109"/>
  <c r="U19" i="109"/>
  <c r="M19" i="109"/>
  <c r="L19" i="109"/>
  <c r="U18" i="109"/>
  <c r="M18" i="109"/>
  <c r="L18" i="109"/>
  <c r="U17" i="109"/>
  <c r="M17" i="109"/>
  <c r="L17" i="109"/>
  <c r="U16" i="109"/>
  <c r="M16" i="109"/>
  <c r="L16" i="109"/>
  <c r="U15" i="109"/>
  <c r="M15" i="109"/>
  <c r="L15" i="109"/>
  <c r="U14" i="109"/>
  <c r="M14" i="109"/>
  <c r="L14" i="109"/>
  <c r="U13" i="109"/>
  <c r="M13" i="109"/>
  <c r="L13" i="109"/>
  <c r="U12" i="109"/>
  <c r="M12" i="109"/>
  <c r="L12" i="109"/>
  <c r="U11" i="109"/>
  <c r="M11" i="109"/>
  <c r="L11" i="109"/>
  <c r="U10" i="109"/>
  <c r="S10" i="109"/>
  <c r="R10" i="109"/>
  <c r="Q10" i="109"/>
  <c r="P10" i="109"/>
  <c r="K10" i="109"/>
  <c r="B21" i="108" s="1"/>
  <c r="I10" i="109"/>
  <c r="H10" i="109"/>
  <c r="B10" i="109"/>
  <c r="U9" i="109"/>
  <c r="V1" i="109"/>
  <c r="A1" i="109"/>
  <c r="I29" i="108"/>
  <c r="H29" i="108"/>
  <c r="G29" i="108"/>
  <c r="F29" i="108"/>
  <c r="E29" i="108"/>
  <c r="D29" i="108"/>
  <c r="C29" i="108"/>
  <c r="B29" i="108"/>
  <c r="J28" i="108"/>
  <c r="J27" i="108"/>
  <c r="J29" i="108" s="1"/>
  <c r="J16" i="108"/>
  <c r="J1" i="108"/>
  <c r="A1" i="108"/>
  <c r="U97" i="107"/>
  <c r="M97" i="107"/>
  <c r="L97" i="107"/>
  <c r="U96" i="107"/>
  <c r="M96" i="107"/>
  <c r="L96" i="107"/>
  <c r="U95" i="107"/>
  <c r="M95" i="107"/>
  <c r="L95" i="107"/>
  <c r="U94" i="107"/>
  <c r="M94" i="107"/>
  <c r="L94" i="107"/>
  <c r="U93" i="107"/>
  <c r="M93" i="107"/>
  <c r="L93" i="107"/>
  <c r="U92" i="107"/>
  <c r="M92" i="107"/>
  <c r="L92" i="107"/>
  <c r="U91" i="107"/>
  <c r="M91" i="107"/>
  <c r="L91" i="107"/>
  <c r="U90" i="107"/>
  <c r="M90" i="107"/>
  <c r="L90" i="107"/>
  <c r="U89" i="107"/>
  <c r="M89" i="107"/>
  <c r="L89" i="107"/>
  <c r="U88" i="107"/>
  <c r="M88" i="107"/>
  <c r="K87" i="107" s="1"/>
  <c r="I21" i="106" s="1"/>
  <c r="L88" i="107"/>
  <c r="U87" i="107"/>
  <c r="S87" i="107"/>
  <c r="R87" i="107"/>
  <c r="Q87" i="107"/>
  <c r="P87" i="107"/>
  <c r="I87" i="107"/>
  <c r="H87" i="107"/>
  <c r="B87" i="107"/>
  <c r="U86" i="107"/>
  <c r="M86" i="107"/>
  <c r="L86" i="107"/>
  <c r="U85" i="107"/>
  <c r="M85" i="107"/>
  <c r="L85" i="107"/>
  <c r="U84" i="107"/>
  <c r="M84" i="107"/>
  <c r="L84" i="107"/>
  <c r="U83" i="107"/>
  <c r="M83" i="107"/>
  <c r="L83" i="107"/>
  <c r="U82" i="107"/>
  <c r="M82" i="107"/>
  <c r="L82" i="107"/>
  <c r="U81" i="107"/>
  <c r="M81" i="107"/>
  <c r="L81" i="107"/>
  <c r="U80" i="107"/>
  <c r="M80" i="107"/>
  <c r="L80" i="107"/>
  <c r="U79" i="107"/>
  <c r="M79" i="107"/>
  <c r="L79" i="107"/>
  <c r="U78" i="107"/>
  <c r="M78" i="107"/>
  <c r="L78" i="107"/>
  <c r="U77" i="107"/>
  <c r="M77" i="107"/>
  <c r="U76" i="107"/>
  <c r="S76" i="107"/>
  <c r="R76" i="107"/>
  <c r="Q76" i="107"/>
  <c r="P76" i="107"/>
  <c r="I76" i="107"/>
  <c r="H76" i="107"/>
  <c r="B76" i="107"/>
  <c r="U75" i="107"/>
  <c r="M75" i="107"/>
  <c r="L75" i="107"/>
  <c r="U74" i="107"/>
  <c r="M74" i="107"/>
  <c r="L74" i="107"/>
  <c r="U73" i="107"/>
  <c r="M73" i="107"/>
  <c r="L73" i="107"/>
  <c r="U72" i="107"/>
  <c r="M72" i="107"/>
  <c r="L72" i="107"/>
  <c r="U71" i="107"/>
  <c r="M71" i="107"/>
  <c r="L71" i="107"/>
  <c r="U70" i="107"/>
  <c r="M70" i="107"/>
  <c r="L70" i="107"/>
  <c r="U69" i="107"/>
  <c r="M69" i="107"/>
  <c r="L69" i="107"/>
  <c r="U68" i="107"/>
  <c r="M68" i="107"/>
  <c r="L68" i="107"/>
  <c r="U67" i="107"/>
  <c r="M67" i="107"/>
  <c r="L67" i="107"/>
  <c r="U66" i="107"/>
  <c r="M66" i="107"/>
  <c r="L66" i="107"/>
  <c r="U65" i="107"/>
  <c r="S65" i="107"/>
  <c r="R65" i="107"/>
  <c r="Q65" i="107"/>
  <c r="P65" i="107"/>
  <c r="I65" i="107"/>
  <c r="H65" i="107"/>
  <c r="B65" i="107"/>
  <c r="U64" i="107"/>
  <c r="M64" i="107"/>
  <c r="L64" i="107"/>
  <c r="U63" i="107"/>
  <c r="M63" i="107"/>
  <c r="L63" i="107"/>
  <c r="U62" i="107"/>
  <c r="M62" i="107"/>
  <c r="L62" i="107"/>
  <c r="U61" i="107"/>
  <c r="M61" i="107"/>
  <c r="L61" i="107"/>
  <c r="U60" i="107"/>
  <c r="M60" i="107"/>
  <c r="L60" i="107"/>
  <c r="U59" i="107"/>
  <c r="M59" i="107"/>
  <c r="L59" i="107"/>
  <c r="U58" i="107"/>
  <c r="M58" i="107"/>
  <c r="L58" i="107"/>
  <c r="U57" i="107"/>
  <c r="M57" i="107"/>
  <c r="L57" i="107"/>
  <c r="U56" i="107"/>
  <c r="M56" i="107"/>
  <c r="L56" i="107"/>
  <c r="U55" i="107"/>
  <c r="M55" i="107"/>
  <c r="K54" i="107" s="1"/>
  <c r="F21" i="106" s="1"/>
  <c r="U54" i="107"/>
  <c r="S54" i="107"/>
  <c r="R54" i="107"/>
  <c r="Q54" i="107"/>
  <c r="P54" i="107"/>
  <c r="I54" i="107"/>
  <c r="H54" i="107"/>
  <c r="B54" i="107"/>
  <c r="U53" i="107"/>
  <c r="M53" i="107"/>
  <c r="L53" i="107"/>
  <c r="U52" i="107"/>
  <c r="M52" i="107"/>
  <c r="L52" i="107"/>
  <c r="U51" i="107"/>
  <c r="M51" i="107"/>
  <c r="L51" i="107"/>
  <c r="U50" i="107"/>
  <c r="M50" i="107"/>
  <c r="L50" i="107"/>
  <c r="U49" i="107"/>
  <c r="M49" i="107"/>
  <c r="L49" i="107"/>
  <c r="U48" i="107"/>
  <c r="M48" i="107"/>
  <c r="L48" i="107"/>
  <c r="U47" i="107"/>
  <c r="M47" i="107"/>
  <c r="L47" i="107"/>
  <c r="U46" i="107"/>
  <c r="M46" i="107"/>
  <c r="L46" i="107"/>
  <c r="U45" i="107"/>
  <c r="M45" i="107"/>
  <c r="L45" i="107"/>
  <c r="U44" i="107"/>
  <c r="M44" i="107"/>
  <c r="L44" i="107"/>
  <c r="U43" i="107"/>
  <c r="S43" i="107"/>
  <c r="R43" i="107"/>
  <c r="Q43" i="107"/>
  <c r="P43" i="107"/>
  <c r="I43" i="107"/>
  <c r="H43" i="107"/>
  <c r="B43" i="107"/>
  <c r="U42" i="107"/>
  <c r="M42" i="107"/>
  <c r="L42" i="107"/>
  <c r="U41" i="107"/>
  <c r="M41" i="107"/>
  <c r="L41" i="107"/>
  <c r="U40" i="107"/>
  <c r="M40" i="107"/>
  <c r="L40" i="107"/>
  <c r="N40" i="107" s="1"/>
  <c r="O40" i="107" s="1"/>
  <c r="U39" i="107"/>
  <c r="M39" i="107"/>
  <c r="L39" i="107"/>
  <c r="N39" i="107" s="1"/>
  <c r="O39" i="107" s="1"/>
  <c r="U38" i="107"/>
  <c r="M38" i="107"/>
  <c r="L38" i="107"/>
  <c r="U37" i="107"/>
  <c r="M37" i="107"/>
  <c r="L37" i="107"/>
  <c r="U36" i="107"/>
  <c r="M36" i="107"/>
  <c r="L36" i="107"/>
  <c r="N36" i="107" s="1"/>
  <c r="O36" i="107" s="1"/>
  <c r="U35" i="107"/>
  <c r="M35" i="107"/>
  <c r="L35" i="107"/>
  <c r="N35" i="107" s="1"/>
  <c r="O35" i="107" s="1"/>
  <c r="U34" i="107"/>
  <c r="M34" i="107"/>
  <c r="L34" i="107"/>
  <c r="U33" i="107"/>
  <c r="M33" i="107"/>
  <c r="U32" i="107"/>
  <c r="S32" i="107"/>
  <c r="R32" i="107"/>
  <c r="Q32" i="107"/>
  <c r="P32" i="107"/>
  <c r="I32" i="107"/>
  <c r="H32" i="107"/>
  <c r="B32" i="107"/>
  <c r="U31" i="107"/>
  <c r="M31" i="107"/>
  <c r="L31" i="107"/>
  <c r="U30" i="107"/>
  <c r="M30" i="107"/>
  <c r="L30" i="107"/>
  <c r="U29" i="107"/>
  <c r="M29" i="107"/>
  <c r="L29" i="107"/>
  <c r="U28" i="107"/>
  <c r="M28" i="107"/>
  <c r="L28" i="107"/>
  <c r="U27" i="107"/>
  <c r="M27" i="107"/>
  <c r="L27" i="107"/>
  <c r="U26" i="107"/>
  <c r="M26" i="107"/>
  <c r="L26" i="107"/>
  <c r="U25" i="107"/>
  <c r="M25" i="107"/>
  <c r="L25" i="107"/>
  <c r="U24" i="107"/>
  <c r="M24" i="107"/>
  <c r="L24" i="107"/>
  <c r="U23" i="107"/>
  <c r="M23" i="107"/>
  <c r="L23" i="107"/>
  <c r="U22" i="107"/>
  <c r="M22" i="107"/>
  <c r="L22" i="107"/>
  <c r="U21" i="107"/>
  <c r="S21" i="107"/>
  <c r="R21" i="107"/>
  <c r="Q21" i="107"/>
  <c r="P21" i="107"/>
  <c r="I21" i="107"/>
  <c r="H21" i="107"/>
  <c r="B21" i="107"/>
  <c r="U20" i="107"/>
  <c r="M20" i="107"/>
  <c r="L20" i="107"/>
  <c r="U19" i="107"/>
  <c r="M19" i="107"/>
  <c r="L19" i="107"/>
  <c r="U18" i="107"/>
  <c r="M18" i="107"/>
  <c r="L18" i="107"/>
  <c r="U17" i="107"/>
  <c r="M17" i="107"/>
  <c r="L17" i="107"/>
  <c r="U16" i="107"/>
  <c r="M16" i="107"/>
  <c r="L16" i="107"/>
  <c r="U15" i="107"/>
  <c r="M15" i="107"/>
  <c r="L15" i="107"/>
  <c r="U14" i="107"/>
  <c r="M14" i="107"/>
  <c r="L14" i="107"/>
  <c r="U13" i="107"/>
  <c r="M13" i="107"/>
  <c r="L13" i="107"/>
  <c r="U12" i="107"/>
  <c r="M12" i="107"/>
  <c r="L12" i="107"/>
  <c r="U11" i="107"/>
  <c r="M11" i="107"/>
  <c r="U10" i="107"/>
  <c r="S10" i="107"/>
  <c r="R10" i="107"/>
  <c r="Q10" i="107"/>
  <c r="P10" i="107"/>
  <c r="I10" i="107"/>
  <c r="H10" i="107"/>
  <c r="B10" i="107"/>
  <c r="U9" i="107"/>
  <c r="V1" i="107"/>
  <c r="A1" i="107"/>
  <c r="I29" i="106"/>
  <c r="H29" i="106"/>
  <c r="G29" i="106"/>
  <c r="F29" i="106"/>
  <c r="E29" i="106"/>
  <c r="D29" i="106"/>
  <c r="C29" i="106"/>
  <c r="B29" i="106"/>
  <c r="J28" i="106"/>
  <c r="J27" i="106"/>
  <c r="J29" i="106" s="1"/>
  <c r="J16" i="106"/>
  <c r="J1" i="106"/>
  <c r="A1" i="106"/>
  <c r="J21" i="109" l="1"/>
  <c r="J10" i="111"/>
  <c r="J54" i="113"/>
  <c r="F20" i="112" s="1"/>
  <c r="J10" i="109"/>
  <c r="B20" i="108" s="1"/>
  <c r="J43" i="109"/>
  <c r="E20" i="108" s="1"/>
  <c r="J76" i="109"/>
  <c r="H20" i="108" s="1"/>
  <c r="J87" i="113"/>
  <c r="I20" i="112" s="1"/>
  <c r="J54" i="111"/>
  <c r="J21" i="111"/>
  <c r="C20" i="110" s="1"/>
  <c r="J65" i="111"/>
  <c r="G20" i="110" s="1"/>
  <c r="J87" i="107"/>
  <c r="I20" i="106" s="1"/>
  <c r="J32" i="113"/>
  <c r="D20" i="112" s="1"/>
  <c r="J65" i="113"/>
  <c r="G20" i="112" s="1"/>
  <c r="J43" i="113"/>
  <c r="J76" i="113"/>
  <c r="H20" i="112" s="1"/>
  <c r="J87" i="111"/>
  <c r="I20" i="110" s="1"/>
  <c r="J32" i="109"/>
  <c r="D20" i="108" s="1"/>
  <c r="J65" i="109"/>
  <c r="G20" i="108" s="1"/>
  <c r="J21" i="107"/>
  <c r="C20" i="106" s="1"/>
  <c r="J65" i="107"/>
  <c r="J43" i="107"/>
  <c r="E20" i="106" s="1"/>
  <c r="AC78" i="95"/>
  <c r="AA90" i="59"/>
  <c r="AA50" i="59"/>
  <c r="AA11" i="59"/>
  <c r="AA62" i="59"/>
  <c r="AA77" i="59"/>
  <c r="AA40" i="59"/>
  <c r="AA79" i="59"/>
  <c r="AA16" i="59"/>
  <c r="AA27" i="59"/>
  <c r="AA29" i="59"/>
  <c r="AA70" i="59"/>
  <c r="AA88" i="59"/>
  <c r="AA23" i="59"/>
  <c r="AA28" i="59"/>
  <c r="AA30" i="59"/>
  <c r="AA20" i="59"/>
  <c r="AA38" i="59"/>
  <c r="AA46" i="59"/>
  <c r="AA71" i="59"/>
  <c r="AA56" i="59"/>
  <c r="AA59" i="59"/>
  <c r="AA96" i="59"/>
  <c r="AA13" i="59"/>
  <c r="AA34" i="59"/>
  <c r="AA86" i="59"/>
  <c r="AA84" i="59"/>
  <c r="AA78" i="59"/>
  <c r="AA12" i="59"/>
  <c r="AA14" i="59"/>
  <c r="AA19" i="59"/>
  <c r="AA45" i="59"/>
  <c r="AA35" i="59"/>
  <c r="AA51" i="59"/>
  <c r="AA80" i="59"/>
  <c r="AA74" i="59"/>
  <c r="AA68" i="59"/>
  <c r="AA93" i="59"/>
  <c r="AA73" i="59"/>
  <c r="AA83" i="59"/>
  <c r="AA95" i="59"/>
  <c r="AA22" i="59"/>
  <c r="AA25" i="59"/>
  <c r="AA18" i="59"/>
  <c r="AA33" i="59"/>
  <c r="AA49" i="59"/>
  <c r="AA60" i="59"/>
  <c r="AA69" i="59"/>
  <c r="AA61" i="59"/>
  <c r="AA94" i="59"/>
  <c r="AA92" i="59"/>
  <c r="AA31" i="59"/>
  <c r="AA26" i="59"/>
  <c r="AA36" i="59"/>
  <c r="AA39" i="59"/>
  <c r="AA41" i="59"/>
  <c r="AA55" i="59"/>
  <c r="AA63" i="59"/>
  <c r="AA58" i="59"/>
  <c r="AA64" i="59"/>
  <c r="AA82" i="59"/>
  <c r="AA89" i="59"/>
  <c r="AB8" i="59"/>
  <c r="AB90" i="59" s="1"/>
  <c r="AC7" i="59"/>
  <c r="AA44" i="59"/>
  <c r="AA72" i="59"/>
  <c r="AA66" i="59"/>
  <c r="AA52" i="59"/>
  <c r="AA37" i="59"/>
  <c r="AA42" i="59"/>
  <c r="AA17" i="59"/>
  <c r="AA24" i="59"/>
  <c r="AA53" i="59"/>
  <c r="AA57" i="59"/>
  <c r="AA67" i="59"/>
  <c r="AA75" i="59"/>
  <c r="AA81" i="59"/>
  <c r="AA91" i="59"/>
  <c r="AA26" i="113"/>
  <c r="AA40" i="113"/>
  <c r="AA38" i="113"/>
  <c r="AA47" i="113"/>
  <c r="AA64" i="113"/>
  <c r="AA63" i="113"/>
  <c r="AA79" i="113"/>
  <c r="AA94" i="113"/>
  <c r="AA96" i="113"/>
  <c r="AA15" i="113"/>
  <c r="AA61" i="113"/>
  <c r="AA22" i="113"/>
  <c r="AA52" i="113"/>
  <c r="AA37" i="113"/>
  <c r="AA36" i="113"/>
  <c r="AA70" i="113"/>
  <c r="AA67" i="113"/>
  <c r="AA83" i="113"/>
  <c r="AA90" i="113"/>
  <c r="AA20" i="113"/>
  <c r="AA23" i="113"/>
  <c r="AA44" i="113"/>
  <c r="AA55" i="113"/>
  <c r="AA46" i="113"/>
  <c r="AA45" i="113"/>
  <c r="AA71" i="113"/>
  <c r="AA82" i="113"/>
  <c r="AA80" i="113"/>
  <c r="AA86" i="113"/>
  <c r="AA11" i="113"/>
  <c r="AA33" i="113"/>
  <c r="AA16" i="113"/>
  <c r="AA69" i="113"/>
  <c r="AA53" i="113"/>
  <c r="AA56" i="113"/>
  <c r="AA75" i="113"/>
  <c r="AA72" i="113"/>
  <c r="AA77" i="113"/>
  <c r="AA95" i="113"/>
  <c r="AB88" i="113"/>
  <c r="AB91" i="113"/>
  <c r="AB97" i="113"/>
  <c r="AB84" i="113"/>
  <c r="AB71" i="113"/>
  <c r="AB62" i="113"/>
  <c r="AB53" i="113"/>
  <c r="AB67" i="113"/>
  <c r="AB59" i="113"/>
  <c r="AB72" i="113"/>
  <c r="AB63" i="113"/>
  <c r="AB56" i="113"/>
  <c r="AB45" i="113"/>
  <c r="AB66" i="113"/>
  <c r="AB64" i="113"/>
  <c r="AB48" i="113"/>
  <c r="AB30" i="113"/>
  <c r="AB42" i="113"/>
  <c r="AB46" i="113"/>
  <c r="AB49" i="113"/>
  <c r="AB40" i="113"/>
  <c r="AB31" i="113"/>
  <c r="AB55" i="113"/>
  <c r="AB27" i="113"/>
  <c r="AB23" i="113"/>
  <c r="AB38" i="113"/>
  <c r="AB57" i="113"/>
  <c r="AB36" i="113"/>
  <c r="AB20" i="113"/>
  <c r="AB33" i="113"/>
  <c r="AB34" i="113"/>
  <c r="AB26" i="113"/>
  <c r="AB22" i="113"/>
  <c r="AB47" i="113"/>
  <c r="AB35" i="113"/>
  <c r="AB17" i="113"/>
  <c r="AB24" i="113"/>
  <c r="AB19" i="113"/>
  <c r="AB37" i="113"/>
  <c r="AB29" i="113"/>
  <c r="AB11" i="113"/>
  <c r="AC7" i="113"/>
  <c r="AB14" i="113"/>
  <c r="AB12" i="113"/>
  <c r="AB41" i="113"/>
  <c r="AB16" i="113"/>
  <c r="AB8" i="113"/>
  <c r="AB95" i="113" s="1"/>
  <c r="AA13" i="113"/>
  <c r="AA14" i="113"/>
  <c r="AA49" i="113"/>
  <c r="AA81" i="113"/>
  <c r="AA51" i="113"/>
  <c r="AA41" i="113"/>
  <c r="AA66" i="113"/>
  <c r="AA73" i="113"/>
  <c r="AA85" i="113"/>
  <c r="AA92" i="113"/>
  <c r="AA17" i="113"/>
  <c r="AA30" i="113"/>
  <c r="AA25" i="113"/>
  <c r="AA29" i="113"/>
  <c r="AA19" i="113"/>
  <c r="AA39" i="113"/>
  <c r="AA50" i="113"/>
  <c r="AA59" i="113"/>
  <c r="AA84" i="113"/>
  <c r="AA91" i="113"/>
  <c r="AA89" i="113"/>
  <c r="AA12" i="113"/>
  <c r="AA24" i="113"/>
  <c r="AA34" i="113"/>
  <c r="AA57" i="113"/>
  <c r="AA35" i="113"/>
  <c r="AA48" i="113"/>
  <c r="AA60" i="113"/>
  <c r="AA68" i="113"/>
  <c r="AA78" i="113"/>
  <c r="AA88" i="113"/>
  <c r="AC94" i="111"/>
  <c r="AC42" i="111"/>
  <c r="AC82" i="111"/>
  <c r="AC59" i="111"/>
  <c r="AC84" i="111"/>
  <c r="AC83" i="111"/>
  <c r="AC26" i="111"/>
  <c r="AC14" i="111"/>
  <c r="AD7" i="111"/>
  <c r="AC8" i="111"/>
  <c r="AC95" i="111" s="1"/>
  <c r="AC16" i="111"/>
  <c r="AC19" i="111"/>
  <c r="AC28" i="111"/>
  <c r="AB34" i="111"/>
  <c r="AB22" i="111"/>
  <c r="AB49" i="111"/>
  <c r="AB50" i="111"/>
  <c r="AB69" i="111"/>
  <c r="AB63" i="111"/>
  <c r="AB67" i="111"/>
  <c r="AB85" i="111"/>
  <c r="AB92" i="111"/>
  <c r="AB24" i="111"/>
  <c r="AB12" i="111"/>
  <c r="AB41" i="111"/>
  <c r="AB61" i="111"/>
  <c r="AB53" i="111"/>
  <c r="AB35" i="111"/>
  <c r="AB80" i="111"/>
  <c r="AB79" i="111"/>
  <c r="AB70" i="111"/>
  <c r="AB82" i="111"/>
  <c r="AB88" i="111"/>
  <c r="AB13" i="111"/>
  <c r="AB18" i="111"/>
  <c r="AB17" i="111"/>
  <c r="AB23" i="111"/>
  <c r="AB45" i="111"/>
  <c r="AB46" i="111"/>
  <c r="AB72" i="111"/>
  <c r="AB39" i="111"/>
  <c r="AB89" i="111"/>
  <c r="AB93" i="109"/>
  <c r="AB96" i="109"/>
  <c r="AB97" i="109"/>
  <c r="AB83" i="109"/>
  <c r="AB69" i="109"/>
  <c r="AB84" i="109"/>
  <c r="AB82" i="109"/>
  <c r="AB74" i="109"/>
  <c r="AB67" i="109"/>
  <c r="AB57" i="109"/>
  <c r="AB85" i="109"/>
  <c r="AB73" i="109"/>
  <c r="AB61" i="109"/>
  <c r="AB75" i="109"/>
  <c r="AB64" i="109"/>
  <c r="AB48" i="109"/>
  <c r="AB36" i="109"/>
  <c r="AB27" i="109"/>
  <c r="AB62" i="109"/>
  <c r="AB39" i="109"/>
  <c r="AB37" i="109"/>
  <c r="AB28" i="109"/>
  <c r="AB66" i="109"/>
  <c r="AB51" i="109"/>
  <c r="AB77" i="109"/>
  <c r="AB59" i="109"/>
  <c r="AB60" i="109"/>
  <c r="AB55" i="109"/>
  <c r="AB11" i="109"/>
  <c r="AB34" i="109"/>
  <c r="AB15" i="109"/>
  <c r="AB35" i="109"/>
  <c r="AB16" i="109"/>
  <c r="AB8" i="109"/>
  <c r="AB92" i="109" s="1"/>
  <c r="AB38" i="109"/>
  <c r="AB26" i="109"/>
  <c r="AB12" i="109"/>
  <c r="AB17" i="109"/>
  <c r="AB23" i="109"/>
  <c r="AB25" i="109"/>
  <c r="AB53" i="109"/>
  <c r="AB46" i="109"/>
  <c r="AB33" i="109"/>
  <c r="AB14" i="109"/>
  <c r="AB13" i="109"/>
  <c r="AC7" i="109"/>
  <c r="AA35" i="109"/>
  <c r="AA44" i="109"/>
  <c r="AA68" i="109"/>
  <c r="AA64" i="109"/>
  <c r="AA33" i="109"/>
  <c r="AA69" i="109"/>
  <c r="AA84" i="109"/>
  <c r="AA78" i="109"/>
  <c r="AA93" i="109"/>
  <c r="AA13" i="109"/>
  <c r="AA39" i="109"/>
  <c r="AA58" i="109"/>
  <c r="AA16" i="109"/>
  <c r="AA18" i="109"/>
  <c r="AA41" i="109"/>
  <c r="AA72" i="109"/>
  <c r="AA71" i="109"/>
  <c r="AA66" i="109"/>
  <c r="AA90" i="109"/>
  <c r="AA59" i="109"/>
  <c r="AA81" i="109"/>
  <c r="AA28" i="109"/>
  <c r="AA52" i="109"/>
  <c r="AA74" i="109"/>
  <c r="AA38" i="109"/>
  <c r="AA31" i="109"/>
  <c r="AA30" i="109"/>
  <c r="AA34" i="109"/>
  <c r="AA36" i="109"/>
  <c r="AA79" i="109"/>
  <c r="AA57" i="109"/>
  <c r="AA62" i="109"/>
  <c r="AA96" i="109"/>
  <c r="AA95" i="109"/>
  <c r="AA46" i="109"/>
  <c r="AA94" i="109"/>
  <c r="AA17" i="109"/>
  <c r="AA25" i="109"/>
  <c r="AA86" i="109"/>
  <c r="AA12" i="109"/>
  <c r="AA49" i="109"/>
  <c r="AA75" i="109"/>
  <c r="AA42" i="109"/>
  <c r="AA47" i="109"/>
  <c r="AA45" i="109"/>
  <c r="AA88" i="109"/>
  <c r="AA63" i="109"/>
  <c r="AA83" i="109"/>
  <c r="AA92" i="109"/>
  <c r="AA29" i="109"/>
  <c r="AA19" i="109"/>
  <c r="AA73" i="109"/>
  <c r="AA56" i="109"/>
  <c r="AA27" i="109"/>
  <c r="AA85" i="109"/>
  <c r="AA20" i="109"/>
  <c r="AA22" i="109"/>
  <c r="AA11" i="109"/>
  <c r="AA37" i="109"/>
  <c r="AA48" i="109"/>
  <c r="AA50" i="109"/>
  <c r="AA55" i="109"/>
  <c r="AA53" i="109"/>
  <c r="AA67" i="109"/>
  <c r="AA80" i="109"/>
  <c r="AA89" i="109"/>
  <c r="AA77" i="109"/>
  <c r="AA23" i="109"/>
  <c r="AA26" i="109"/>
  <c r="AA14" i="109"/>
  <c r="AA40" i="109"/>
  <c r="AA51" i="109"/>
  <c r="AA15" i="109"/>
  <c r="AA82" i="109"/>
  <c r="AA60" i="109"/>
  <c r="AA70" i="109"/>
  <c r="AA91" i="109"/>
  <c r="AB95" i="107"/>
  <c r="AB39" i="107"/>
  <c r="AB44" i="107"/>
  <c r="AB24" i="107"/>
  <c r="AB35" i="107"/>
  <c r="AB28" i="107"/>
  <c r="AB56" i="107"/>
  <c r="AB67" i="107"/>
  <c r="AB77" i="107"/>
  <c r="AB94" i="107"/>
  <c r="AB55" i="107"/>
  <c r="AB31" i="107"/>
  <c r="AB52" i="107"/>
  <c r="AB37" i="107"/>
  <c r="AB60" i="107"/>
  <c r="AB73" i="107"/>
  <c r="AB84" i="107"/>
  <c r="AC88" i="107"/>
  <c r="AC91" i="107"/>
  <c r="AC80" i="107"/>
  <c r="AC75" i="107"/>
  <c r="AC83" i="107"/>
  <c r="AC70" i="107"/>
  <c r="AC46" i="107"/>
  <c r="AC37" i="107"/>
  <c r="AC56" i="107"/>
  <c r="AC53" i="107"/>
  <c r="AC42" i="107"/>
  <c r="AC55" i="107"/>
  <c r="AC18" i="107"/>
  <c r="AC41" i="107"/>
  <c r="AC19" i="107"/>
  <c r="AC48" i="107"/>
  <c r="AC39" i="107"/>
  <c r="AC16" i="107"/>
  <c r="AD7" i="107"/>
  <c r="AC8" i="107"/>
  <c r="AC94" i="107" s="1"/>
  <c r="AC47" i="107"/>
  <c r="AC45" i="107"/>
  <c r="AB27" i="105"/>
  <c r="AB22" i="105"/>
  <c r="AB26" i="105"/>
  <c r="AB41" i="105"/>
  <c r="AB64" i="105"/>
  <c r="AB63" i="105"/>
  <c r="AB75" i="105"/>
  <c r="AB73" i="105"/>
  <c r="AB86" i="105"/>
  <c r="AB18" i="105"/>
  <c r="AC90" i="105"/>
  <c r="AC93" i="105"/>
  <c r="AC96" i="105"/>
  <c r="AC88" i="105"/>
  <c r="AC92" i="105"/>
  <c r="AC85" i="105"/>
  <c r="AC77" i="105"/>
  <c r="AC83" i="105"/>
  <c r="AC89" i="105"/>
  <c r="AC79" i="105"/>
  <c r="AC69" i="105"/>
  <c r="AC60" i="105"/>
  <c r="AC84" i="105"/>
  <c r="AC70" i="105"/>
  <c r="AC61" i="105"/>
  <c r="AC64" i="105"/>
  <c r="AC59" i="105"/>
  <c r="AC53" i="105"/>
  <c r="AC74" i="105"/>
  <c r="AC58" i="105"/>
  <c r="AC48" i="105"/>
  <c r="AC39" i="105"/>
  <c r="AC68" i="105"/>
  <c r="AC46" i="105"/>
  <c r="AC47" i="105"/>
  <c r="AC41" i="105"/>
  <c r="AC31" i="105"/>
  <c r="AC57" i="105"/>
  <c r="AC19" i="105"/>
  <c r="AC11" i="105"/>
  <c r="AC40" i="105"/>
  <c r="AC25" i="105"/>
  <c r="AD7" i="105"/>
  <c r="AC17" i="105"/>
  <c r="AC66" i="105"/>
  <c r="AC42" i="105"/>
  <c r="AC35" i="105"/>
  <c r="AC26" i="105"/>
  <c r="AC18" i="105"/>
  <c r="AC20" i="105"/>
  <c r="AC51" i="105"/>
  <c r="AC8" i="105"/>
  <c r="AC91" i="105" s="1"/>
  <c r="AB11" i="105"/>
  <c r="AB31" i="105"/>
  <c r="AB35" i="105"/>
  <c r="AB50" i="105"/>
  <c r="AB71" i="105"/>
  <c r="AB72" i="105"/>
  <c r="AB89" i="105"/>
  <c r="AB82" i="105"/>
  <c r="AB95" i="105"/>
  <c r="AB40" i="105"/>
  <c r="AB30" i="105"/>
  <c r="AB39" i="105"/>
  <c r="AB44" i="105"/>
  <c r="AB42" i="105"/>
  <c r="AB47" i="105"/>
  <c r="AB61" i="105"/>
  <c r="AB60" i="105"/>
  <c r="AB97" i="105"/>
  <c r="AB91" i="105"/>
  <c r="AB17" i="105"/>
  <c r="AB49" i="105"/>
  <c r="AB14" i="105"/>
  <c r="AB34" i="105"/>
  <c r="AB51" i="105"/>
  <c r="AB62" i="105"/>
  <c r="AB70" i="105"/>
  <c r="AB69" i="105"/>
  <c r="AB83" i="105"/>
  <c r="AB88" i="105"/>
  <c r="AB15" i="105"/>
  <c r="AB12" i="105"/>
  <c r="AB23" i="105"/>
  <c r="AB37" i="105"/>
  <c r="AB45" i="105"/>
  <c r="AB59" i="105"/>
  <c r="AB84" i="105"/>
  <c r="AB77" i="105"/>
  <c r="AB80" i="105"/>
  <c r="AB96" i="105"/>
  <c r="AB25" i="105"/>
  <c r="AB20" i="105"/>
  <c r="AB16" i="105"/>
  <c r="AB33" i="105"/>
  <c r="AB52" i="105"/>
  <c r="AB55" i="105"/>
  <c r="AB58" i="105"/>
  <c r="AB57" i="105"/>
  <c r="AB85" i="105"/>
  <c r="AC94" i="103"/>
  <c r="AC92" i="103"/>
  <c r="AC63" i="103"/>
  <c r="AC56" i="103"/>
  <c r="AC62" i="103"/>
  <c r="AC71" i="103"/>
  <c r="AC68" i="103"/>
  <c r="AC23" i="103"/>
  <c r="AC27" i="103"/>
  <c r="AC8" i="103"/>
  <c r="AC95" i="103" s="1"/>
  <c r="AC13" i="103"/>
  <c r="AC33" i="103"/>
  <c r="AD7" i="103"/>
  <c r="AB97" i="103"/>
  <c r="AB85" i="103"/>
  <c r="AB92" i="103"/>
  <c r="AB84" i="103"/>
  <c r="AB94" i="103"/>
  <c r="AB22" i="103"/>
  <c r="AB35" i="103"/>
  <c r="AB27" i="103"/>
  <c r="AB28" i="103"/>
  <c r="AB49" i="103"/>
  <c r="AB53" i="103"/>
  <c r="AB57" i="103"/>
  <c r="AB82" i="103"/>
  <c r="AB81" i="103"/>
  <c r="AB91" i="103"/>
  <c r="AB40" i="103"/>
  <c r="AB50" i="103"/>
  <c r="AB60" i="103"/>
  <c r="AB69" i="103"/>
  <c r="AB88" i="103"/>
  <c r="AB96" i="103"/>
  <c r="AB31" i="103"/>
  <c r="AB29" i="103"/>
  <c r="AB44" i="103"/>
  <c r="AB25" i="103"/>
  <c r="AB55" i="103"/>
  <c r="AB38" i="103"/>
  <c r="AB67" i="103"/>
  <c r="AB74" i="103"/>
  <c r="AB89" i="103"/>
  <c r="AB93" i="103"/>
  <c r="AB24" i="103"/>
  <c r="AB36" i="103"/>
  <c r="AB51" i="103"/>
  <c r="AB47" i="103"/>
  <c r="AB66" i="103"/>
  <c r="AB62" i="103"/>
  <c r="AB83" i="103"/>
  <c r="AA11" i="101"/>
  <c r="AA27" i="101"/>
  <c r="AA18" i="101"/>
  <c r="AA29" i="101"/>
  <c r="AA40" i="101"/>
  <c r="AA57" i="101"/>
  <c r="AA73" i="101"/>
  <c r="AA71" i="101"/>
  <c r="AA78" i="101"/>
  <c r="AA96" i="101"/>
  <c r="AA16" i="101"/>
  <c r="AA17" i="101"/>
  <c r="AA28" i="101"/>
  <c r="AA38" i="101"/>
  <c r="AA49" i="101"/>
  <c r="AA45" i="101"/>
  <c r="AA75" i="101"/>
  <c r="AA52" i="101"/>
  <c r="AA91" i="101"/>
  <c r="AA93" i="101"/>
  <c r="AA13" i="101"/>
  <c r="AA23" i="101"/>
  <c r="AA34" i="101"/>
  <c r="AA44" i="101"/>
  <c r="AA69" i="101"/>
  <c r="AA58" i="101"/>
  <c r="AA82" i="101"/>
  <c r="AA61" i="101"/>
  <c r="AA83" i="101"/>
  <c r="AA90" i="101"/>
  <c r="AA20" i="101"/>
  <c r="AA47" i="101"/>
  <c r="AA36" i="101"/>
  <c r="AA26" i="101"/>
  <c r="AA51" i="101"/>
  <c r="AA41" i="101"/>
  <c r="AA62" i="101"/>
  <c r="AA70" i="101"/>
  <c r="AA80" i="101"/>
  <c r="AA95" i="101"/>
  <c r="AA33" i="101"/>
  <c r="AA22" i="101"/>
  <c r="AA30" i="101"/>
  <c r="AA31" i="101"/>
  <c r="AA53" i="101"/>
  <c r="AA50" i="101"/>
  <c r="AA72" i="101"/>
  <c r="AA84" i="101"/>
  <c r="AA77" i="101"/>
  <c r="AA92" i="101"/>
  <c r="AB93" i="101"/>
  <c r="AB96" i="101"/>
  <c r="AB88" i="101"/>
  <c r="AB91" i="101"/>
  <c r="AB78" i="101"/>
  <c r="AB86" i="101"/>
  <c r="AB81" i="101"/>
  <c r="AB74" i="101"/>
  <c r="AB71" i="101"/>
  <c r="AB64" i="101"/>
  <c r="AB56" i="101"/>
  <c r="AB68" i="101"/>
  <c r="AB66" i="101"/>
  <c r="AB69" i="101"/>
  <c r="AB79" i="101"/>
  <c r="AB77" i="101"/>
  <c r="AB52" i="101"/>
  <c r="AB48" i="101"/>
  <c r="AB63" i="101"/>
  <c r="AB59" i="101"/>
  <c r="AB60" i="101"/>
  <c r="AB55" i="101"/>
  <c r="AB44" i="101"/>
  <c r="AB84" i="101"/>
  <c r="AB50" i="101"/>
  <c r="AB35" i="101"/>
  <c r="AB33" i="101"/>
  <c r="AB24" i="101"/>
  <c r="AB70" i="101"/>
  <c r="AB28" i="101"/>
  <c r="AB41" i="101"/>
  <c r="AB25" i="101"/>
  <c r="AB31" i="101"/>
  <c r="AB27" i="101"/>
  <c r="AC7" i="101"/>
  <c r="AB15" i="101"/>
  <c r="AB8" i="101"/>
  <c r="AB97" i="101" s="1"/>
  <c r="AB14" i="101"/>
  <c r="AB18" i="101"/>
  <c r="AB16" i="101"/>
  <c r="AB23" i="101"/>
  <c r="AB11" i="101"/>
  <c r="AA24" i="101"/>
  <c r="AA46" i="101"/>
  <c r="AA37" i="101"/>
  <c r="AA63" i="101"/>
  <c r="AA56" i="101"/>
  <c r="AA59" i="101"/>
  <c r="AA79" i="101"/>
  <c r="AA85" i="101"/>
  <c r="AA89" i="101"/>
  <c r="AA14" i="101"/>
  <c r="AA15" i="101"/>
  <c r="AA25" i="101"/>
  <c r="AA60" i="101"/>
  <c r="AA42" i="101"/>
  <c r="AA39" i="101"/>
  <c r="AA86" i="101"/>
  <c r="AA68" i="101"/>
  <c r="AA81" i="101"/>
  <c r="AA94" i="101"/>
  <c r="AA86" i="99"/>
  <c r="AB83" i="99"/>
  <c r="AB62" i="99"/>
  <c r="AB42" i="99"/>
  <c r="AB48" i="99"/>
  <c r="AB8" i="99"/>
  <c r="AB91" i="99" s="1"/>
  <c r="AC7" i="99"/>
  <c r="AA41" i="99"/>
  <c r="AA38" i="99"/>
  <c r="AA42" i="99"/>
  <c r="AA57" i="99"/>
  <c r="AA61" i="99"/>
  <c r="AA85" i="99"/>
  <c r="AA72" i="99"/>
  <c r="AA95" i="99"/>
  <c r="AA28" i="99"/>
  <c r="AA58" i="99"/>
  <c r="AA39" i="99"/>
  <c r="AA64" i="99"/>
  <c r="AA63" i="99"/>
  <c r="AA73" i="99"/>
  <c r="AA81" i="99"/>
  <c r="AA92" i="99"/>
  <c r="AA15" i="99"/>
  <c r="AA25" i="99"/>
  <c r="AA37" i="99"/>
  <c r="AA55" i="99"/>
  <c r="AA50" i="99"/>
  <c r="AA71" i="99"/>
  <c r="AA70" i="99"/>
  <c r="AA88" i="99"/>
  <c r="AB88" i="97"/>
  <c r="AB94" i="97"/>
  <c r="AB82" i="97"/>
  <c r="AB73" i="97"/>
  <c r="AB89" i="97"/>
  <c r="AB70" i="97"/>
  <c r="AB66" i="97"/>
  <c r="AB58" i="97"/>
  <c r="AB81" i="97"/>
  <c r="AB57" i="97"/>
  <c r="AB78" i="97"/>
  <c r="AB59" i="97"/>
  <c r="AB46" i="97"/>
  <c r="AB38" i="97"/>
  <c r="AB52" i="97"/>
  <c r="AB39" i="97"/>
  <c r="AB74" i="97"/>
  <c r="AB49" i="97"/>
  <c r="AB18" i="97"/>
  <c r="AB8" i="97"/>
  <c r="AB92" i="97" s="1"/>
  <c r="AB30" i="97"/>
  <c r="AB16" i="97"/>
  <c r="AB34" i="97"/>
  <c r="AB33" i="97"/>
  <c r="AB17" i="97"/>
  <c r="AB26" i="97"/>
  <c r="AB19" i="97"/>
  <c r="AB15" i="97"/>
  <c r="AB23" i="97"/>
  <c r="AC7" i="97"/>
  <c r="AB55" i="97"/>
  <c r="AB22" i="97"/>
  <c r="AB14" i="97"/>
  <c r="AA31" i="97"/>
  <c r="AA27" i="97"/>
  <c r="AA40" i="97"/>
  <c r="AA56" i="97"/>
  <c r="AA45" i="97"/>
  <c r="AA71" i="97"/>
  <c r="AA85" i="97"/>
  <c r="AA91" i="97"/>
  <c r="AC13" i="95"/>
  <c r="AC85" i="95"/>
  <c r="AC93" i="95"/>
  <c r="AC69" i="95"/>
  <c r="AC11" i="95"/>
  <c r="AC19" i="95"/>
  <c r="AC95" i="95"/>
  <c r="AC37" i="95"/>
  <c r="AC22" i="95"/>
  <c r="AC68" i="95"/>
  <c r="AC12" i="95"/>
  <c r="AC49" i="95"/>
  <c r="AC56" i="95"/>
  <c r="AC46" i="95"/>
  <c r="AC23" i="95"/>
  <c r="AC47" i="95"/>
  <c r="AC55" i="95"/>
  <c r="AC67" i="95"/>
  <c r="AC81" i="95"/>
  <c r="AC14" i="95"/>
  <c r="AC27" i="95"/>
  <c r="AC26" i="95"/>
  <c r="AC80" i="95"/>
  <c r="AC58" i="95"/>
  <c r="AC72" i="95"/>
  <c r="AC90" i="95"/>
  <c r="AC36" i="95"/>
  <c r="AC16" i="95"/>
  <c r="AC29" i="95"/>
  <c r="AC33" i="95"/>
  <c r="AC97" i="95"/>
  <c r="AC71" i="95"/>
  <c r="AC82" i="95"/>
  <c r="AC96" i="95"/>
  <c r="AC24" i="95"/>
  <c r="AC40" i="95"/>
  <c r="AC51" i="95"/>
  <c r="AC57" i="95"/>
  <c r="AC74" i="95"/>
  <c r="AC94" i="95"/>
  <c r="AC28" i="95"/>
  <c r="AC15" i="95"/>
  <c r="AC44" i="95"/>
  <c r="AC59" i="95"/>
  <c r="AC83" i="95"/>
  <c r="AC79" i="95"/>
  <c r="AC89" i="95"/>
  <c r="AC70" i="95"/>
  <c r="AC17" i="95"/>
  <c r="AC20" i="95"/>
  <c r="AC62" i="95"/>
  <c r="AC77" i="95"/>
  <c r="AC60" i="95"/>
  <c r="AC92" i="95"/>
  <c r="AC45" i="95"/>
  <c r="AC41" i="95"/>
  <c r="AC61" i="95"/>
  <c r="AC35" i="95"/>
  <c r="AC34" i="95"/>
  <c r="AC39" i="95"/>
  <c r="AC31" i="95"/>
  <c r="AC52" i="95"/>
  <c r="AC42" i="95"/>
  <c r="AC66" i="95"/>
  <c r="AC75" i="95"/>
  <c r="AC86" i="95"/>
  <c r="AC91" i="95"/>
  <c r="AE7" i="95"/>
  <c r="AD8" i="95"/>
  <c r="AD90" i="95" s="1"/>
  <c r="AC18" i="95"/>
  <c r="AC53" i="95"/>
  <c r="AC30" i="95"/>
  <c r="AC25" i="95"/>
  <c r="AC38" i="95"/>
  <c r="AC48" i="95"/>
  <c r="AC50" i="95"/>
  <c r="AC64" i="95"/>
  <c r="AC63" i="95"/>
  <c r="AC73" i="95"/>
  <c r="AC84" i="95"/>
  <c r="M76" i="113"/>
  <c r="H18" i="112" s="1"/>
  <c r="M87" i="113"/>
  <c r="N67" i="113"/>
  <c r="O67" i="113" s="1"/>
  <c r="N68" i="113"/>
  <c r="O68" i="113" s="1"/>
  <c r="N69" i="113"/>
  <c r="O69" i="113" s="1"/>
  <c r="N70" i="113"/>
  <c r="O70" i="113" s="1"/>
  <c r="N71" i="113"/>
  <c r="O71" i="113" s="1"/>
  <c r="N72" i="113"/>
  <c r="O72" i="113" s="1"/>
  <c r="N73" i="113"/>
  <c r="O73" i="113" s="1"/>
  <c r="N74" i="113"/>
  <c r="O74" i="113" s="1"/>
  <c r="N75" i="113"/>
  <c r="O75" i="113" s="1"/>
  <c r="N81" i="113"/>
  <c r="O81" i="113" s="1"/>
  <c r="M32" i="111"/>
  <c r="D18" i="110" s="1"/>
  <c r="M76" i="107"/>
  <c r="K32" i="107"/>
  <c r="D21" i="106" s="1"/>
  <c r="M76" i="109"/>
  <c r="H18" i="108" s="1"/>
  <c r="M76" i="111"/>
  <c r="H18" i="110" s="1"/>
  <c r="M87" i="111"/>
  <c r="I18" i="110" s="1"/>
  <c r="M43" i="113"/>
  <c r="E18" i="112" s="1"/>
  <c r="P9" i="109"/>
  <c r="M10" i="107"/>
  <c r="B18" i="106" s="1"/>
  <c r="Q9" i="111"/>
  <c r="N12" i="111"/>
  <c r="O12" i="111" s="1"/>
  <c r="N15" i="111"/>
  <c r="O15" i="111" s="1"/>
  <c r="N16" i="111"/>
  <c r="O16" i="111" s="1"/>
  <c r="N17" i="111"/>
  <c r="O17" i="111" s="1"/>
  <c r="N18" i="111"/>
  <c r="O18" i="111" s="1"/>
  <c r="N19" i="111"/>
  <c r="O19" i="111" s="1"/>
  <c r="N20" i="111"/>
  <c r="O20" i="111" s="1"/>
  <c r="N23" i="111"/>
  <c r="O23" i="111" s="1"/>
  <c r="N26" i="111"/>
  <c r="O26" i="111" s="1"/>
  <c r="N27" i="111"/>
  <c r="O27" i="111" s="1"/>
  <c r="N28" i="111"/>
  <c r="O28" i="111" s="1"/>
  <c r="N30" i="111"/>
  <c r="O30" i="111" s="1"/>
  <c r="N31" i="111"/>
  <c r="O31" i="111" s="1"/>
  <c r="N34" i="111"/>
  <c r="O34" i="111" s="1"/>
  <c r="N35" i="111"/>
  <c r="O35" i="111" s="1"/>
  <c r="N36" i="111"/>
  <c r="O36" i="111" s="1"/>
  <c r="N37" i="111"/>
  <c r="O37" i="111" s="1"/>
  <c r="N38" i="111"/>
  <c r="O38" i="111" s="1"/>
  <c r="N39" i="111"/>
  <c r="O39" i="111" s="1"/>
  <c r="N40" i="111"/>
  <c r="O40" i="111" s="1"/>
  <c r="N41" i="111"/>
  <c r="O41" i="111" s="1"/>
  <c r="N42" i="111"/>
  <c r="O42" i="111" s="1"/>
  <c r="N47" i="111"/>
  <c r="O47" i="111" s="1"/>
  <c r="N48" i="111"/>
  <c r="O48" i="111" s="1"/>
  <c r="N49" i="111"/>
  <c r="O49" i="111" s="1"/>
  <c r="N50" i="111"/>
  <c r="O50" i="111" s="1"/>
  <c r="N51" i="111"/>
  <c r="O51" i="111" s="1"/>
  <c r="N52" i="111"/>
  <c r="O52" i="111" s="1"/>
  <c r="N53" i="111"/>
  <c r="O53" i="111" s="1"/>
  <c r="N57" i="111"/>
  <c r="O57" i="111" s="1"/>
  <c r="N59" i="111"/>
  <c r="O59" i="111" s="1"/>
  <c r="N60" i="111"/>
  <c r="O60" i="111" s="1"/>
  <c r="N61" i="111"/>
  <c r="O61" i="111" s="1"/>
  <c r="N64" i="111"/>
  <c r="O64" i="111" s="1"/>
  <c r="M65" i="113"/>
  <c r="G18" i="112" s="1"/>
  <c r="M87" i="107"/>
  <c r="I18" i="106" s="1"/>
  <c r="K21" i="111"/>
  <c r="C21" i="110" s="1"/>
  <c r="K43" i="111"/>
  <c r="E21" i="110" s="1"/>
  <c r="K54" i="111"/>
  <c r="F21" i="110" s="1"/>
  <c r="K21" i="113"/>
  <c r="C21" i="112" s="1"/>
  <c r="Q9" i="107"/>
  <c r="N56" i="107"/>
  <c r="O56" i="107" s="1"/>
  <c r="N58" i="107"/>
  <c r="O58" i="107" s="1"/>
  <c r="N62" i="107"/>
  <c r="O62" i="107" s="1"/>
  <c r="N64" i="107"/>
  <c r="O64" i="107" s="1"/>
  <c r="N11" i="109"/>
  <c r="O11" i="109" s="1"/>
  <c r="N13" i="109"/>
  <c r="O13" i="109" s="1"/>
  <c r="N15" i="109"/>
  <c r="O15" i="109" s="1"/>
  <c r="N19" i="109"/>
  <c r="O19" i="109" s="1"/>
  <c r="M65" i="111"/>
  <c r="G18" i="110" s="1"/>
  <c r="K76" i="111"/>
  <c r="H21" i="110" s="1"/>
  <c r="M21" i="113"/>
  <c r="C18" i="112" s="1"/>
  <c r="M32" i="113"/>
  <c r="D18" i="112" s="1"/>
  <c r="N78" i="107"/>
  <c r="O78" i="107" s="1"/>
  <c r="N80" i="107"/>
  <c r="O80" i="107" s="1"/>
  <c r="N82" i="107"/>
  <c r="O82" i="107" s="1"/>
  <c r="N84" i="107"/>
  <c r="O84" i="107" s="1"/>
  <c r="N86" i="107"/>
  <c r="O86" i="107" s="1"/>
  <c r="P9" i="113"/>
  <c r="M54" i="113"/>
  <c r="F18" i="112" s="1"/>
  <c r="K76" i="107"/>
  <c r="H21" i="106" s="1"/>
  <c r="M32" i="109"/>
  <c r="D18" i="108" s="1"/>
  <c r="N42" i="113"/>
  <c r="O42" i="113" s="1"/>
  <c r="N59" i="107"/>
  <c r="O59" i="107" s="1"/>
  <c r="N63" i="107"/>
  <c r="O63" i="107" s="1"/>
  <c r="N14" i="109"/>
  <c r="O14" i="109" s="1"/>
  <c r="N18" i="109"/>
  <c r="O18" i="109" s="1"/>
  <c r="M54" i="109"/>
  <c r="F18" i="108" s="1"/>
  <c r="M10" i="111"/>
  <c r="B18" i="110" s="1"/>
  <c r="B10" i="110" s="1"/>
  <c r="M21" i="111"/>
  <c r="C18" i="110" s="1"/>
  <c r="M43" i="111"/>
  <c r="E18" i="110" s="1"/>
  <c r="M54" i="111"/>
  <c r="F18" i="110" s="1"/>
  <c r="K32" i="109"/>
  <c r="D21" i="108" s="1"/>
  <c r="N34" i="109"/>
  <c r="O34" i="109" s="1"/>
  <c r="N36" i="109"/>
  <c r="O36" i="109" s="1"/>
  <c r="N38" i="109"/>
  <c r="O38" i="109" s="1"/>
  <c r="N40" i="109"/>
  <c r="O40" i="109" s="1"/>
  <c r="N42" i="109"/>
  <c r="O42" i="109" s="1"/>
  <c r="N59" i="113"/>
  <c r="O59" i="113" s="1"/>
  <c r="N13" i="113"/>
  <c r="O13" i="113" s="1"/>
  <c r="N55" i="109"/>
  <c r="O55" i="109" s="1"/>
  <c r="B23" i="112"/>
  <c r="N57" i="113"/>
  <c r="O57" i="113" s="1"/>
  <c r="E23" i="112"/>
  <c r="N63" i="113"/>
  <c r="O63" i="113" s="1"/>
  <c r="B23" i="110"/>
  <c r="I23" i="112"/>
  <c r="L11" i="113"/>
  <c r="N36" i="113"/>
  <c r="O36" i="113" s="1"/>
  <c r="N16" i="109"/>
  <c r="O16" i="109" s="1"/>
  <c r="N79" i="111"/>
  <c r="O79" i="111" s="1"/>
  <c r="N33" i="113"/>
  <c r="O33" i="113" s="1"/>
  <c r="N59" i="109"/>
  <c r="O59" i="109" s="1"/>
  <c r="N83" i="111"/>
  <c r="O83" i="111" s="1"/>
  <c r="N91" i="109"/>
  <c r="O91" i="109" s="1"/>
  <c r="N95" i="109"/>
  <c r="O95" i="109" s="1"/>
  <c r="G23" i="110"/>
  <c r="F23" i="112"/>
  <c r="N34" i="113"/>
  <c r="O34" i="113" s="1"/>
  <c r="N37" i="113"/>
  <c r="O37" i="113" s="1"/>
  <c r="N55" i="113"/>
  <c r="O55" i="113" s="1"/>
  <c r="N58" i="113"/>
  <c r="O58" i="113" s="1"/>
  <c r="N80" i="113"/>
  <c r="O80" i="113" s="1"/>
  <c r="N83" i="113"/>
  <c r="O83" i="113" s="1"/>
  <c r="N86" i="113"/>
  <c r="O86" i="113" s="1"/>
  <c r="N89" i="113"/>
  <c r="O89" i="113" s="1"/>
  <c r="N91" i="113"/>
  <c r="O91" i="113" s="1"/>
  <c r="N93" i="113"/>
  <c r="O93" i="113" s="1"/>
  <c r="N95" i="113"/>
  <c r="O95" i="113" s="1"/>
  <c r="N97" i="113"/>
  <c r="O97" i="113" s="1"/>
  <c r="N79" i="113"/>
  <c r="O79" i="113" s="1"/>
  <c r="G23" i="108"/>
  <c r="N63" i="109"/>
  <c r="O63" i="109" s="1"/>
  <c r="N67" i="109"/>
  <c r="O67" i="109" s="1"/>
  <c r="N71" i="109"/>
  <c r="O71" i="109" s="1"/>
  <c r="N75" i="109"/>
  <c r="O75" i="109" s="1"/>
  <c r="N63" i="111"/>
  <c r="O63" i="111" s="1"/>
  <c r="G23" i="112"/>
  <c r="N41" i="113"/>
  <c r="O41" i="113" s="1"/>
  <c r="N62" i="113"/>
  <c r="O62" i="113" s="1"/>
  <c r="D23" i="112"/>
  <c r="H23" i="112"/>
  <c r="N82" i="113"/>
  <c r="O82" i="113" s="1"/>
  <c r="N85" i="113"/>
  <c r="O85" i="113" s="1"/>
  <c r="N88" i="113"/>
  <c r="O88" i="113" s="1"/>
  <c r="N90" i="113"/>
  <c r="O90" i="113" s="1"/>
  <c r="N92" i="113"/>
  <c r="O92" i="113" s="1"/>
  <c r="N94" i="113"/>
  <c r="O94" i="113" s="1"/>
  <c r="N96" i="113"/>
  <c r="O96" i="113" s="1"/>
  <c r="N81" i="107"/>
  <c r="O81" i="107" s="1"/>
  <c r="N85" i="107"/>
  <c r="O85" i="107" s="1"/>
  <c r="Q9" i="109"/>
  <c r="V9" i="109" s="1"/>
  <c r="M10" i="109"/>
  <c r="N12" i="109"/>
  <c r="O12" i="109" s="1"/>
  <c r="N17" i="109"/>
  <c r="O17" i="109" s="1"/>
  <c r="N37" i="109"/>
  <c r="O37" i="109" s="1"/>
  <c r="N41" i="109"/>
  <c r="O41" i="109" s="1"/>
  <c r="M43" i="109"/>
  <c r="E18" i="108" s="1"/>
  <c r="M65" i="109"/>
  <c r="G18" i="108" s="1"/>
  <c r="N13" i="111"/>
  <c r="O13" i="111" s="1"/>
  <c r="N58" i="111"/>
  <c r="O58" i="111" s="1"/>
  <c r="N62" i="111"/>
  <c r="O62" i="111" s="1"/>
  <c r="N37" i="107"/>
  <c r="O37" i="107" s="1"/>
  <c r="N41" i="107"/>
  <c r="O41" i="107" s="1"/>
  <c r="N57" i="107"/>
  <c r="O57" i="107" s="1"/>
  <c r="N60" i="107"/>
  <c r="O60" i="107" s="1"/>
  <c r="N29" i="109"/>
  <c r="O29" i="109" s="1"/>
  <c r="J29" i="110"/>
  <c r="N17" i="113"/>
  <c r="O17" i="113" s="1"/>
  <c r="N38" i="113"/>
  <c r="O38" i="113" s="1"/>
  <c r="N78" i="113"/>
  <c r="O78" i="113" s="1"/>
  <c r="N84" i="113"/>
  <c r="O84" i="113" s="1"/>
  <c r="N34" i="107"/>
  <c r="O34" i="107" s="1"/>
  <c r="N38" i="107"/>
  <c r="O38" i="107" s="1"/>
  <c r="N42" i="107"/>
  <c r="O42" i="107" s="1"/>
  <c r="N61" i="107"/>
  <c r="O61" i="107" s="1"/>
  <c r="N79" i="107"/>
  <c r="O79" i="107" s="1"/>
  <c r="N83" i="107"/>
  <c r="O83" i="107" s="1"/>
  <c r="I9" i="109"/>
  <c r="N35" i="109"/>
  <c r="O35" i="109" s="1"/>
  <c r="N39" i="109"/>
  <c r="O39" i="109" s="1"/>
  <c r="K54" i="109"/>
  <c r="F21" i="108" s="1"/>
  <c r="M87" i="109"/>
  <c r="I18" i="108" s="1"/>
  <c r="N14" i="111"/>
  <c r="O14" i="111" s="1"/>
  <c r="K32" i="111"/>
  <c r="D21" i="110" s="1"/>
  <c r="N45" i="109"/>
  <c r="O45" i="109" s="1"/>
  <c r="N47" i="109"/>
  <c r="O47" i="109" s="1"/>
  <c r="V9" i="111"/>
  <c r="N40" i="113"/>
  <c r="O40" i="113" s="1"/>
  <c r="N61" i="113"/>
  <c r="O61" i="113" s="1"/>
  <c r="N77" i="113"/>
  <c r="O77" i="113" s="1"/>
  <c r="L76" i="113"/>
  <c r="N16" i="113"/>
  <c r="O16" i="113" s="1"/>
  <c r="C23" i="112"/>
  <c r="K32" i="113"/>
  <c r="D21" i="112" s="1"/>
  <c r="K54" i="113"/>
  <c r="F21" i="112" s="1"/>
  <c r="K87" i="113"/>
  <c r="I21" i="112" s="1"/>
  <c r="N25" i="111"/>
  <c r="O25" i="111" s="1"/>
  <c r="N45" i="111"/>
  <c r="O45" i="111" s="1"/>
  <c r="N69" i="111"/>
  <c r="O69" i="111" s="1"/>
  <c r="N72" i="111"/>
  <c r="O72" i="111" s="1"/>
  <c r="N80" i="111"/>
  <c r="O80" i="111" s="1"/>
  <c r="N18" i="113"/>
  <c r="O18" i="113" s="1"/>
  <c r="N20" i="113"/>
  <c r="O20" i="113" s="1"/>
  <c r="L32" i="113"/>
  <c r="L54" i="113"/>
  <c r="N54" i="113" s="1"/>
  <c r="L87" i="113"/>
  <c r="I17" i="112" s="1"/>
  <c r="N12" i="113"/>
  <c r="O12" i="113" s="1"/>
  <c r="N24" i="111"/>
  <c r="O24" i="111" s="1"/>
  <c r="N29" i="111"/>
  <c r="O29" i="111" s="1"/>
  <c r="E23" i="110"/>
  <c r="H23" i="110"/>
  <c r="N14" i="113"/>
  <c r="O14" i="113" s="1"/>
  <c r="N19" i="113"/>
  <c r="O19" i="113" s="1"/>
  <c r="K76" i="113"/>
  <c r="H21" i="112" s="1"/>
  <c r="N89" i="111"/>
  <c r="O89" i="111" s="1"/>
  <c r="N56" i="111"/>
  <c r="O56" i="111" s="1"/>
  <c r="L54" i="111"/>
  <c r="F17" i="110" s="1"/>
  <c r="N11" i="111"/>
  <c r="O11" i="111" s="1"/>
  <c r="B20" i="110"/>
  <c r="I18" i="112"/>
  <c r="F23" i="108"/>
  <c r="N23" i="109"/>
  <c r="O23" i="109" s="1"/>
  <c r="N31" i="109"/>
  <c r="O31" i="109" s="1"/>
  <c r="E23" i="108"/>
  <c r="N49" i="109"/>
  <c r="O49" i="109" s="1"/>
  <c r="N51" i="109"/>
  <c r="O51" i="109" s="1"/>
  <c r="F23" i="110"/>
  <c r="L10" i="111"/>
  <c r="B17" i="110" s="1"/>
  <c r="D23" i="110"/>
  <c r="L33" i="111"/>
  <c r="J32" i="111" s="1"/>
  <c r="F20" i="110"/>
  <c r="K10" i="113"/>
  <c r="B21" i="112" s="1"/>
  <c r="I9" i="113"/>
  <c r="L22" i="113"/>
  <c r="N66" i="113"/>
  <c r="O66" i="113" s="1"/>
  <c r="L65" i="113"/>
  <c r="G17" i="112" s="1"/>
  <c r="G22" i="112" s="1"/>
  <c r="C23" i="108"/>
  <c r="H23" i="108"/>
  <c r="N27" i="109"/>
  <c r="O27" i="109" s="1"/>
  <c r="C23" i="110"/>
  <c r="I23" i="110"/>
  <c r="L46" i="111"/>
  <c r="N46" i="111" s="1"/>
  <c r="O46" i="111" s="1"/>
  <c r="N55" i="111"/>
  <c r="O55" i="111" s="1"/>
  <c r="L77" i="111"/>
  <c r="J76" i="111" s="1"/>
  <c r="Q9" i="113"/>
  <c r="V9" i="113" s="1"/>
  <c r="M10" i="113"/>
  <c r="N44" i="113"/>
  <c r="O44" i="113" s="1"/>
  <c r="L43" i="113"/>
  <c r="E17" i="112" s="1"/>
  <c r="E23" i="106"/>
  <c r="D23" i="108"/>
  <c r="N25" i="109"/>
  <c r="O25" i="109" s="1"/>
  <c r="E20" i="112"/>
  <c r="J18" i="110"/>
  <c r="L87" i="107"/>
  <c r="I17" i="106" s="1"/>
  <c r="C20" i="108"/>
  <c r="I23" i="106"/>
  <c r="B23" i="108"/>
  <c r="N22" i="111"/>
  <c r="O22" i="111" s="1"/>
  <c r="L21" i="111"/>
  <c r="C17" i="110" s="1"/>
  <c r="C22" i="110" s="1"/>
  <c r="N66" i="111"/>
  <c r="O66" i="111" s="1"/>
  <c r="L65" i="111"/>
  <c r="G17" i="110" s="1"/>
  <c r="G22" i="110" s="1"/>
  <c r="L21" i="109"/>
  <c r="C17" i="108" s="1"/>
  <c r="L88" i="109"/>
  <c r="I23" i="108"/>
  <c r="L10" i="109"/>
  <c r="B17" i="108" s="1"/>
  <c r="N44" i="111"/>
  <c r="O44" i="111" s="1"/>
  <c r="N88" i="111"/>
  <c r="O88" i="111" s="1"/>
  <c r="L87" i="111"/>
  <c r="I17" i="110" s="1"/>
  <c r="N20" i="109"/>
  <c r="O20" i="109" s="1"/>
  <c r="N22" i="109"/>
  <c r="O22" i="109" s="1"/>
  <c r="N24" i="109"/>
  <c r="O24" i="109" s="1"/>
  <c r="N26" i="109"/>
  <c r="O26" i="109" s="1"/>
  <c r="N28" i="109"/>
  <c r="O28" i="109" s="1"/>
  <c r="N30" i="109"/>
  <c r="O30" i="109" s="1"/>
  <c r="N44" i="109"/>
  <c r="O44" i="109" s="1"/>
  <c r="N46" i="109"/>
  <c r="O46" i="109" s="1"/>
  <c r="N48" i="109"/>
  <c r="O48" i="109" s="1"/>
  <c r="N50" i="109"/>
  <c r="O50" i="109" s="1"/>
  <c r="N53" i="109"/>
  <c r="O53" i="109" s="1"/>
  <c r="N57" i="109"/>
  <c r="O57" i="109" s="1"/>
  <c r="N61" i="109"/>
  <c r="O61" i="109" s="1"/>
  <c r="N69" i="109"/>
  <c r="O69" i="109" s="1"/>
  <c r="N73" i="109"/>
  <c r="O73" i="109" s="1"/>
  <c r="N77" i="109"/>
  <c r="O77" i="109" s="1"/>
  <c r="N81" i="109"/>
  <c r="O81" i="109" s="1"/>
  <c r="N85" i="109"/>
  <c r="O85" i="109" s="1"/>
  <c r="N89" i="109"/>
  <c r="O89" i="109" s="1"/>
  <c r="N93" i="109"/>
  <c r="O93" i="109" s="1"/>
  <c r="N97" i="109"/>
  <c r="O97" i="109" s="1"/>
  <c r="B18" i="108"/>
  <c r="L21" i="107"/>
  <c r="C17" i="106" s="1"/>
  <c r="N31" i="107"/>
  <c r="O31" i="107" s="1"/>
  <c r="N46" i="107"/>
  <c r="O46" i="107" s="1"/>
  <c r="L65" i="109"/>
  <c r="G17" i="108" s="1"/>
  <c r="G22" i="108" s="1"/>
  <c r="N23" i="107"/>
  <c r="O23" i="107" s="1"/>
  <c r="N28" i="107"/>
  <c r="O28" i="107" s="1"/>
  <c r="N49" i="107"/>
  <c r="O49" i="107" s="1"/>
  <c r="L65" i="107"/>
  <c r="G17" i="106" s="1"/>
  <c r="N67" i="107"/>
  <c r="O67" i="107" s="1"/>
  <c r="G23" i="106"/>
  <c r="N22" i="107"/>
  <c r="O22" i="107" s="1"/>
  <c r="N25" i="107"/>
  <c r="O25" i="107" s="1"/>
  <c r="N30" i="107"/>
  <c r="O30" i="107" s="1"/>
  <c r="N48" i="107"/>
  <c r="O48" i="107" s="1"/>
  <c r="N51" i="107"/>
  <c r="O51" i="107" s="1"/>
  <c r="G20" i="106"/>
  <c r="N66" i="107"/>
  <c r="O66" i="107" s="1"/>
  <c r="N69" i="107"/>
  <c r="O69" i="107" s="1"/>
  <c r="N71" i="107"/>
  <c r="O71" i="107" s="1"/>
  <c r="N73" i="107"/>
  <c r="O73" i="107" s="1"/>
  <c r="N75" i="107"/>
  <c r="O75" i="107" s="1"/>
  <c r="N89" i="107"/>
  <c r="O89" i="107" s="1"/>
  <c r="N91" i="107"/>
  <c r="O91" i="107" s="1"/>
  <c r="N93" i="107"/>
  <c r="O93" i="107" s="1"/>
  <c r="N95" i="107"/>
  <c r="O95" i="107" s="1"/>
  <c r="N97" i="107"/>
  <c r="O97" i="107" s="1"/>
  <c r="F20" i="108"/>
  <c r="N58" i="109"/>
  <c r="O58" i="109" s="1"/>
  <c r="N62" i="109"/>
  <c r="O62" i="109" s="1"/>
  <c r="N66" i="109"/>
  <c r="O66" i="109" s="1"/>
  <c r="N70" i="109"/>
  <c r="O70" i="109" s="1"/>
  <c r="N74" i="109"/>
  <c r="O74" i="109" s="1"/>
  <c r="N78" i="109"/>
  <c r="O78" i="109" s="1"/>
  <c r="N82" i="109"/>
  <c r="O82" i="109" s="1"/>
  <c r="N86" i="109"/>
  <c r="O86" i="109" s="1"/>
  <c r="N90" i="109"/>
  <c r="O90" i="109" s="1"/>
  <c r="N94" i="109"/>
  <c r="O94" i="109" s="1"/>
  <c r="L43" i="107"/>
  <c r="E17" i="106" s="1"/>
  <c r="N50" i="107"/>
  <c r="O50" i="107" s="1"/>
  <c r="N53" i="107"/>
  <c r="O53" i="107" s="1"/>
  <c r="N68" i="107"/>
  <c r="O68" i="107" s="1"/>
  <c r="N79" i="109"/>
  <c r="O79" i="109" s="1"/>
  <c r="N83" i="109"/>
  <c r="O83" i="109" s="1"/>
  <c r="N24" i="107"/>
  <c r="O24" i="107" s="1"/>
  <c r="N27" i="107"/>
  <c r="O27" i="107" s="1"/>
  <c r="N45" i="107"/>
  <c r="O45" i="107" s="1"/>
  <c r="C23" i="106"/>
  <c r="N26" i="107"/>
  <c r="O26" i="107" s="1"/>
  <c r="N29" i="107"/>
  <c r="O29" i="107" s="1"/>
  <c r="N44" i="107"/>
  <c r="O44" i="107" s="1"/>
  <c r="N47" i="107"/>
  <c r="O47" i="107" s="1"/>
  <c r="N52" i="107"/>
  <c r="O52" i="107" s="1"/>
  <c r="N70" i="107"/>
  <c r="O70" i="107" s="1"/>
  <c r="N72" i="107"/>
  <c r="O72" i="107" s="1"/>
  <c r="N74" i="107"/>
  <c r="O74" i="107" s="1"/>
  <c r="N88" i="107"/>
  <c r="O88" i="107" s="1"/>
  <c r="N90" i="107"/>
  <c r="O90" i="107" s="1"/>
  <c r="N92" i="107"/>
  <c r="O92" i="107" s="1"/>
  <c r="N94" i="107"/>
  <c r="O94" i="107" s="1"/>
  <c r="N96" i="107"/>
  <c r="O96" i="107" s="1"/>
  <c r="N33" i="109"/>
  <c r="O33" i="109" s="1"/>
  <c r="L43" i="109"/>
  <c r="E17" i="108" s="1"/>
  <c r="N52" i="109"/>
  <c r="O52" i="109" s="1"/>
  <c r="N56" i="109"/>
  <c r="O56" i="109" s="1"/>
  <c r="N60" i="109"/>
  <c r="O60" i="109" s="1"/>
  <c r="N64" i="109"/>
  <c r="O64" i="109" s="1"/>
  <c r="N68" i="109"/>
  <c r="O68" i="109" s="1"/>
  <c r="N72" i="109"/>
  <c r="O72" i="109" s="1"/>
  <c r="N80" i="109"/>
  <c r="O80" i="109" s="1"/>
  <c r="N84" i="109"/>
  <c r="O84" i="109" s="1"/>
  <c r="N92" i="109"/>
  <c r="O92" i="109" s="1"/>
  <c r="N96" i="109"/>
  <c r="O96" i="109" s="1"/>
  <c r="M21" i="109"/>
  <c r="L32" i="109"/>
  <c r="D17" i="108" s="1"/>
  <c r="L54" i="109"/>
  <c r="F17" i="108" s="1"/>
  <c r="L76" i="109"/>
  <c r="H17" i="108" s="1"/>
  <c r="P9" i="107"/>
  <c r="V9" i="107" s="1"/>
  <c r="N12" i="107"/>
  <c r="O12" i="107" s="1"/>
  <c r="N14" i="107"/>
  <c r="O14" i="107" s="1"/>
  <c r="N16" i="107"/>
  <c r="O16" i="107" s="1"/>
  <c r="N18" i="107"/>
  <c r="O18" i="107" s="1"/>
  <c r="N20" i="107"/>
  <c r="O20" i="107" s="1"/>
  <c r="I9" i="107"/>
  <c r="L11" i="107"/>
  <c r="B23" i="106"/>
  <c r="K21" i="107"/>
  <c r="C21" i="106" s="1"/>
  <c r="L33" i="107"/>
  <c r="D23" i="106"/>
  <c r="K43" i="107"/>
  <c r="E21" i="106" s="1"/>
  <c r="K65" i="107"/>
  <c r="G21" i="106" s="1"/>
  <c r="L55" i="107"/>
  <c r="F23" i="106"/>
  <c r="H18" i="106"/>
  <c r="K10" i="107"/>
  <c r="B21" i="106" s="1"/>
  <c r="N13" i="107"/>
  <c r="O13" i="107" s="1"/>
  <c r="N15" i="107"/>
  <c r="O15" i="107" s="1"/>
  <c r="N17" i="107"/>
  <c r="O17" i="107" s="1"/>
  <c r="N19" i="107"/>
  <c r="O19" i="107" s="1"/>
  <c r="M21" i="107"/>
  <c r="M32" i="107"/>
  <c r="M43" i="107"/>
  <c r="M54" i="107"/>
  <c r="M65" i="107"/>
  <c r="L77" i="107"/>
  <c r="H23" i="106"/>
  <c r="U97" i="105"/>
  <c r="M97" i="105"/>
  <c r="L97" i="105"/>
  <c r="N97" i="105" s="1"/>
  <c r="O97" i="105" s="1"/>
  <c r="U96" i="105"/>
  <c r="M96" i="105"/>
  <c r="L96" i="105"/>
  <c r="U95" i="105"/>
  <c r="M95" i="105"/>
  <c r="L95" i="105"/>
  <c r="N95" i="105" s="1"/>
  <c r="O95" i="105" s="1"/>
  <c r="U94" i="105"/>
  <c r="M94" i="105"/>
  <c r="L94" i="105"/>
  <c r="U93" i="105"/>
  <c r="M93" i="105"/>
  <c r="L93" i="105"/>
  <c r="N93" i="105" s="1"/>
  <c r="O93" i="105" s="1"/>
  <c r="U92" i="105"/>
  <c r="M92" i="105"/>
  <c r="L92" i="105"/>
  <c r="U91" i="105"/>
  <c r="M91" i="105"/>
  <c r="L91" i="105"/>
  <c r="N91" i="105" s="1"/>
  <c r="O91" i="105" s="1"/>
  <c r="U90" i="105"/>
  <c r="M90" i="105"/>
  <c r="L90" i="105"/>
  <c r="U89" i="105"/>
  <c r="M89" i="105"/>
  <c r="L89" i="105"/>
  <c r="N89" i="105" s="1"/>
  <c r="O89" i="105" s="1"/>
  <c r="U88" i="105"/>
  <c r="M88" i="105"/>
  <c r="U87" i="105"/>
  <c r="S87" i="105"/>
  <c r="R87" i="105"/>
  <c r="Q87" i="105"/>
  <c r="P87" i="105"/>
  <c r="K87" i="105"/>
  <c r="I21" i="104" s="1"/>
  <c r="I87" i="105"/>
  <c r="H87" i="105"/>
  <c r="B87" i="105"/>
  <c r="U86" i="105"/>
  <c r="M86" i="105"/>
  <c r="L86" i="105"/>
  <c r="U85" i="105"/>
  <c r="M85" i="105"/>
  <c r="L85" i="105"/>
  <c r="U84" i="105"/>
  <c r="M84" i="105"/>
  <c r="L84" i="105"/>
  <c r="U83" i="105"/>
  <c r="M83" i="105"/>
  <c r="L83" i="105"/>
  <c r="U82" i="105"/>
  <c r="M82" i="105"/>
  <c r="L82" i="105"/>
  <c r="U81" i="105"/>
  <c r="M81" i="105"/>
  <c r="L81" i="105"/>
  <c r="U80" i="105"/>
  <c r="M80" i="105"/>
  <c r="L80" i="105"/>
  <c r="U79" i="105"/>
  <c r="M79" i="105"/>
  <c r="L79" i="105"/>
  <c r="U78" i="105"/>
  <c r="M78" i="105"/>
  <c r="L78" i="105"/>
  <c r="U77" i="105"/>
  <c r="M77" i="105"/>
  <c r="K76" i="105" s="1"/>
  <c r="H21" i="104" s="1"/>
  <c r="L77" i="105"/>
  <c r="U76" i="105"/>
  <c r="S76" i="105"/>
  <c r="R76" i="105"/>
  <c r="Q76" i="105"/>
  <c r="P76" i="105"/>
  <c r="I76" i="105"/>
  <c r="H76" i="105"/>
  <c r="B76" i="105"/>
  <c r="U75" i="105"/>
  <c r="M75" i="105"/>
  <c r="L75" i="105"/>
  <c r="U74" i="105"/>
  <c r="M74" i="105"/>
  <c r="L74" i="105"/>
  <c r="U73" i="105"/>
  <c r="M73" i="105"/>
  <c r="L73" i="105"/>
  <c r="U72" i="105"/>
  <c r="M72" i="105"/>
  <c r="L72" i="105"/>
  <c r="U71" i="105"/>
  <c r="M71" i="105"/>
  <c r="L71" i="105"/>
  <c r="U70" i="105"/>
  <c r="M70" i="105"/>
  <c r="L70" i="105"/>
  <c r="U69" i="105"/>
  <c r="M69" i="105"/>
  <c r="L69" i="105"/>
  <c r="U68" i="105"/>
  <c r="M68" i="105"/>
  <c r="L68" i="105"/>
  <c r="U67" i="105"/>
  <c r="M67" i="105"/>
  <c r="L67" i="105"/>
  <c r="U66" i="105"/>
  <c r="M66" i="105"/>
  <c r="K65" i="105" s="1"/>
  <c r="G21" i="104" s="1"/>
  <c r="L66" i="105"/>
  <c r="U65" i="105"/>
  <c r="S65" i="105"/>
  <c r="R65" i="105"/>
  <c r="Q65" i="105"/>
  <c r="P65" i="105"/>
  <c r="I65" i="105"/>
  <c r="H65" i="105"/>
  <c r="B65" i="105"/>
  <c r="U64" i="105"/>
  <c r="M64" i="105"/>
  <c r="L64" i="105"/>
  <c r="U63" i="105"/>
  <c r="M63" i="105"/>
  <c r="L63" i="105"/>
  <c r="U62" i="105"/>
  <c r="M62" i="105"/>
  <c r="L62" i="105"/>
  <c r="U61" i="105"/>
  <c r="M61" i="105"/>
  <c r="L61" i="105"/>
  <c r="U60" i="105"/>
  <c r="M60" i="105"/>
  <c r="L60" i="105"/>
  <c r="U59" i="105"/>
  <c r="M59" i="105"/>
  <c r="L59" i="105"/>
  <c r="U58" i="105"/>
  <c r="M58" i="105"/>
  <c r="L58" i="105"/>
  <c r="U57" i="105"/>
  <c r="M57" i="105"/>
  <c r="L57" i="105"/>
  <c r="U56" i="105"/>
  <c r="M56" i="105"/>
  <c r="L56" i="105"/>
  <c r="U55" i="105"/>
  <c r="M55" i="105"/>
  <c r="U54" i="105"/>
  <c r="S54" i="105"/>
  <c r="R54" i="105"/>
  <c r="Q54" i="105"/>
  <c r="P54" i="105"/>
  <c r="I54" i="105"/>
  <c r="H54" i="105"/>
  <c r="B54" i="105"/>
  <c r="U53" i="105"/>
  <c r="M53" i="105"/>
  <c r="L53" i="105"/>
  <c r="U52" i="105"/>
  <c r="M52" i="105"/>
  <c r="L52" i="105"/>
  <c r="U51" i="105"/>
  <c r="M51" i="105"/>
  <c r="L51" i="105"/>
  <c r="U50" i="105"/>
  <c r="M50" i="105"/>
  <c r="L50" i="105"/>
  <c r="U49" i="105"/>
  <c r="M49" i="105"/>
  <c r="L49" i="105"/>
  <c r="U48" i="105"/>
  <c r="M48" i="105"/>
  <c r="L48" i="105"/>
  <c r="U47" i="105"/>
  <c r="M47" i="105"/>
  <c r="L47" i="105"/>
  <c r="U46" i="105"/>
  <c r="M46" i="105"/>
  <c r="L46" i="105"/>
  <c r="U45" i="105"/>
  <c r="M45" i="105"/>
  <c r="L45" i="105"/>
  <c r="U44" i="105"/>
  <c r="M44" i="105"/>
  <c r="L44" i="105"/>
  <c r="U43" i="105"/>
  <c r="S43" i="105"/>
  <c r="R43" i="105"/>
  <c r="Q43" i="105"/>
  <c r="P43" i="105"/>
  <c r="I43" i="105"/>
  <c r="H43" i="105"/>
  <c r="B43" i="105"/>
  <c r="U42" i="105"/>
  <c r="M42" i="105"/>
  <c r="L42" i="105"/>
  <c r="U41" i="105"/>
  <c r="M41" i="105"/>
  <c r="L41" i="105"/>
  <c r="U40" i="105"/>
  <c r="M40" i="105"/>
  <c r="L40" i="105"/>
  <c r="U39" i="105"/>
  <c r="M39" i="105"/>
  <c r="L39" i="105"/>
  <c r="U38" i="105"/>
  <c r="M38" i="105"/>
  <c r="L38" i="105"/>
  <c r="U37" i="105"/>
  <c r="M37" i="105"/>
  <c r="L37" i="105"/>
  <c r="U36" i="105"/>
  <c r="M36" i="105"/>
  <c r="L36" i="105"/>
  <c r="U35" i="105"/>
  <c r="M35" i="105"/>
  <c r="L35" i="105"/>
  <c r="U34" i="105"/>
  <c r="M34" i="105"/>
  <c r="L34" i="105"/>
  <c r="U33" i="105"/>
  <c r="M33" i="105"/>
  <c r="K32" i="105" s="1"/>
  <c r="D21" i="104" s="1"/>
  <c r="L33" i="105"/>
  <c r="U32" i="105"/>
  <c r="S32" i="105"/>
  <c r="R32" i="105"/>
  <c r="Q32" i="105"/>
  <c r="P32" i="105"/>
  <c r="I32" i="105"/>
  <c r="H32" i="105"/>
  <c r="B32" i="105"/>
  <c r="U31" i="105"/>
  <c r="M31" i="105"/>
  <c r="L31" i="105"/>
  <c r="U30" i="105"/>
  <c r="M30" i="105"/>
  <c r="L30" i="105"/>
  <c r="U29" i="105"/>
  <c r="M29" i="105"/>
  <c r="L29" i="105"/>
  <c r="U28" i="105"/>
  <c r="M28" i="105"/>
  <c r="L28" i="105"/>
  <c r="U27" i="105"/>
  <c r="M27" i="105"/>
  <c r="L27" i="105"/>
  <c r="U26" i="105"/>
  <c r="M26" i="105"/>
  <c r="L26" i="105"/>
  <c r="U25" i="105"/>
  <c r="M25" i="105"/>
  <c r="L25" i="105"/>
  <c r="U24" i="105"/>
  <c r="M24" i="105"/>
  <c r="L24" i="105"/>
  <c r="U23" i="105"/>
  <c r="M23" i="105"/>
  <c r="L23" i="105"/>
  <c r="U22" i="105"/>
  <c r="M22" i="105"/>
  <c r="L22" i="105"/>
  <c r="U21" i="105"/>
  <c r="S21" i="105"/>
  <c r="R21" i="105"/>
  <c r="Q21" i="105"/>
  <c r="P21" i="105"/>
  <c r="I21" i="105"/>
  <c r="H21" i="105"/>
  <c r="B21" i="105"/>
  <c r="U20" i="105"/>
  <c r="M20" i="105"/>
  <c r="L20" i="105"/>
  <c r="U19" i="105"/>
  <c r="M19" i="105"/>
  <c r="L19" i="105"/>
  <c r="U18" i="105"/>
  <c r="M18" i="105"/>
  <c r="L18" i="105"/>
  <c r="U17" i="105"/>
  <c r="M17" i="105"/>
  <c r="L17" i="105"/>
  <c r="U16" i="105"/>
  <c r="M16" i="105"/>
  <c r="L16" i="105"/>
  <c r="U15" i="105"/>
  <c r="M15" i="105"/>
  <c r="L15" i="105"/>
  <c r="U14" i="105"/>
  <c r="M14" i="105"/>
  <c r="L14" i="105"/>
  <c r="U13" i="105"/>
  <c r="M13" i="105"/>
  <c r="L13" i="105"/>
  <c r="U12" i="105"/>
  <c r="M12" i="105"/>
  <c r="L12" i="105"/>
  <c r="U11" i="105"/>
  <c r="M11" i="105"/>
  <c r="L11" i="105"/>
  <c r="U10" i="105"/>
  <c r="S10" i="105"/>
  <c r="R10" i="105"/>
  <c r="Q10" i="105"/>
  <c r="P10" i="105"/>
  <c r="I10" i="105"/>
  <c r="H10" i="105"/>
  <c r="B10" i="105"/>
  <c r="U9" i="105"/>
  <c r="V1" i="105"/>
  <c r="A1" i="105"/>
  <c r="I29" i="104"/>
  <c r="H29" i="104"/>
  <c r="G29" i="104"/>
  <c r="F29" i="104"/>
  <c r="E29" i="104"/>
  <c r="D29" i="104"/>
  <c r="C29" i="104"/>
  <c r="B29" i="104"/>
  <c r="J28" i="104"/>
  <c r="J27" i="104"/>
  <c r="J29" i="104" s="1"/>
  <c r="J16" i="104"/>
  <c r="J1" i="104"/>
  <c r="A1" i="104"/>
  <c r="U97" i="103"/>
  <c r="M97" i="103"/>
  <c r="L97" i="103"/>
  <c r="U96" i="103"/>
  <c r="M96" i="103"/>
  <c r="L96" i="103"/>
  <c r="U95" i="103"/>
  <c r="M95" i="103"/>
  <c r="L95" i="103"/>
  <c r="U94" i="103"/>
  <c r="M94" i="103"/>
  <c r="L94" i="103"/>
  <c r="U93" i="103"/>
  <c r="M93" i="103"/>
  <c r="L93" i="103"/>
  <c r="U92" i="103"/>
  <c r="M92" i="103"/>
  <c r="L92" i="103"/>
  <c r="U91" i="103"/>
  <c r="M91" i="103"/>
  <c r="L91" i="103"/>
  <c r="U90" i="103"/>
  <c r="M90" i="103"/>
  <c r="L90" i="103"/>
  <c r="U89" i="103"/>
  <c r="M89" i="103"/>
  <c r="L89" i="103"/>
  <c r="U88" i="103"/>
  <c r="M88" i="103"/>
  <c r="K87" i="103" s="1"/>
  <c r="I21" i="102" s="1"/>
  <c r="L88" i="103"/>
  <c r="U87" i="103"/>
  <c r="S87" i="103"/>
  <c r="R87" i="103"/>
  <c r="Q87" i="103"/>
  <c r="P87" i="103"/>
  <c r="I87" i="103"/>
  <c r="M87" i="103" s="1"/>
  <c r="I18" i="102" s="1"/>
  <c r="H87" i="103"/>
  <c r="B87" i="103"/>
  <c r="U86" i="103"/>
  <c r="M86" i="103"/>
  <c r="L86" i="103"/>
  <c r="U85" i="103"/>
  <c r="M85" i="103"/>
  <c r="L85" i="103"/>
  <c r="U84" i="103"/>
  <c r="M84" i="103"/>
  <c r="L84" i="103"/>
  <c r="U83" i="103"/>
  <c r="M83" i="103"/>
  <c r="L83" i="103"/>
  <c r="U82" i="103"/>
  <c r="M82" i="103"/>
  <c r="L82" i="103"/>
  <c r="U81" i="103"/>
  <c r="M81" i="103"/>
  <c r="L81" i="103"/>
  <c r="U80" i="103"/>
  <c r="M80" i="103"/>
  <c r="L80" i="103"/>
  <c r="U79" i="103"/>
  <c r="M79" i="103"/>
  <c r="L79" i="103"/>
  <c r="U78" i="103"/>
  <c r="M78" i="103"/>
  <c r="L78" i="103"/>
  <c r="U77" i="103"/>
  <c r="M77" i="103"/>
  <c r="L77" i="103"/>
  <c r="U76" i="103"/>
  <c r="S76" i="103"/>
  <c r="R76" i="103"/>
  <c r="Q76" i="103"/>
  <c r="P76" i="103"/>
  <c r="I76" i="103"/>
  <c r="H76" i="103"/>
  <c r="B76" i="103"/>
  <c r="U75" i="103"/>
  <c r="M75" i="103"/>
  <c r="L75" i="103"/>
  <c r="U74" i="103"/>
  <c r="M74" i="103"/>
  <c r="L74" i="103"/>
  <c r="U73" i="103"/>
  <c r="M73" i="103"/>
  <c r="L73" i="103"/>
  <c r="U72" i="103"/>
  <c r="M72" i="103"/>
  <c r="L72" i="103"/>
  <c r="U71" i="103"/>
  <c r="M71" i="103"/>
  <c r="L71" i="103"/>
  <c r="U70" i="103"/>
  <c r="M70" i="103"/>
  <c r="L70" i="103"/>
  <c r="U69" i="103"/>
  <c r="M69" i="103"/>
  <c r="L69" i="103"/>
  <c r="U68" i="103"/>
  <c r="M68" i="103"/>
  <c r="L68" i="103"/>
  <c r="U67" i="103"/>
  <c r="M67" i="103"/>
  <c r="L67" i="103"/>
  <c r="U66" i="103"/>
  <c r="M66" i="103"/>
  <c r="K65" i="103" s="1"/>
  <c r="G21" i="102" s="1"/>
  <c r="L66" i="103"/>
  <c r="U65" i="103"/>
  <c r="S65" i="103"/>
  <c r="R65" i="103"/>
  <c r="Q65" i="103"/>
  <c r="P65" i="103"/>
  <c r="I65" i="103"/>
  <c r="H65" i="103"/>
  <c r="B65" i="103"/>
  <c r="U64" i="103"/>
  <c r="M64" i="103"/>
  <c r="L64" i="103"/>
  <c r="U63" i="103"/>
  <c r="M63" i="103"/>
  <c r="L63" i="103"/>
  <c r="U62" i="103"/>
  <c r="M62" i="103"/>
  <c r="L62" i="103"/>
  <c r="U61" i="103"/>
  <c r="M61" i="103"/>
  <c r="L61" i="103"/>
  <c r="U60" i="103"/>
  <c r="M60" i="103"/>
  <c r="L60" i="103"/>
  <c r="U59" i="103"/>
  <c r="M59" i="103"/>
  <c r="L59" i="103"/>
  <c r="U58" i="103"/>
  <c r="M58" i="103"/>
  <c r="L58" i="103"/>
  <c r="U57" i="103"/>
  <c r="M57" i="103"/>
  <c r="L57" i="103"/>
  <c r="U56" i="103"/>
  <c r="M56" i="103"/>
  <c r="L56" i="103"/>
  <c r="U55" i="103"/>
  <c r="M55" i="103"/>
  <c r="K54" i="103" s="1"/>
  <c r="F21" i="102" s="1"/>
  <c r="L55" i="103"/>
  <c r="U54" i="103"/>
  <c r="S54" i="103"/>
  <c r="R54" i="103"/>
  <c r="Q54" i="103"/>
  <c r="P54" i="103"/>
  <c r="I54" i="103"/>
  <c r="H54" i="103"/>
  <c r="B54" i="103"/>
  <c r="U53" i="103"/>
  <c r="M53" i="103"/>
  <c r="L53" i="103"/>
  <c r="U52" i="103"/>
  <c r="M52" i="103"/>
  <c r="L52" i="103"/>
  <c r="U51" i="103"/>
  <c r="M51" i="103"/>
  <c r="L51" i="103"/>
  <c r="U50" i="103"/>
  <c r="M50" i="103"/>
  <c r="L50" i="103"/>
  <c r="U49" i="103"/>
  <c r="M49" i="103"/>
  <c r="L49" i="103"/>
  <c r="U48" i="103"/>
  <c r="M48" i="103"/>
  <c r="L48" i="103"/>
  <c r="U47" i="103"/>
  <c r="M47" i="103"/>
  <c r="L47" i="103"/>
  <c r="U46" i="103"/>
  <c r="M46" i="103"/>
  <c r="L46" i="103"/>
  <c r="U45" i="103"/>
  <c r="M45" i="103"/>
  <c r="L45" i="103"/>
  <c r="U44" i="103"/>
  <c r="M44" i="103"/>
  <c r="K43" i="103" s="1"/>
  <c r="E21" i="102" s="1"/>
  <c r="L44" i="103"/>
  <c r="U43" i="103"/>
  <c r="S43" i="103"/>
  <c r="R43" i="103"/>
  <c r="Q43" i="103"/>
  <c r="P43" i="103"/>
  <c r="I43" i="103"/>
  <c r="M43" i="103" s="1"/>
  <c r="E18" i="102" s="1"/>
  <c r="H43" i="103"/>
  <c r="B43" i="103"/>
  <c r="U42" i="103"/>
  <c r="M42" i="103"/>
  <c r="L42" i="103"/>
  <c r="N42" i="103" s="1"/>
  <c r="O42" i="103" s="1"/>
  <c r="U41" i="103"/>
  <c r="M41" i="103"/>
  <c r="L41" i="103"/>
  <c r="U40" i="103"/>
  <c r="M40" i="103"/>
  <c r="L40" i="103"/>
  <c r="N40" i="103" s="1"/>
  <c r="O40" i="103" s="1"/>
  <c r="U39" i="103"/>
  <c r="M39" i="103"/>
  <c r="L39" i="103"/>
  <c r="U38" i="103"/>
  <c r="M38" i="103"/>
  <c r="L38" i="103"/>
  <c r="N38" i="103" s="1"/>
  <c r="O38" i="103" s="1"/>
  <c r="U37" i="103"/>
  <c r="M37" i="103"/>
  <c r="L37" i="103"/>
  <c r="U36" i="103"/>
  <c r="M36" i="103"/>
  <c r="L36" i="103"/>
  <c r="N36" i="103" s="1"/>
  <c r="O36" i="103" s="1"/>
  <c r="U35" i="103"/>
  <c r="M35" i="103"/>
  <c r="L35" i="103"/>
  <c r="U34" i="103"/>
  <c r="M34" i="103"/>
  <c r="L34" i="103"/>
  <c r="U33" i="103"/>
  <c r="M33" i="103"/>
  <c r="L33" i="103"/>
  <c r="U32" i="103"/>
  <c r="S32" i="103"/>
  <c r="R32" i="103"/>
  <c r="Q32" i="103"/>
  <c r="P32" i="103"/>
  <c r="I32" i="103"/>
  <c r="H32" i="103"/>
  <c r="B32" i="103"/>
  <c r="U31" i="103"/>
  <c r="M31" i="103"/>
  <c r="L31" i="103"/>
  <c r="U30" i="103"/>
  <c r="M30" i="103"/>
  <c r="L30" i="103"/>
  <c r="U29" i="103"/>
  <c r="M29" i="103"/>
  <c r="L29" i="103"/>
  <c r="U28" i="103"/>
  <c r="M28" i="103"/>
  <c r="L28" i="103"/>
  <c r="N28" i="103" s="1"/>
  <c r="O28" i="103" s="1"/>
  <c r="U27" i="103"/>
  <c r="M27" i="103"/>
  <c r="L27" i="103"/>
  <c r="U26" i="103"/>
  <c r="M26" i="103"/>
  <c r="L26" i="103"/>
  <c r="U25" i="103"/>
  <c r="M25" i="103"/>
  <c r="L25" i="103"/>
  <c r="U24" i="103"/>
  <c r="M24" i="103"/>
  <c r="L24" i="103"/>
  <c r="N24" i="103" s="1"/>
  <c r="O24" i="103" s="1"/>
  <c r="U23" i="103"/>
  <c r="M23" i="103"/>
  <c r="L23" i="103"/>
  <c r="U22" i="103"/>
  <c r="M22" i="103"/>
  <c r="L22" i="103"/>
  <c r="U21" i="103"/>
  <c r="S21" i="103"/>
  <c r="R21" i="103"/>
  <c r="Q21" i="103"/>
  <c r="P21" i="103"/>
  <c r="I21" i="103"/>
  <c r="H21" i="103"/>
  <c r="B21" i="103"/>
  <c r="U20" i="103"/>
  <c r="M20" i="103"/>
  <c r="L20" i="103"/>
  <c r="U19" i="103"/>
  <c r="M19" i="103"/>
  <c r="L19" i="103"/>
  <c r="U18" i="103"/>
  <c r="M18" i="103"/>
  <c r="L18" i="103"/>
  <c r="N18" i="103" s="1"/>
  <c r="O18" i="103" s="1"/>
  <c r="U17" i="103"/>
  <c r="M17" i="103"/>
  <c r="L17" i="103"/>
  <c r="U16" i="103"/>
  <c r="M16" i="103"/>
  <c r="L16" i="103"/>
  <c r="U15" i="103"/>
  <c r="M15" i="103"/>
  <c r="L15" i="103"/>
  <c r="U14" i="103"/>
  <c r="M14" i="103"/>
  <c r="L14" i="103"/>
  <c r="N14" i="103" s="1"/>
  <c r="O14" i="103" s="1"/>
  <c r="U13" i="103"/>
  <c r="M13" i="103"/>
  <c r="L13" i="103"/>
  <c r="U12" i="103"/>
  <c r="M12" i="103"/>
  <c r="L12" i="103"/>
  <c r="U11" i="103"/>
  <c r="M11" i="103"/>
  <c r="L11" i="103"/>
  <c r="U10" i="103"/>
  <c r="S10" i="103"/>
  <c r="R10" i="103"/>
  <c r="Q10" i="103"/>
  <c r="Q9" i="103" s="1"/>
  <c r="P10" i="103"/>
  <c r="I10" i="103"/>
  <c r="H10" i="103"/>
  <c r="B10" i="103"/>
  <c r="U9" i="103"/>
  <c r="V1" i="103"/>
  <c r="A1" i="103"/>
  <c r="I29" i="102"/>
  <c r="H29" i="102"/>
  <c r="G29" i="102"/>
  <c r="F29" i="102"/>
  <c r="E29" i="102"/>
  <c r="D29" i="102"/>
  <c r="C29" i="102"/>
  <c r="B29" i="102"/>
  <c r="J28" i="102"/>
  <c r="J27" i="102"/>
  <c r="J29" i="102" s="1"/>
  <c r="J16" i="102"/>
  <c r="J1" i="102"/>
  <c r="A1" i="102"/>
  <c r="U97" i="101"/>
  <c r="M97" i="101"/>
  <c r="L97" i="101"/>
  <c r="U96" i="101"/>
  <c r="M96" i="101"/>
  <c r="L96" i="101"/>
  <c r="U95" i="101"/>
  <c r="M95" i="101"/>
  <c r="L95" i="101"/>
  <c r="U94" i="101"/>
  <c r="M94" i="101"/>
  <c r="L94" i="101"/>
  <c r="U93" i="101"/>
  <c r="M93" i="101"/>
  <c r="L93" i="101"/>
  <c r="U92" i="101"/>
  <c r="M92" i="101"/>
  <c r="L92" i="101"/>
  <c r="U91" i="101"/>
  <c r="M91" i="101"/>
  <c r="L91" i="101"/>
  <c r="U90" i="101"/>
  <c r="M90" i="101"/>
  <c r="L90" i="101"/>
  <c r="U89" i="101"/>
  <c r="M89" i="101"/>
  <c r="L89" i="101"/>
  <c r="U88" i="101"/>
  <c r="M88" i="101"/>
  <c r="L88" i="101"/>
  <c r="U87" i="101"/>
  <c r="S87" i="101"/>
  <c r="R87" i="101"/>
  <c r="Q87" i="101"/>
  <c r="P87" i="101"/>
  <c r="I87" i="101"/>
  <c r="H87" i="101"/>
  <c r="B87" i="101"/>
  <c r="U86" i="101"/>
  <c r="M86" i="101"/>
  <c r="L86" i="101"/>
  <c r="U85" i="101"/>
  <c r="M85" i="101"/>
  <c r="L85" i="101"/>
  <c r="U84" i="101"/>
  <c r="M84" i="101"/>
  <c r="L84" i="101"/>
  <c r="U83" i="101"/>
  <c r="M83" i="101"/>
  <c r="L83" i="101"/>
  <c r="U82" i="101"/>
  <c r="M82" i="101"/>
  <c r="L82" i="101"/>
  <c r="U81" i="101"/>
  <c r="M81" i="101"/>
  <c r="L81" i="101"/>
  <c r="U80" i="101"/>
  <c r="M80" i="101"/>
  <c r="L80" i="101"/>
  <c r="U79" i="101"/>
  <c r="M79" i="101"/>
  <c r="L79" i="101"/>
  <c r="U78" i="101"/>
  <c r="M78" i="101"/>
  <c r="U77" i="101"/>
  <c r="M77" i="101"/>
  <c r="K76" i="101" s="1"/>
  <c r="H21" i="100" s="1"/>
  <c r="L77" i="101"/>
  <c r="U76" i="101"/>
  <c r="S76" i="101"/>
  <c r="R76" i="101"/>
  <c r="Q76" i="101"/>
  <c r="P76" i="101"/>
  <c r="I76" i="101"/>
  <c r="H76" i="101"/>
  <c r="B76" i="101"/>
  <c r="U75" i="101"/>
  <c r="M75" i="101"/>
  <c r="L75" i="101"/>
  <c r="U74" i="101"/>
  <c r="M74" i="101"/>
  <c r="L74" i="101"/>
  <c r="U73" i="101"/>
  <c r="M73" i="101"/>
  <c r="L73" i="101"/>
  <c r="U72" i="101"/>
  <c r="M72" i="101"/>
  <c r="L72" i="101"/>
  <c r="U71" i="101"/>
  <c r="M71" i="101"/>
  <c r="L71" i="101"/>
  <c r="U70" i="101"/>
  <c r="M70" i="101"/>
  <c r="L70" i="101"/>
  <c r="U69" i="101"/>
  <c r="M69" i="101"/>
  <c r="L69" i="101"/>
  <c r="U68" i="101"/>
  <c r="M68" i="101"/>
  <c r="L68" i="101"/>
  <c r="U67" i="101"/>
  <c r="M67" i="101"/>
  <c r="L67" i="101"/>
  <c r="U66" i="101"/>
  <c r="M66" i="101"/>
  <c r="L66" i="101"/>
  <c r="U65" i="101"/>
  <c r="S65" i="101"/>
  <c r="R65" i="101"/>
  <c r="Q65" i="101"/>
  <c r="P65" i="101"/>
  <c r="K65" i="101"/>
  <c r="G21" i="100" s="1"/>
  <c r="I65" i="101"/>
  <c r="M65" i="101" s="1"/>
  <c r="G18" i="100" s="1"/>
  <c r="H65" i="101"/>
  <c r="B65" i="101"/>
  <c r="U64" i="101"/>
  <c r="M64" i="101"/>
  <c r="L64" i="101"/>
  <c r="U63" i="101"/>
  <c r="M63" i="101"/>
  <c r="L63" i="101"/>
  <c r="U62" i="101"/>
  <c r="M62" i="101"/>
  <c r="L62" i="101"/>
  <c r="U61" i="101"/>
  <c r="M61" i="101"/>
  <c r="L61" i="101"/>
  <c r="U60" i="101"/>
  <c r="M60" i="101"/>
  <c r="L60" i="101"/>
  <c r="U59" i="101"/>
  <c r="M59" i="101"/>
  <c r="L59" i="101"/>
  <c r="U58" i="101"/>
  <c r="M58" i="101"/>
  <c r="L58" i="101"/>
  <c r="U57" i="101"/>
  <c r="M57" i="101"/>
  <c r="L57" i="101"/>
  <c r="U56" i="101"/>
  <c r="M56" i="101"/>
  <c r="L56" i="101"/>
  <c r="U55" i="101"/>
  <c r="M55" i="101"/>
  <c r="L55" i="101"/>
  <c r="U54" i="101"/>
  <c r="S54" i="101"/>
  <c r="R54" i="101"/>
  <c r="Q54" i="101"/>
  <c r="P54" i="101"/>
  <c r="I54" i="101"/>
  <c r="H54" i="101"/>
  <c r="B54" i="101"/>
  <c r="U53" i="101"/>
  <c r="M53" i="101"/>
  <c r="L53" i="101"/>
  <c r="U52" i="101"/>
  <c r="M52" i="101"/>
  <c r="L52" i="101"/>
  <c r="U51" i="101"/>
  <c r="M51" i="101"/>
  <c r="L51" i="101"/>
  <c r="U50" i="101"/>
  <c r="M50" i="101"/>
  <c r="L50" i="101"/>
  <c r="N50" i="101" s="1"/>
  <c r="O50" i="101" s="1"/>
  <c r="U49" i="101"/>
  <c r="M49" i="101"/>
  <c r="L49" i="101"/>
  <c r="U48" i="101"/>
  <c r="M48" i="101"/>
  <c r="L48" i="101"/>
  <c r="U47" i="101"/>
  <c r="M47" i="101"/>
  <c r="L47" i="101"/>
  <c r="U46" i="101"/>
  <c r="M46" i="101"/>
  <c r="U45" i="101"/>
  <c r="M45" i="101"/>
  <c r="L45" i="101"/>
  <c r="U44" i="101"/>
  <c r="M44" i="101"/>
  <c r="L44" i="101"/>
  <c r="U43" i="101"/>
  <c r="S43" i="101"/>
  <c r="R43" i="101"/>
  <c r="Q43" i="101"/>
  <c r="P43" i="101"/>
  <c r="I43" i="101"/>
  <c r="H43" i="101"/>
  <c r="B43" i="101"/>
  <c r="U42" i="101"/>
  <c r="M42" i="101"/>
  <c r="L42" i="101"/>
  <c r="U41" i="101"/>
  <c r="M41" i="101"/>
  <c r="L41" i="101"/>
  <c r="U40" i="101"/>
  <c r="M40" i="101"/>
  <c r="L40" i="101"/>
  <c r="U39" i="101"/>
  <c r="M39" i="101"/>
  <c r="L39" i="101"/>
  <c r="U38" i="101"/>
  <c r="M38" i="101"/>
  <c r="L38" i="101"/>
  <c r="U37" i="101"/>
  <c r="M37" i="101"/>
  <c r="L37" i="101"/>
  <c r="U36" i="101"/>
  <c r="M36" i="101"/>
  <c r="L36" i="101"/>
  <c r="U35" i="101"/>
  <c r="M35" i="101"/>
  <c r="L35" i="101"/>
  <c r="U34" i="101"/>
  <c r="M34" i="101"/>
  <c r="L34" i="101"/>
  <c r="U33" i="101"/>
  <c r="M33" i="101"/>
  <c r="K32" i="101" s="1"/>
  <c r="D21" i="100" s="1"/>
  <c r="U32" i="101"/>
  <c r="S32" i="101"/>
  <c r="R32" i="101"/>
  <c r="Q32" i="101"/>
  <c r="P32" i="101"/>
  <c r="I32" i="101"/>
  <c r="H32" i="101"/>
  <c r="B32" i="101"/>
  <c r="U31" i="101"/>
  <c r="M31" i="101"/>
  <c r="L31" i="101"/>
  <c r="U30" i="101"/>
  <c r="M30" i="101"/>
  <c r="L30" i="101"/>
  <c r="U29" i="101"/>
  <c r="M29" i="101"/>
  <c r="L29" i="101"/>
  <c r="U28" i="101"/>
  <c r="M28" i="101"/>
  <c r="L28" i="101"/>
  <c r="U27" i="101"/>
  <c r="M27" i="101"/>
  <c r="L27" i="101"/>
  <c r="U26" i="101"/>
  <c r="M26" i="101"/>
  <c r="L26" i="101"/>
  <c r="U25" i="101"/>
  <c r="M25" i="101"/>
  <c r="U24" i="101"/>
  <c r="M24" i="101"/>
  <c r="L24" i="101"/>
  <c r="U23" i="101"/>
  <c r="M23" i="101"/>
  <c r="L23" i="101"/>
  <c r="U22" i="101"/>
  <c r="M22" i="101"/>
  <c r="L22" i="101"/>
  <c r="U21" i="101"/>
  <c r="S21" i="101"/>
  <c r="R21" i="101"/>
  <c r="Q21" i="101"/>
  <c r="P21" i="101"/>
  <c r="I21" i="101"/>
  <c r="H21" i="101"/>
  <c r="B21" i="101"/>
  <c r="U20" i="101"/>
  <c r="M20" i="101"/>
  <c r="L20" i="101"/>
  <c r="U19" i="101"/>
  <c r="M19" i="101"/>
  <c r="L19" i="101"/>
  <c r="U18" i="101"/>
  <c r="M18" i="101"/>
  <c r="L18" i="101"/>
  <c r="U17" i="101"/>
  <c r="M17" i="101"/>
  <c r="L17" i="101"/>
  <c r="U16" i="101"/>
  <c r="M16" i="101"/>
  <c r="L16" i="101"/>
  <c r="U15" i="101"/>
  <c r="M15" i="101"/>
  <c r="L15" i="101"/>
  <c r="U14" i="101"/>
  <c r="M14" i="101"/>
  <c r="L14" i="101"/>
  <c r="U13" i="101"/>
  <c r="M13" i="101"/>
  <c r="L13" i="101"/>
  <c r="U12" i="101"/>
  <c r="M12" i="101"/>
  <c r="L12" i="101"/>
  <c r="U11" i="101"/>
  <c r="M11" i="101"/>
  <c r="K10" i="101" s="1"/>
  <c r="B21" i="100" s="1"/>
  <c r="U10" i="101"/>
  <c r="S10" i="101"/>
  <c r="R10" i="101"/>
  <c r="Q10" i="101"/>
  <c r="P10" i="101"/>
  <c r="I10" i="101"/>
  <c r="H10" i="101"/>
  <c r="B10" i="101"/>
  <c r="U9" i="101"/>
  <c r="V1" i="101"/>
  <c r="A1" i="101"/>
  <c r="I29" i="100"/>
  <c r="H29" i="100"/>
  <c r="G29" i="100"/>
  <c r="F29" i="100"/>
  <c r="E29" i="100"/>
  <c r="D29" i="100"/>
  <c r="C29" i="100"/>
  <c r="B29" i="100"/>
  <c r="J28" i="100"/>
  <c r="J27" i="100"/>
  <c r="J29" i="100" s="1"/>
  <c r="J16" i="100"/>
  <c r="J1" i="100"/>
  <c r="A1" i="100"/>
  <c r="U97" i="99"/>
  <c r="M97" i="99"/>
  <c r="L97" i="99"/>
  <c r="U96" i="99"/>
  <c r="M96" i="99"/>
  <c r="L96" i="99"/>
  <c r="U95" i="99"/>
  <c r="M95" i="99"/>
  <c r="L95" i="99"/>
  <c r="U94" i="99"/>
  <c r="M94" i="99"/>
  <c r="L94" i="99"/>
  <c r="U93" i="99"/>
  <c r="M93" i="99"/>
  <c r="L93" i="99"/>
  <c r="U92" i="99"/>
  <c r="M92" i="99"/>
  <c r="L92" i="99"/>
  <c r="U91" i="99"/>
  <c r="M91" i="99"/>
  <c r="L91" i="99"/>
  <c r="U90" i="99"/>
  <c r="M90" i="99"/>
  <c r="L90" i="99"/>
  <c r="U89" i="99"/>
  <c r="M89" i="99"/>
  <c r="L89" i="99"/>
  <c r="U88" i="99"/>
  <c r="M88" i="99"/>
  <c r="L88" i="99"/>
  <c r="U87" i="99"/>
  <c r="S87" i="99"/>
  <c r="R87" i="99"/>
  <c r="Q87" i="99"/>
  <c r="P87" i="99"/>
  <c r="I87" i="99"/>
  <c r="H87" i="99"/>
  <c r="B87" i="99"/>
  <c r="U86" i="99"/>
  <c r="M86" i="99"/>
  <c r="L86" i="99"/>
  <c r="U85" i="99"/>
  <c r="M85" i="99"/>
  <c r="L85" i="99"/>
  <c r="U84" i="99"/>
  <c r="M84" i="99"/>
  <c r="L84" i="99"/>
  <c r="U83" i="99"/>
  <c r="M83" i="99"/>
  <c r="L83" i="99"/>
  <c r="U82" i="99"/>
  <c r="M82" i="99"/>
  <c r="L82" i="99"/>
  <c r="U81" i="99"/>
  <c r="M81" i="99"/>
  <c r="L81" i="99"/>
  <c r="U80" i="99"/>
  <c r="M80" i="99"/>
  <c r="U79" i="99"/>
  <c r="M79" i="99"/>
  <c r="L79" i="99"/>
  <c r="U78" i="99"/>
  <c r="M78" i="99"/>
  <c r="L78" i="99"/>
  <c r="U77" i="99"/>
  <c r="M77" i="99"/>
  <c r="L77" i="99"/>
  <c r="U76" i="99"/>
  <c r="S76" i="99"/>
  <c r="R76" i="99"/>
  <c r="Q76" i="99"/>
  <c r="P76" i="99"/>
  <c r="I76" i="99"/>
  <c r="H76" i="99"/>
  <c r="B76" i="99"/>
  <c r="U75" i="99"/>
  <c r="M75" i="99"/>
  <c r="L75" i="99"/>
  <c r="U74" i="99"/>
  <c r="M74" i="99"/>
  <c r="L74" i="99"/>
  <c r="U73" i="99"/>
  <c r="M73" i="99"/>
  <c r="L73" i="99"/>
  <c r="U72" i="99"/>
  <c r="M72" i="99"/>
  <c r="L72" i="99"/>
  <c r="U71" i="99"/>
  <c r="M71" i="99"/>
  <c r="L71" i="99"/>
  <c r="U70" i="99"/>
  <c r="M70" i="99"/>
  <c r="L70" i="99"/>
  <c r="U69" i="99"/>
  <c r="M69" i="99"/>
  <c r="L69" i="99"/>
  <c r="U68" i="99"/>
  <c r="M68" i="99"/>
  <c r="L68" i="99"/>
  <c r="U67" i="99"/>
  <c r="M67" i="99"/>
  <c r="L67" i="99"/>
  <c r="U66" i="99"/>
  <c r="M66" i="99"/>
  <c r="L66" i="99"/>
  <c r="U65" i="99"/>
  <c r="S65" i="99"/>
  <c r="R65" i="99"/>
  <c r="Q65" i="99"/>
  <c r="P65" i="99"/>
  <c r="I65" i="99"/>
  <c r="H65" i="99"/>
  <c r="B65" i="99"/>
  <c r="U64" i="99"/>
  <c r="M64" i="99"/>
  <c r="L64" i="99"/>
  <c r="U63" i="99"/>
  <c r="M63" i="99"/>
  <c r="L63" i="99"/>
  <c r="U62" i="99"/>
  <c r="M62" i="99"/>
  <c r="L62" i="99"/>
  <c r="U61" i="99"/>
  <c r="M61" i="99"/>
  <c r="L61" i="99"/>
  <c r="U60" i="99"/>
  <c r="M60" i="99"/>
  <c r="L60" i="99"/>
  <c r="U59" i="99"/>
  <c r="M59" i="99"/>
  <c r="L59" i="99"/>
  <c r="U58" i="99"/>
  <c r="M58" i="99"/>
  <c r="L58" i="99"/>
  <c r="U57" i="99"/>
  <c r="M57" i="99"/>
  <c r="L57" i="99"/>
  <c r="U56" i="99"/>
  <c r="M56" i="99"/>
  <c r="L56" i="99"/>
  <c r="U55" i="99"/>
  <c r="M55" i="99"/>
  <c r="L55" i="99"/>
  <c r="U54" i="99"/>
  <c r="S54" i="99"/>
  <c r="R54" i="99"/>
  <c r="Q54" i="99"/>
  <c r="P54" i="99"/>
  <c r="I54" i="99"/>
  <c r="H54" i="99"/>
  <c r="B54" i="99"/>
  <c r="U53" i="99"/>
  <c r="M53" i="99"/>
  <c r="L53" i="99"/>
  <c r="U52" i="99"/>
  <c r="M52" i="99"/>
  <c r="L52" i="99"/>
  <c r="U51" i="99"/>
  <c r="M51" i="99"/>
  <c r="L51" i="99"/>
  <c r="U50" i="99"/>
  <c r="M50" i="99"/>
  <c r="L50" i="99"/>
  <c r="U49" i="99"/>
  <c r="M49" i="99"/>
  <c r="L49" i="99"/>
  <c r="U48" i="99"/>
  <c r="M48" i="99"/>
  <c r="L48" i="99"/>
  <c r="U47" i="99"/>
  <c r="M47" i="99"/>
  <c r="L47" i="99"/>
  <c r="U46" i="99"/>
  <c r="M46" i="99"/>
  <c r="L46" i="99"/>
  <c r="U45" i="99"/>
  <c r="M45" i="99"/>
  <c r="L45" i="99"/>
  <c r="U44" i="99"/>
  <c r="M44" i="99"/>
  <c r="L44" i="99"/>
  <c r="U43" i="99"/>
  <c r="S43" i="99"/>
  <c r="R43" i="99"/>
  <c r="Q43" i="99"/>
  <c r="P43" i="99"/>
  <c r="I43" i="99"/>
  <c r="H43" i="99"/>
  <c r="B43" i="99"/>
  <c r="U42" i="99"/>
  <c r="M42" i="99"/>
  <c r="L42" i="99"/>
  <c r="U41" i="99"/>
  <c r="M41" i="99"/>
  <c r="L41" i="99"/>
  <c r="U40" i="99"/>
  <c r="M40" i="99"/>
  <c r="L40" i="99"/>
  <c r="U39" i="99"/>
  <c r="M39" i="99"/>
  <c r="L39" i="99"/>
  <c r="U38" i="99"/>
  <c r="M38" i="99"/>
  <c r="L38" i="99"/>
  <c r="U37" i="99"/>
  <c r="M37" i="99"/>
  <c r="L37" i="99"/>
  <c r="U36" i="99"/>
  <c r="M36" i="99"/>
  <c r="L36" i="99"/>
  <c r="U35" i="99"/>
  <c r="M35" i="99"/>
  <c r="L35" i="99"/>
  <c r="U34" i="99"/>
  <c r="M34" i="99"/>
  <c r="L34" i="99"/>
  <c r="U33" i="99"/>
  <c r="M33" i="99"/>
  <c r="L33" i="99"/>
  <c r="U32" i="99"/>
  <c r="S32" i="99"/>
  <c r="R32" i="99"/>
  <c r="Q32" i="99"/>
  <c r="P32" i="99"/>
  <c r="I32" i="99"/>
  <c r="H32" i="99"/>
  <c r="B32" i="99"/>
  <c r="U31" i="99"/>
  <c r="M31" i="99"/>
  <c r="L31" i="99"/>
  <c r="U30" i="99"/>
  <c r="M30" i="99"/>
  <c r="L30" i="99"/>
  <c r="U29" i="99"/>
  <c r="M29" i="99"/>
  <c r="L29" i="99"/>
  <c r="U28" i="99"/>
  <c r="M28" i="99"/>
  <c r="L28" i="99"/>
  <c r="U27" i="99"/>
  <c r="M27" i="99"/>
  <c r="L27" i="99"/>
  <c r="U26" i="99"/>
  <c r="M26" i="99"/>
  <c r="L26" i="99"/>
  <c r="U25" i="99"/>
  <c r="M25" i="99"/>
  <c r="L25" i="99"/>
  <c r="U24" i="99"/>
  <c r="M24" i="99"/>
  <c r="L24" i="99"/>
  <c r="U23" i="99"/>
  <c r="M23" i="99"/>
  <c r="L23" i="99"/>
  <c r="U22" i="99"/>
  <c r="M22" i="99"/>
  <c r="K21" i="99" s="1"/>
  <c r="C21" i="98" s="1"/>
  <c r="L22" i="99"/>
  <c r="U21" i="99"/>
  <c r="S21" i="99"/>
  <c r="R21" i="99"/>
  <c r="Q21" i="99"/>
  <c r="P21" i="99"/>
  <c r="I21" i="99"/>
  <c r="H21" i="99"/>
  <c r="B21" i="99"/>
  <c r="U20" i="99"/>
  <c r="M20" i="99"/>
  <c r="L20" i="99"/>
  <c r="U19" i="99"/>
  <c r="M19" i="99"/>
  <c r="L19" i="99"/>
  <c r="U18" i="99"/>
  <c r="M18" i="99"/>
  <c r="L18" i="99"/>
  <c r="U17" i="99"/>
  <c r="M17" i="99"/>
  <c r="L17" i="99"/>
  <c r="U16" i="99"/>
  <c r="M16" i="99"/>
  <c r="L16" i="99"/>
  <c r="U15" i="99"/>
  <c r="M15" i="99"/>
  <c r="L15" i="99"/>
  <c r="U14" i="99"/>
  <c r="M14" i="99"/>
  <c r="L14" i="99"/>
  <c r="U13" i="99"/>
  <c r="M13" i="99"/>
  <c r="L13" i="99"/>
  <c r="U12" i="99"/>
  <c r="M12" i="99"/>
  <c r="L12" i="99"/>
  <c r="U11" i="99"/>
  <c r="M11" i="99"/>
  <c r="L11" i="99"/>
  <c r="U10" i="99"/>
  <c r="S10" i="99"/>
  <c r="R10" i="99"/>
  <c r="Q10" i="99"/>
  <c r="P10" i="99"/>
  <c r="I10" i="99"/>
  <c r="H10" i="99"/>
  <c r="B10" i="99"/>
  <c r="U9" i="99"/>
  <c r="I9" i="99"/>
  <c r="V1" i="99"/>
  <c r="A1" i="99"/>
  <c r="I29" i="98"/>
  <c r="H29" i="98"/>
  <c r="G29" i="98"/>
  <c r="F29" i="98"/>
  <c r="E29" i="98"/>
  <c r="D29" i="98"/>
  <c r="C29" i="98"/>
  <c r="B29" i="98"/>
  <c r="J28" i="98"/>
  <c r="J27" i="98"/>
  <c r="J16" i="98"/>
  <c r="J1" i="98"/>
  <c r="A1" i="98"/>
  <c r="U97" i="97"/>
  <c r="M97" i="97"/>
  <c r="L97" i="97"/>
  <c r="U96" i="97"/>
  <c r="M96" i="97"/>
  <c r="L96" i="97"/>
  <c r="U95" i="97"/>
  <c r="M95" i="97"/>
  <c r="L95" i="97"/>
  <c r="U94" i="97"/>
  <c r="M94" i="97"/>
  <c r="L94" i="97"/>
  <c r="U93" i="97"/>
  <c r="M93" i="97"/>
  <c r="L93" i="97"/>
  <c r="U92" i="97"/>
  <c r="M92" i="97"/>
  <c r="L92" i="97"/>
  <c r="U91" i="97"/>
  <c r="M91" i="97"/>
  <c r="L91" i="97"/>
  <c r="U90" i="97"/>
  <c r="M90" i="97"/>
  <c r="L90" i="97"/>
  <c r="U89" i="97"/>
  <c r="M89" i="97"/>
  <c r="L89" i="97"/>
  <c r="U88" i="97"/>
  <c r="M88" i="97"/>
  <c r="L88" i="97"/>
  <c r="U87" i="97"/>
  <c r="S87" i="97"/>
  <c r="R87" i="97"/>
  <c r="Q87" i="97"/>
  <c r="P87" i="97"/>
  <c r="I87" i="97"/>
  <c r="H87" i="97"/>
  <c r="B87" i="97"/>
  <c r="U86" i="97"/>
  <c r="M86" i="97"/>
  <c r="L86" i="97"/>
  <c r="U85" i="97"/>
  <c r="M85" i="97"/>
  <c r="L85" i="97"/>
  <c r="U84" i="97"/>
  <c r="M84" i="97"/>
  <c r="L84" i="97"/>
  <c r="U83" i="97"/>
  <c r="M83" i="97"/>
  <c r="L83" i="97"/>
  <c r="U82" i="97"/>
  <c r="M82" i="97"/>
  <c r="L82" i="97"/>
  <c r="U81" i="97"/>
  <c r="M81" i="97"/>
  <c r="L81" i="97"/>
  <c r="U80" i="97"/>
  <c r="M80" i="97"/>
  <c r="L80" i="97"/>
  <c r="U79" i="97"/>
  <c r="M79" i="97"/>
  <c r="L79" i="97"/>
  <c r="U78" i="97"/>
  <c r="M78" i="97"/>
  <c r="U77" i="97"/>
  <c r="M77" i="97"/>
  <c r="L77" i="97"/>
  <c r="U76" i="97"/>
  <c r="S76" i="97"/>
  <c r="R76" i="97"/>
  <c r="Q76" i="97"/>
  <c r="P76" i="97"/>
  <c r="I76" i="97"/>
  <c r="H76" i="97"/>
  <c r="B76" i="97"/>
  <c r="U75" i="97"/>
  <c r="M75" i="97"/>
  <c r="L75" i="97"/>
  <c r="U74" i="97"/>
  <c r="M74" i="97"/>
  <c r="L74" i="97"/>
  <c r="U73" i="97"/>
  <c r="M73" i="97"/>
  <c r="L73" i="97"/>
  <c r="U72" i="97"/>
  <c r="M72" i="97"/>
  <c r="L72" i="97"/>
  <c r="U71" i="97"/>
  <c r="M71" i="97"/>
  <c r="L71" i="97"/>
  <c r="U70" i="97"/>
  <c r="M70" i="97"/>
  <c r="L70" i="97"/>
  <c r="U69" i="97"/>
  <c r="M69" i="97"/>
  <c r="L69" i="97"/>
  <c r="U68" i="97"/>
  <c r="M68" i="97"/>
  <c r="L68" i="97"/>
  <c r="U67" i="97"/>
  <c r="M67" i="97"/>
  <c r="L67" i="97"/>
  <c r="U66" i="97"/>
  <c r="M66" i="97"/>
  <c r="K65" i="97" s="1"/>
  <c r="G21" i="96" s="1"/>
  <c r="L66" i="97"/>
  <c r="U65" i="97"/>
  <c r="S65" i="97"/>
  <c r="R65" i="97"/>
  <c r="Q65" i="97"/>
  <c r="P65" i="97"/>
  <c r="I65" i="97"/>
  <c r="H65" i="97"/>
  <c r="B65" i="97"/>
  <c r="U64" i="97"/>
  <c r="M64" i="97"/>
  <c r="L64" i="97"/>
  <c r="U63" i="97"/>
  <c r="M63" i="97"/>
  <c r="L63" i="97"/>
  <c r="U62" i="97"/>
  <c r="M62" i="97"/>
  <c r="L62" i="97"/>
  <c r="U61" i="97"/>
  <c r="M61" i="97"/>
  <c r="L61" i="97"/>
  <c r="U60" i="97"/>
  <c r="M60" i="97"/>
  <c r="L60" i="97"/>
  <c r="U59" i="97"/>
  <c r="M59" i="97"/>
  <c r="L59" i="97"/>
  <c r="U58" i="97"/>
  <c r="M58" i="97"/>
  <c r="L58" i="97"/>
  <c r="U57" i="97"/>
  <c r="M57" i="97"/>
  <c r="L57" i="97"/>
  <c r="U56" i="97"/>
  <c r="M56" i="97"/>
  <c r="L56" i="97"/>
  <c r="U55" i="97"/>
  <c r="M55" i="97"/>
  <c r="K54" i="97" s="1"/>
  <c r="F21" i="96" s="1"/>
  <c r="L55" i="97"/>
  <c r="U54" i="97"/>
  <c r="S54" i="97"/>
  <c r="R54" i="97"/>
  <c r="Q54" i="97"/>
  <c r="P54" i="97"/>
  <c r="I54" i="97"/>
  <c r="H54" i="97"/>
  <c r="B54" i="97"/>
  <c r="U53" i="97"/>
  <c r="M53" i="97"/>
  <c r="L53" i="97"/>
  <c r="U52" i="97"/>
  <c r="M52" i="97"/>
  <c r="L52" i="97"/>
  <c r="U51" i="97"/>
  <c r="M51" i="97"/>
  <c r="L51" i="97"/>
  <c r="U50" i="97"/>
  <c r="M50" i="97"/>
  <c r="L50" i="97"/>
  <c r="U49" i="97"/>
  <c r="M49" i="97"/>
  <c r="L49" i="97"/>
  <c r="U48" i="97"/>
  <c r="M48" i="97"/>
  <c r="L48" i="97"/>
  <c r="U47" i="97"/>
  <c r="M47" i="97"/>
  <c r="L47" i="97"/>
  <c r="U46" i="97"/>
  <c r="M46" i="97"/>
  <c r="L46" i="97"/>
  <c r="U45" i="97"/>
  <c r="M45" i="97"/>
  <c r="L45" i="97"/>
  <c r="U44" i="97"/>
  <c r="M44" i="97"/>
  <c r="L44" i="97"/>
  <c r="U43" i="97"/>
  <c r="S43" i="97"/>
  <c r="R43" i="97"/>
  <c r="Q43" i="97"/>
  <c r="P43" i="97"/>
  <c r="I43" i="97"/>
  <c r="H43" i="97"/>
  <c r="B43" i="97"/>
  <c r="U42" i="97"/>
  <c r="M42" i="97"/>
  <c r="L42" i="97"/>
  <c r="U41" i="97"/>
  <c r="M41" i="97"/>
  <c r="L41" i="97"/>
  <c r="U40" i="97"/>
  <c r="M40" i="97"/>
  <c r="L40" i="97"/>
  <c r="U39" i="97"/>
  <c r="M39" i="97"/>
  <c r="L39" i="97"/>
  <c r="U38" i="97"/>
  <c r="M38" i="97"/>
  <c r="L38" i="97"/>
  <c r="U37" i="97"/>
  <c r="M37" i="97"/>
  <c r="L37" i="97"/>
  <c r="U36" i="97"/>
  <c r="M36" i="97"/>
  <c r="L36" i="97"/>
  <c r="U35" i="97"/>
  <c r="M35" i="97"/>
  <c r="L35" i="97"/>
  <c r="U34" i="97"/>
  <c r="M34" i="97"/>
  <c r="L34" i="97"/>
  <c r="U33" i="97"/>
  <c r="M33" i="97"/>
  <c r="L33" i="97"/>
  <c r="U32" i="97"/>
  <c r="S32" i="97"/>
  <c r="R32" i="97"/>
  <c r="Q32" i="97"/>
  <c r="P32" i="97"/>
  <c r="I32" i="97"/>
  <c r="H32" i="97"/>
  <c r="B32" i="97"/>
  <c r="U31" i="97"/>
  <c r="M31" i="97"/>
  <c r="L31" i="97"/>
  <c r="U30" i="97"/>
  <c r="M30" i="97"/>
  <c r="L30" i="97"/>
  <c r="U29" i="97"/>
  <c r="M29" i="97"/>
  <c r="L29" i="97"/>
  <c r="U28" i="97"/>
  <c r="M28" i="97"/>
  <c r="L28" i="97"/>
  <c r="U27" i="97"/>
  <c r="M27" i="97"/>
  <c r="L27" i="97"/>
  <c r="U26" i="97"/>
  <c r="M26" i="97"/>
  <c r="L26" i="97"/>
  <c r="U25" i="97"/>
  <c r="M25" i="97"/>
  <c r="L25" i="97"/>
  <c r="U24" i="97"/>
  <c r="M24" i="97"/>
  <c r="L24" i="97"/>
  <c r="U23" i="97"/>
  <c r="M23" i="97"/>
  <c r="L23" i="97"/>
  <c r="U22" i="97"/>
  <c r="M22" i="97"/>
  <c r="K21" i="97" s="1"/>
  <c r="C21" i="96" s="1"/>
  <c r="L22" i="97"/>
  <c r="U21" i="97"/>
  <c r="S21" i="97"/>
  <c r="R21" i="97"/>
  <c r="Q21" i="97"/>
  <c r="P21" i="97"/>
  <c r="I21" i="97"/>
  <c r="H21" i="97"/>
  <c r="B21" i="97"/>
  <c r="U20" i="97"/>
  <c r="M20" i="97"/>
  <c r="L20" i="97"/>
  <c r="U19" i="97"/>
  <c r="M19" i="97"/>
  <c r="L19" i="97"/>
  <c r="U18" i="97"/>
  <c r="M18" i="97"/>
  <c r="L18" i="97"/>
  <c r="U17" i="97"/>
  <c r="M17" i="97"/>
  <c r="L17" i="97"/>
  <c r="U16" i="97"/>
  <c r="M16" i="97"/>
  <c r="L16" i="97"/>
  <c r="U15" i="97"/>
  <c r="M15" i="97"/>
  <c r="L15" i="97"/>
  <c r="U14" i="97"/>
  <c r="M14" i="97"/>
  <c r="L14" i="97"/>
  <c r="U13" i="97"/>
  <c r="M13" i="97"/>
  <c r="L13" i="97"/>
  <c r="U12" i="97"/>
  <c r="M12" i="97"/>
  <c r="L12" i="97"/>
  <c r="U11" i="97"/>
  <c r="M11" i="97"/>
  <c r="U10" i="97"/>
  <c r="S10" i="97"/>
  <c r="R10" i="97"/>
  <c r="Q10" i="97"/>
  <c r="Q9" i="97" s="1"/>
  <c r="P10" i="97"/>
  <c r="P9" i="97" s="1"/>
  <c r="I10" i="97"/>
  <c r="H10" i="97"/>
  <c r="B10" i="97"/>
  <c r="U9" i="97"/>
  <c r="V1" i="97"/>
  <c r="A1" i="97"/>
  <c r="I29" i="96"/>
  <c r="H29" i="96"/>
  <c r="G29" i="96"/>
  <c r="F29" i="96"/>
  <c r="E29" i="96"/>
  <c r="D29" i="96"/>
  <c r="C29" i="96"/>
  <c r="B29" i="96"/>
  <c r="J28" i="96"/>
  <c r="J27" i="96"/>
  <c r="J16" i="96"/>
  <c r="J1" i="96"/>
  <c r="A1" i="96"/>
  <c r="Y97" i="95"/>
  <c r="X97" i="95"/>
  <c r="M97" i="95"/>
  <c r="L97" i="95"/>
  <c r="Y96" i="95"/>
  <c r="X96" i="95"/>
  <c r="M96" i="95"/>
  <c r="L96" i="95"/>
  <c r="Y95" i="95"/>
  <c r="X95" i="95"/>
  <c r="M95" i="95"/>
  <c r="L95" i="95"/>
  <c r="Y94" i="95"/>
  <c r="X94" i="95"/>
  <c r="M94" i="95"/>
  <c r="L94" i="95"/>
  <c r="Y93" i="95"/>
  <c r="X93" i="95"/>
  <c r="M93" i="95"/>
  <c r="L93" i="95"/>
  <c r="Y92" i="95"/>
  <c r="X92" i="95"/>
  <c r="M92" i="95"/>
  <c r="L92" i="95"/>
  <c r="Y91" i="95"/>
  <c r="X91" i="95"/>
  <c r="M91" i="95"/>
  <c r="L91" i="95"/>
  <c r="Y90" i="95"/>
  <c r="X90" i="95"/>
  <c r="M90" i="95"/>
  <c r="L90" i="95"/>
  <c r="Y89" i="95"/>
  <c r="X89" i="95"/>
  <c r="M89" i="95"/>
  <c r="Y88" i="95"/>
  <c r="X88" i="95"/>
  <c r="M88" i="95"/>
  <c r="L88" i="95"/>
  <c r="X87" i="95"/>
  <c r="T87" i="95"/>
  <c r="S87" i="95"/>
  <c r="Q87" i="95"/>
  <c r="P87" i="95"/>
  <c r="I87" i="95"/>
  <c r="H87" i="95"/>
  <c r="B87" i="95"/>
  <c r="Y86" i="95"/>
  <c r="X86" i="95"/>
  <c r="M86" i="95"/>
  <c r="L86" i="95"/>
  <c r="Y85" i="95"/>
  <c r="X85" i="95"/>
  <c r="M85" i="95"/>
  <c r="L85" i="95"/>
  <c r="Y84" i="95"/>
  <c r="X84" i="95"/>
  <c r="M84" i="95"/>
  <c r="L84" i="95"/>
  <c r="Y83" i="95"/>
  <c r="X83" i="95"/>
  <c r="M83" i="95"/>
  <c r="L83" i="95"/>
  <c r="Y82" i="95"/>
  <c r="X82" i="95"/>
  <c r="M82" i="95"/>
  <c r="L82" i="95"/>
  <c r="Y81" i="95"/>
  <c r="X81" i="95"/>
  <c r="M81" i="95"/>
  <c r="L81" i="95"/>
  <c r="Y80" i="95"/>
  <c r="X80" i="95"/>
  <c r="M80" i="95"/>
  <c r="L80" i="95"/>
  <c r="Y79" i="95"/>
  <c r="X79" i="95"/>
  <c r="M79" i="95"/>
  <c r="L79" i="95"/>
  <c r="Y78" i="95"/>
  <c r="X78" i="95"/>
  <c r="M78" i="95"/>
  <c r="L78" i="95"/>
  <c r="Y77" i="95"/>
  <c r="X77" i="95"/>
  <c r="M77" i="95"/>
  <c r="L77" i="95"/>
  <c r="X76" i="95"/>
  <c r="T76" i="95"/>
  <c r="S76" i="95"/>
  <c r="Q76" i="95"/>
  <c r="P76" i="95"/>
  <c r="I76" i="95"/>
  <c r="H76" i="95"/>
  <c r="B76" i="95"/>
  <c r="Y75" i="95"/>
  <c r="X75" i="95"/>
  <c r="M75" i="95"/>
  <c r="L75" i="95"/>
  <c r="Y74" i="95"/>
  <c r="X74" i="95"/>
  <c r="M74" i="95"/>
  <c r="L74" i="95"/>
  <c r="Y73" i="95"/>
  <c r="X73" i="95"/>
  <c r="M73" i="95"/>
  <c r="L73" i="95"/>
  <c r="Y72" i="95"/>
  <c r="X72" i="95"/>
  <c r="M72" i="95"/>
  <c r="L72" i="95"/>
  <c r="Y71" i="95"/>
  <c r="X71" i="95"/>
  <c r="M71" i="95"/>
  <c r="L71" i="95"/>
  <c r="Y70" i="95"/>
  <c r="X70" i="95"/>
  <c r="M70" i="95"/>
  <c r="L70" i="95"/>
  <c r="Y69" i="95"/>
  <c r="X69" i="95"/>
  <c r="M69" i="95"/>
  <c r="L69" i="95"/>
  <c r="Y68" i="95"/>
  <c r="X68" i="95"/>
  <c r="M68" i="95"/>
  <c r="L68" i="95"/>
  <c r="Y67" i="95"/>
  <c r="X67" i="95"/>
  <c r="M67" i="95"/>
  <c r="Y66" i="95"/>
  <c r="X66" i="95"/>
  <c r="M66" i="95"/>
  <c r="L66" i="95"/>
  <c r="X65" i="95"/>
  <c r="T65" i="95"/>
  <c r="S65" i="95"/>
  <c r="Q65" i="95"/>
  <c r="P65" i="95"/>
  <c r="I65" i="95"/>
  <c r="H65" i="95"/>
  <c r="B65" i="95"/>
  <c r="Y64" i="95"/>
  <c r="X64" i="95"/>
  <c r="M64" i="95"/>
  <c r="L64" i="95"/>
  <c r="Y63" i="95"/>
  <c r="X63" i="95"/>
  <c r="M63" i="95"/>
  <c r="L63" i="95"/>
  <c r="Y62" i="95"/>
  <c r="X62" i="95"/>
  <c r="M62" i="95"/>
  <c r="L62" i="95"/>
  <c r="Y61" i="95"/>
  <c r="X61" i="95"/>
  <c r="M61" i="95"/>
  <c r="L61" i="95"/>
  <c r="Y60" i="95"/>
  <c r="X60" i="95"/>
  <c r="M60" i="95"/>
  <c r="L60" i="95"/>
  <c r="Y59" i="95"/>
  <c r="X59" i="95"/>
  <c r="M59" i="95"/>
  <c r="L59" i="95"/>
  <c r="Y58" i="95"/>
  <c r="X58" i="95"/>
  <c r="M58" i="95"/>
  <c r="L58" i="95"/>
  <c r="Y57" i="95"/>
  <c r="X57" i="95"/>
  <c r="M57" i="95"/>
  <c r="L57" i="95"/>
  <c r="Y56" i="95"/>
  <c r="X56" i="95"/>
  <c r="M56" i="95"/>
  <c r="L56" i="95"/>
  <c r="Y55" i="95"/>
  <c r="L55" i="95" s="1"/>
  <c r="X55" i="95"/>
  <c r="M55" i="95"/>
  <c r="X54" i="95"/>
  <c r="T54" i="95"/>
  <c r="S54" i="95"/>
  <c r="Q54" i="95"/>
  <c r="P54" i="95"/>
  <c r="I54" i="95"/>
  <c r="H54" i="95"/>
  <c r="B54" i="95"/>
  <c r="Y53" i="95"/>
  <c r="X53" i="95"/>
  <c r="M53" i="95"/>
  <c r="L53" i="95"/>
  <c r="Y52" i="95"/>
  <c r="X52" i="95"/>
  <c r="M52" i="95"/>
  <c r="L52" i="95"/>
  <c r="Y51" i="95"/>
  <c r="X51" i="95"/>
  <c r="M51" i="95"/>
  <c r="L51" i="95"/>
  <c r="Y50" i="95"/>
  <c r="X50" i="95"/>
  <c r="M50" i="95"/>
  <c r="L50" i="95"/>
  <c r="Y49" i="95"/>
  <c r="X49" i="95"/>
  <c r="M49" i="95"/>
  <c r="L49" i="95"/>
  <c r="Y48" i="95"/>
  <c r="X48" i="95"/>
  <c r="M48" i="95"/>
  <c r="L48" i="95"/>
  <c r="Y47" i="95"/>
  <c r="X47" i="95"/>
  <c r="M47" i="95"/>
  <c r="L47" i="95"/>
  <c r="Y46" i="95"/>
  <c r="X46" i="95"/>
  <c r="M46" i="95"/>
  <c r="L46" i="95"/>
  <c r="Y45" i="95"/>
  <c r="X45" i="95"/>
  <c r="M45" i="95"/>
  <c r="L45" i="95"/>
  <c r="Y44" i="95"/>
  <c r="X44" i="95"/>
  <c r="M44" i="95"/>
  <c r="L44" i="95"/>
  <c r="X43" i="95"/>
  <c r="T43" i="95"/>
  <c r="S43" i="95"/>
  <c r="Q43" i="95"/>
  <c r="P43" i="95"/>
  <c r="I43" i="95"/>
  <c r="H43" i="95"/>
  <c r="B43" i="95"/>
  <c r="Y42" i="95"/>
  <c r="X42" i="95"/>
  <c r="M42" i="95"/>
  <c r="L42" i="95"/>
  <c r="Y41" i="95"/>
  <c r="X41" i="95"/>
  <c r="M41" i="95"/>
  <c r="L41" i="95"/>
  <c r="Y40" i="95"/>
  <c r="X40" i="95"/>
  <c r="M40" i="95"/>
  <c r="L40" i="95"/>
  <c r="Y39" i="95"/>
  <c r="X39" i="95"/>
  <c r="M39" i="95"/>
  <c r="L39" i="95"/>
  <c r="Y38" i="95"/>
  <c r="X38" i="95"/>
  <c r="M38" i="95"/>
  <c r="L38" i="95"/>
  <c r="Y37" i="95"/>
  <c r="X37" i="95"/>
  <c r="M37" i="95"/>
  <c r="L37" i="95"/>
  <c r="Y36" i="95"/>
  <c r="X36" i="95"/>
  <c r="M36" i="95"/>
  <c r="L36" i="95"/>
  <c r="Y35" i="95"/>
  <c r="X35" i="95"/>
  <c r="M35" i="95"/>
  <c r="L35" i="95"/>
  <c r="Y34" i="95"/>
  <c r="X34" i="95"/>
  <c r="M34" i="95"/>
  <c r="L34" i="95"/>
  <c r="Y33" i="95"/>
  <c r="X33" i="95"/>
  <c r="M33" i="95"/>
  <c r="L33" i="95"/>
  <c r="X32" i="95"/>
  <c r="T32" i="95"/>
  <c r="S32" i="95"/>
  <c r="Q32" i="95"/>
  <c r="P32" i="95"/>
  <c r="I32" i="95"/>
  <c r="H32" i="95"/>
  <c r="B32" i="95"/>
  <c r="Y31" i="95"/>
  <c r="X31" i="95"/>
  <c r="M31" i="95"/>
  <c r="L31" i="95"/>
  <c r="Y30" i="95"/>
  <c r="X30" i="95"/>
  <c r="M30" i="95"/>
  <c r="L30" i="95"/>
  <c r="Y29" i="95"/>
  <c r="X29" i="95"/>
  <c r="M29" i="95"/>
  <c r="L29" i="95"/>
  <c r="Y28" i="95"/>
  <c r="X28" i="95"/>
  <c r="M28" i="95"/>
  <c r="L28" i="95"/>
  <c r="Y27" i="95"/>
  <c r="X27" i="95"/>
  <c r="M27" i="95"/>
  <c r="L27" i="95"/>
  <c r="Y26" i="95"/>
  <c r="X26" i="95"/>
  <c r="M26" i="95"/>
  <c r="L26" i="95"/>
  <c r="Y25" i="95"/>
  <c r="X25" i="95"/>
  <c r="M25" i="95"/>
  <c r="L25" i="95"/>
  <c r="Y24" i="95"/>
  <c r="X24" i="95"/>
  <c r="M24" i="95"/>
  <c r="L24" i="95"/>
  <c r="Y23" i="95"/>
  <c r="X23" i="95"/>
  <c r="M23" i="95"/>
  <c r="L23" i="95"/>
  <c r="Y22" i="95"/>
  <c r="X22" i="95"/>
  <c r="M22" i="95"/>
  <c r="L22" i="95"/>
  <c r="X21" i="95"/>
  <c r="T21" i="95"/>
  <c r="S21" i="95"/>
  <c r="Q21" i="95"/>
  <c r="P21" i="95"/>
  <c r="I21" i="95"/>
  <c r="H21" i="95"/>
  <c r="B21" i="95"/>
  <c r="Y20" i="95"/>
  <c r="X20" i="95"/>
  <c r="M20" i="95"/>
  <c r="L20" i="95"/>
  <c r="Y19" i="95"/>
  <c r="X19" i="95"/>
  <c r="M19" i="95"/>
  <c r="L19" i="95"/>
  <c r="Y18" i="95"/>
  <c r="X18" i="95"/>
  <c r="M18" i="95"/>
  <c r="L18" i="95"/>
  <c r="Y17" i="95"/>
  <c r="X17" i="95"/>
  <c r="M17" i="95"/>
  <c r="L17" i="95"/>
  <c r="Y16" i="95"/>
  <c r="X16" i="95"/>
  <c r="M16" i="95"/>
  <c r="L16" i="95"/>
  <c r="Y15" i="95"/>
  <c r="X15" i="95"/>
  <c r="M15" i="95"/>
  <c r="L15" i="95"/>
  <c r="Y14" i="95"/>
  <c r="X14" i="95"/>
  <c r="M14" i="95"/>
  <c r="L14" i="95"/>
  <c r="Y13" i="95"/>
  <c r="X13" i="95"/>
  <c r="M13" i="95"/>
  <c r="L13" i="95"/>
  <c r="Y12" i="95"/>
  <c r="L12" i="95" s="1"/>
  <c r="X12" i="95"/>
  <c r="M12" i="95"/>
  <c r="Y11" i="95"/>
  <c r="L11" i="95" s="1"/>
  <c r="X11" i="95"/>
  <c r="M11" i="95"/>
  <c r="X10" i="95"/>
  <c r="T10" i="95"/>
  <c r="S10" i="95"/>
  <c r="Q10" i="95"/>
  <c r="P10" i="95"/>
  <c r="I10" i="95"/>
  <c r="H10" i="95"/>
  <c r="B10" i="95"/>
  <c r="X9" i="95"/>
  <c r="Y1" i="95"/>
  <c r="A1" i="95"/>
  <c r="I29" i="94"/>
  <c r="H29" i="94"/>
  <c r="G29" i="94"/>
  <c r="F29" i="94"/>
  <c r="E29" i="94"/>
  <c r="D29" i="94"/>
  <c r="C29" i="94"/>
  <c r="B29" i="94"/>
  <c r="J28" i="94"/>
  <c r="C28" i="2" s="1"/>
  <c r="M28" i="2" s="1"/>
  <c r="J27" i="94"/>
  <c r="J16" i="94"/>
  <c r="J1" i="94"/>
  <c r="A1" i="94"/>
  <c r="V1" i="59"/>
  <c r="A1" i="59"/>
  <c r="J1" i="58"/>
  <c r="A1" i="58"/>
  <c r="N1" i="2"/>
  <c r="A1" i="2"/>
  <c r="E1" i="93"/>
  <c r="A1" i="93"/>
  <c r="E1" i="92"/>
  <c r="A1" i="92"/>
  <c r="J32" i="97" l="1"/>
  <c r="J65" i="97"/>
  <c r="J21" i="99"/>
  <c r="J54" i="99"/>
  <c r="J65" i="103"/>
  <c r="J65" i="101"/>
  <c r="G20" i="100" s="1"/>
  <c r="J21" i="105"/>
  <c r="C20" i="104" s="1"/>
  <c r="J10" i="105"/>
  <c r="J43" i="105"/>
  <c r="E20" i="104" s="1"/>
  <c r="J43" i="97"/>
  <c r="E20" i="96" s="1"/>
  <c r="J10" i="113"/>
  <c r="B20" i="112" s="1"/>
  <c r="L21" i="113"/>
  <c r="C17" i="112" s="1"/>
  <c r="C19" i="112" s="1"/>
  <c r="J21" i="113"/>
  <c r="C20" i="112" s="1"/>
  <c r="J43" i="111"/>
  <c r="L87" i="109"/>
  <c r="I17" i="108" s="1"/>
  <c r="I22" i="108" s="1"/>
  <c r="J87" i="109"/>
  <c r="I20" i="108" s="1"/>
  <c r="L32" i="107"/>
  <c r="D17" i="106" s="1"/>
  <c r="J32" i="107"/>
  <c r="D20" i="106" s="1"/>
  <c r="L54" i="107"/>
  <c r="F17" i="106" s="1"/>
  <c r="J54" i="107"/>
  <c r="F20" i="106" s="1"/>
  <c r="L76" i="107"/>
  <c r="H17" i="106" s="1"/>
  <c r="H22" i="106" s="1"/>
  <c r="J76" i="107"/>
  <c r="H20" i="106" s="1"/>
  <c r="J10" i="107"/>
  <c r="B20" i="106" s="1"/>
  <c r="J32" i="105"/>
  <c r="D20" i="104" s="1"/>
  <c r="J76" i="105"/>
  <c r="H20" i="104" s="1"/>
  <c r="J65" i="105"/>
  <c r="J21" i="103"/>
  <c r="C20" i="102" s="1"/>
  <c r="J54" i="103"/>
  <c r="F20" i="102" s="1"/>
  <c r="J87" i="103"/>
  <c r="I20" i="102" s="1"/>
  <c r="J32" i="103"/>
  <c r="D20" i="102" s="1"/>
  <c r="J10" i="103"/>
  <c r="B20" i="102" s="1"/>
  <c r="J43" i="103"/>
  <c r="J76" i="103"/>
  <c r="H20" i="102" s="1"/>
  <c r="J54" i="101"/>
  <c r="F20" i="100" s="1"/>
  <c r="J87" i="101"/>
  <c r="I20" i="100" s="1"/>
  <c r="J10" i="99"/>
  <c r="B20" i="98" s="1"/>
  <c r="J43" i="99"/>
  <c r="E20" i="98" s="1"/>
  <c r="J87" i="99"/>
  <c r="J32" i="99"/>
  <c r="D20" i="98" s="1"/>
  <c r="J65" i="99"/>
  <c r="G20" i="98" s="1"/>
  <c r="J87" i="97"/>
  <c r="I20" i="96" s="1"/>
  <c r="J21" i="97"/>
  <c r="C20" i="96" s="1"/>
  <c r="J54" i="97"/>
  <c r="F20" i="96" s="1"/>
  <c r="AB26" i="59"/>
  <c r="AB48" i="59"/>
  <c r="AB40" i="59"/>
  <c r="AB14" i="59"/>
  <c r="AB36" i="59"/>
  <c r="AB68" i="59"/>
  <c r="AB71" i="59"/>
  <c r="AB92" i="59"/>
  <c r="AB12" i="59"/>
  <c r="AB42" i="59"/>
  <c r="AB22" i="59"/>
  <c r="AB49" i="59"/>
  <c r="AB66" i="59"/>
  <c r="AB85" i="59"/>
  <c r="AB59" i="59"/>
  <c r="AB80" i="59"/>
  <c r="AB50" i="59"/>
  <c r="AB58" i="59"/>
  <c r="AB30" i="59"/>
  <c r="AB55" i="59"/>
  <c r="AB69" i="59"/>
  <c r="AB86" i="59"/>
  <c r="AB37" i="59"/>
  <c r="AB44" i="59"/>
  <c r="AB18" i="59"/>
  <c r="AB57" i="59"/>
  <c r="AB72" i="59"/>
  <c r="AB94" i="59"/>
  <c r="AB16" i="59"/>
  <c r="AB27" i="59"/>
  <c r="AB64" i="59"/>
  <c r="AB62" i="59"/>
  <c r="AB95" i="59"/>
  <c r="J29" i="94"/>
  <c r="C29" i="2" s="1"/>
  <c r="C27" i="2"/>
  <c r="M27" i="2" s="1"/>
  <c r="M29" i="2" s="1"/>
  <c r="AB39" i="59"/>
  <c r="AB33" i="59"/>
  <c r="AB46" i="59"/>
  <c r="AB60" i="59"/>
  <c r="AB75" i="59"/>
  <c r="AB83" i="59"/>
  <c r="AB91" i="59"/>
  <c r="AB17" i="59"/>
  <c r="AB35" i="59"/>
  <c r="AB25" i="59"/>
  <c r="AB47" i="59"/>
  <c r="AB41" i="59"/>
  <c r="AB51" i="59"/>
  <c r="AB63" i="59"/>
  <c r="AB84" i="59"/>
  <c r="AB97" i="59"/>
  <c r="AB88" i="59"/>
  <c r="AB11" i="59"/>
  <c r="AB52" i="59"/>
  <c r="AB23" i="59"/>
  <c r="AB15" i="59"/>
  <c r="AB53" i="59"/>
  <c r="AB89" i="59"/>
  <c r="AB67" i="59"/>
  <c r="AB56" i="59"/>
  <c r="AB79" i="59"/>
  <c r="AB96" i="59"/>
  <c r="AD7" i="59"/>
  <c r="AC8" i="59"/>
  <c r="AC88" i="59" s="1"/>
  <c r="AB20" i="59"/>
  <c r="AB13" i="59"/>
  <c r="AB28" i="59"/>
  <c r="AB24" i="59"/>
  <c r="AB29" i="59"/>
  <c r="AB78" i="59"/>
  <c r="AB70" i="59"/>
  <c r="AB74" i="59"/>
  <c r="AB82" i="59"/>
  <c r="AB93" i="59"/>
  <c r="AB45" i="59"/>
  <c r="AB19" i="59"/>
  <c r="AB31" i="59"/>
  <c r="AB34" i="59"/>
  <c r="AB38" i="59"/>
  <c r="AB61" i="59"/>
  <c r="AB73" i="59"/>
  <c r="AB81" i="59"/>
  <c r="AB77" i="59"/>
  <c r="AB77" i="113"/>
  <c r="AB82" i="113"/>
  <c r="AB80" i="113"/>
  <c r="AB92" i="113"/>
  <c r="AB79" i="113"/>
  <c r="AB81" i="113"/>
  <c r="AB96" i="113"/>
  <c r="AC95" i="113"/>
  <c r="AC83" i="113"/>
  <c r="AC85" i="113"/>
  <c r="AC71" i="113"/>
  <c r="AC68" i="113"/>
  <c r="AC34" i="113"/>
  <c r="AC52" i="113"/>
  <c r="AC33" i="113"/>
  <c r="AC22" i="113"/>
  <c r="AC20" i="113"/>
  <c r="AD7" i="113"/>
  <c r="AC16" i="113"/>
  <c r="AC8" i="113"/>
  <c r="AC86" i="113" s="1"/>
  <c r="AB85" i="113"/>
  <c r="AB78" i="113"/>
  <c r="AB93" i="113"/>
  <c r="AB15" i="113"/>
  <c r="AB25" i="113"/>
  <c r="AB44" i="113"/>
  <c r="AB52" i="113"/>
  <c r="AB51" i="113"/>
  <c r="AB50" i="113"/>
  <c r="AB58" i="113"/>
  <c r="AB61" i="113"/>
  <c r="AB94" i="113"/>
  <c r="AB90" i="113"/>
  <c r="AB60" i="113"/>
  <c r="AB73" i="113"/>
  <c r="AB70" i="113"/>
  <c r="AB74" i="113"/>
  <c r="AB86" i="113"/>
  <c r="AB13" i="113"/>
  <c r="AB18" i="113"/>
  <c r="AB28" i="113"/>
  <c r="AB69" i="113"/>
  <c r="AB39" i="113"/>
  <c r="AB68" i="113"/>
  <c r="AB75" i="113"/>
  <c r="AB89" i="113"/>
  <c r="AB83" i="113"/>
  <c r="AC13" i="111"/>
  <c r="AC38" i="111"/>
  <c r="AC30" i="111"/>
  <c r="AC73" i="111"/>
  <c r="AC68" i="111"/>
  <c r="AC50" i="111"/>
  <c r="AC89" i="111"/>
  <c r="AC56" i="111"/>
  <c r="AC77" i="111"/>
  <c r="AC85" i="111"/>
  <c r="AC39" i="111"/>
  <c r="AC91" i="111"/>
  <c r="AC15" i="111"/>
  <c r="AC62" i="111"/>
  <c r="AC29" i="111"/>
  <c r="AC31" i="111"/>
  <c r="AC40" i="111"/>
  <c r="AC53" i="111"/>
  <c r="AC75" i="111"/>
  <c r="AC61" i="111"/>
  <c r="AC60" i="111"/>
  <c r="AC96" i="111"/>
  <c r="AC23" i="111"/>
  <c r="AC37" i="111"/>
  <c r="AC66" i="111"/>
  <c r="AC58" i="111"/>
  <c r="AC51" i="111"/>
  <c r="AC20" i="111"/>
  <c r="AC12" i="111"/>
  <c r="AC34" i="111"/>
  <c r="AC36" i="111"/>
  <c r="AC44" i="111"/>
  <c r="AC57" i="111"/>
  <c r="AC97" i="111"/>
  <c r="AC64" i="111"/>
  <c r="AC78" i="111"/>
  <c r="AC93" i="111"/>
  <c r="AC18" i="111"/>
  <c r="AC17" i="111"/>
  <c r="AC41" i="111"/>
  <c r="AC45" i="111"/>
  <c r="AC47" i="111"/>
  <c r="AC79" i="111"/>
  <c r="AC69" i="111"/>
  <c r="AC72" i="111"/>
  <c r="AC88" i="111"/>
  <c r="AC90" i="111"/>
  <c r="AC11" i="111"/>
  <c r="AC22" i="111"/>
  <c r="AC25" i="111"/>
  <c r="AC24" i="111"/>
  <c r="AC74" i="111"/>
  <c r="AC48" i="111"/>
  <c r="AC55" i="111"/>
  <c r="AC81" i="111"/>
  <c r="AC92" i="111"/>
  <c r="AC71" i="111"/>
  <c r="AC86" i="111"/>
  <c r="AD94" i="111"/>
  <c r="AD95" i="111"/>
  <c r="AD64" i="111"/>
  <c r="AD59" i="111"/>
  <c r="AD77" i="111"/>
  <c r="AD70" i="111"/>
  <c r="AD73" i="111"/>
  <c r="AD26" i="111"/>
  <c r="AD29" i="111"/>
  <c r="AD36" i="111"/>
  <c r="AD25" i="111"/>
  <c r="AD56" i="111"/>
  <c r="AD15" i="111"/>
  <c r="AD82" i="111"/>
  <c r="AD42" i="111"/>
  <c r="AD14" i="111"/>
  <c r="AD11" i="111"/>
  <c r="AE7" i="111"/>
  <c r="AD19" i="111"/>
  <c r="AD13" i="111"/>
  <c r="AD8" i="111"/>
  <c r="AD89" i="111" s="1"/>
  <c r="AD24" i="111"/>
  <c r="AD23" i="111"/>
  <c r="AD28" i="111"/>
  <c r="AC27" i="111"/>
  <c r="AC35" i="111"/>
  <c r="AC46" i="111"/>
  <c r="AC33" i="111"/>
  <c r="AC67" i="111"/>
  <c r="AC49" i="111"/>
  <c r="AC63" i="111"/>
  <c r="AC52" i="111"/>
  <c r="AC70" i="111"/>
  <c r="AC80" i="111"/>
  <c r="AB49" i="109"/>
  <c r="AB19" i="109"/>
  <c r="AB18" i="109"/>
  <c r="AB70" i="109"/>
  <c r="AB68" i="109"/>
  <c r="AB80" i="109"/>
  <c r="AB88" i="109"/>
  <c r="AB20" i="109"/>
  <c r="AB42" i="109"/>
  <c r="AB24" i="109"/>
  <c r="AB41" i="109"/>
  <c r="AB45" i="109"/>
  <c r="AB47" i="109"/>
  <c r="AB63" i="109"/>
  <c r="AB89" i="109"/>
  <c r="AB78" i="109"/>
  <c r="AB90" i="109"/>
  <c r="AB29" i="109"/>
  <c r="AB40" i="109"/>
  <c r="AB56" i="109"/>
  <c r="AB79" i="109"/>
  <c r="AB52" i="109"/>
  <c r="AB22" i="109"/>
  <c r="AB50" i="109"/>
  <c r="AB58" i="109"/>
  <c r="AB94" i="109"/>
  <c r="AB86" i="109"/>
  <c r="AB95" i="109"/>
  <c r="AC93" i="109"/>
  <c r="AC80" i="109"/>
  <c r="AC88" i="109"/>
  <c r="AC67" i="109"/>
  <c r="AC39" i="109"/>
  <c r="AC40" i="109"/>
  <c r="AC85" i="109"/>
  <c r="AC69" i="109"/>
  <c r="AC35" i="109"/>
  <c r="AC18" i="109"/>
  <c r="AC11" i="109"/>
  <c r="AC8" i="109"/>
  <c r="AC96" i="109" s="1"/>
  <c r="AC46" i="109"/>
  <c r="AC17" i="109"/>
  <c r="AC13" i="109"/>
  <c r="AD7" i="109"/>
  <c r="AB44" i="109"/>
  <c r="AB31" i="109"/>
  <c r="AB30" i="109"/>
  <c r="AB72" i="109"/>
  <c r="AB71" i="109"/>
  <c r="AB81" i="109"/>
  <c r="AB91" i="109"/>
  <c r="AC96" i="107"/>
  <c r="AC34" i="107"/>
  <c r="AC25" i="107"/>
  <c r="AC59" i="107"/>
  <c r="AC84" i="107"/>
  <c r="AC82" i="107"/>
  <c r="AC93" i="107"/>
  <c r="AC15" i="107"/>
  <c r="AC20" i="107"/>
  <c r="AC29" i="107"/>
  <c r="AC69" i="107"/>
  <c r="AC68" i="107"/>
  <c r="AC31" i="107"/>
  <c r="AC60" i="107"/>
  <c r="AC73" i="107"/>
  <c r="AC85" i="107"/>
  <c r="AC90" i="107"/>
  <c r="AC12" i="107"/>
  <c r="AC24" i="107"/>
  <c r="AC61" i="107"/>
  <c r="AC44" i="107"/>
  <c r="AC71" i="107"/>
  <c r="AC35" i="107"/>
  <c r="AC40" i="107"/>
  <c r="AC63" i="107"/>
  <c r="AC81" i="107"/>
  <c r="AC89" i="107"/>
  <c r="AC86" i="107"/>
  <c r="AC11" i="107"/>
  <c r="AC33" i="107"/>
  <c r="AC66" i="107"/>
  <c r="AC77" i="107"/>
  <c r="AC23" i="107"/>
  <c r="AD94" i="107"/>
  <c r="AD97" i="107"/>
  <c r="AD81" i="107"/>
  <c r="AD84" i="107"/>
  <c r="AD70" i="107"/>
  <c r="AD63" i="107"/>
  <c r="AD60" i="107"/>
  <c r="AD55" i="107"/>
  <c r="AD44" i="107"/>
  <c r="AD35" i="107"/>
  <c r="AD72" i="107"/>
  <c r="AD79" i="107"/>
  <c r="AD75" i="107"/>
  <c r="AD66" i="107"/>
  <c r="AD52" i="107"/>
  <c r="AD59" i="107"/>
  <c r="AD42" i="107"/>
  <c r="AD39" i="107"/>
  <c r="AD82" i="107"/>
  <c r="AD41" i="107"/>
  <c r="AD28" i="107"/>
  <c r="AD22" i="107"/>
  <c r="AD56" i="107"/>
  <c r="AD36" i="107"/>
  <c r="AD19" i="107"/>
  <c r="AD34" i="107"/>
  <c r="AD23" i="107"/>
  <c r="AD74" i="107"/>
  <c r="AD11" i="107"/>
  <c r="AD64" i="107"/>
  <c r="AD17" i="107"/>
  <c r="AD14" i="107"/>
  <c r="AE7" i="107"/>
  <c r="AD8" i="107"/>
  <c r="AD89" i="107" s="1"/>
  <c r="AD26" i="107"/>
  <c r="AD13" i="107"/>
  <c r="AD51" i="107"/>
  <c r="AD18" i="107"/>
  <c r="AD24" i="107"/>
  <c r="AD15" i="107"/>
  <c r="AC17" i="107"/>
  <c r="AC22" i="107"/>
  <c r="AC51" i="107"/>
  <c r="AC52" i="107"/>
  <c r="AC49" i="107"/>
  <c r="AC57" i="107"/>
  <c r="AC92" i="107"/>
  <c r="AC97" i="107"/>
  <c r="AC95" i="107"/>
  <c r="AC64" i="107"/>
  <c r="AC36" i="107"/>
  <c r="AC27" i="107"/>
  <c r="AC50" i="107"/>
  <c r="AC74" i="107"/>
  <c r="AC62" i="107"/>
  <c r="AC72" i="107"/>
  <c r="AC78" i="107"/>
  <c r="AC13" i="107"/>
  <c r="AC14" i="107"/>
  <c r="AC26" i="107"/>
  <c r="AC30" i="107"/>
  <c r="AC58" i="107"/>
  <c r="AC38" i="107"/>
  <c r="AC28" i="107"/>
  <c r="AC79" i="107"/>
  <c r="AC67" i="107"/>
  <c r="AC12" i="105"/>
  <c r="AC33" i="105"/>
  <c r="AD96" i="105"/>
  <c r="AD91" i="105"/>
  <c r="AD94" i="105"/>
  <c r="AD77" i="105"/>
  <c r="AD95" i="105"/>
  <c r="AD78" i="105"/>
  <c r="AD79" i="105"/>
  <c r="AD72" i="105"/>
  <c r="AD67" i="105"/>
  <c r="AD64" i="105"/>
  <c r="AD83" i="105"/>
  <c r="AD74" i="105"/>
  <c r="AD66" i="105"/>
  <c r="AD69" i="105"/>
  <c r="AD60" i="105"/>
  <c r="AD71" i="105"/>
  <c r="AD51" i="105"/>
  <c r="AD42" i="105"/>
  <c r="AD40" i="105"/>
  <c r="AD47" i="105"/>
  <c r="AD41" i="105"/>
  <c r="AD11" i="105"/>
  <c r="AD23" i="105"/>
  <c r="AD14" i="105"/>
  <c r="AE7" i="105"/>
  <c r="AD36" i="105"/>
  <c r="AD25" i="105"/>
  <c r="AD17" i="105"/>
  <c r="AD8" i="105"/>
  <c r="AD97" i="105" s="1"/>
  <c r="AD22" i="105"/>
  <c r="AD15" i="105"/>
  <c r="AD16" i="105"/>
  <c r="AD13" i="105"/>
  <c r="AC38" i="105"/>
  <c r="AC44" i="105"/>
  <c r="AC36" i="105"/>
  <c r="AC62" i="105"/>
  <c r="AC67" i="105"/>
  <c r="AC72" i="105"/>
  <c r="AC73" i="105"/>
  <c r="AC86" i="105"/>
  <c r="AC15" i="105"/>
  <c r="AC14" i="105"/>
  <c r="AC16" i="105"/>
  <c r="AC27" i="105"/>
  <c r="AC45" i="105"/>
  <c r="AC75" i="105"/>
  <c r="AC55" i="105"/>
  <c r="AC81" i="105"/>
  <c r="AC82" i="105"/>
  <c r="AC95" i="105"/>
  <c r="AC13" i="105"/>
  <c r="AC24" i="105"/>
  <c r="AC23" i="105"/>
  <c r="AC34" i="105"/>
  <c r="AC29" i="105"/>
  <c r="AC52" i="105"/>
  <c r="AC71" i="105"/>
  <c r="AC63" i="105"/>
  <c r="AC78" i="105"/>
  <c r="AC94" i="105"/>
  <c r="AC22" i="105"/>
  <c r="AC30" i="105"/>
  <c r="AC28" i="105"/>
  <c r="AC37" i="105"/>
  <c r="AC49" i="105"/>
  <c r="AC50" i="105"/>
  <c r="AC56" i="105"/>
  <c r="AC80" i="105"/>
  <c r="AC97" i="105"/>
  <c r="AD89" i="103"/>
  <c r="AD82" i="103"/>
  <c r="AD74" i="103"/>
  <c r="AD62" i="103"/>
  <c r="AD42" i="103"/>
  <c r="AD50" i="103"/>
  <c r="AD33" i="103"/>
  <c r="AD28" i="103"/>
  <c r="AD8" i="103"/>
  <c r="AD90" i="103" s="1"/>
  <c r="AD25" i="103"/>
  <c r="AD17" i="103"/>
  <c r="AE7" i="103"/>
  <c r="AD36" i="103"/>
  <c r="AD12" i="103"/>
  <c r="AC26" i="103"/>
  <c r="AC55" i="103"/>
  <c r="AC47" i="103"/>
  <c r="AC61" i="103"/>
  <c r="AC59" i="103"/>
  <c r="AC70" i="103"/>
  <c r="AC75" i="103"/>
  <c r="AC84" i="103"/>
  <c r="AC97" i="103"/>
  <c r="AC91" i="103"/>
  <c r="AC11" i="103"/>
  <c r="AC19" i="103"/>
  <c r="AC35" i="103"/>
  <c r="AC40" i="103"/>
  <c r="AC36" i="103"/>
  <c r="AC48" i="103"/>
  <c r="AC60" i="103"/>
  <c r="AC82" i="103"/>
  <c r="AC86" i="103"/>
  <c r="AC88" i="103"/>
  <c r="AC72" i="103"/>
  <c r="AC17" i="103"/>
  <c r="AC24" i="103"/>
  <c r="AC45" i="103"/>
  <c r="AC28" i="103"/>
  <c r="AC37" i="103"/>
  <c r="AC53" i="103"/>
  <c r="AC79" i="103"/>
  <c r="AC57" i="103"/>
  <c r="AC78" i="103"/>
  <c r="AC96" i="103"/>
  <c r="AC22" i="103"/>
  <c r="AC81" i="103"/>
  <c r="AC25" i="103"/>
  <c r="AC15" i="103"/>
  <c r="AC20" i="103"/>
  <c r="AC44" i="103"/>
  <c r="AC49" i="103"/>
  <c r="AC41" i="103"/>
  <c r="AC73" i="103"/>
  <c r="AC66" i="103"/>
  <c r="AC83" i="103"/>
  <c r="AC93" i="103"/>
  <c r="AC31" i="103"/>
  <c r="AC39" i="103"/>
  <c r="AC18" i="103"/>
  <c r="AC16" i="103"/>
  <c r="AC12" i="103"/>
  <c r="AC29" i="103"/>
  <c r="AC42" i="103"/>
  <c r="AC46" i="103"/>
  <c r="AC50" i="103"/>
  <c r="AC85" i="103"/>
  <c r="AC74" i="103"/>
  <c r="AC80" i="103"/>
  <c r="AC90" i="103"/>
  <c r="AC34" i="103"/>
  <c r="AC69" i="103"/>
  <c r="AC14" i="103"/>
  <c r="AC30" i="103"/>
  <c r="AC52" i="103"/>
  <c r="AC38" i="103"/>
  <c r="AC58" i="103"/>
  <c r="AC51" i="103"/>
  <c r="AC64" i="103"/>
  <c r="AC67" i="103"/>
  <c r="AC77" i="103"/>
  <c r="AC89" i="103"/>
  <c r="AC91" i="101"/>
  <c r="AC85" i="101"/>
  <c r="AC62" i="101"/>
  <c r="AC78" i="101"/>
  <c r="AC71" i="101"/>
  <c r="AC29" i="101"/>
  <c r="AC55" i="101"/>
  <c r="AC40" i="101"/>
  <c r="AC8" i="101"/>
  <c r="AC95" i="101" s="1"/>
  <c r="AD7" i="101"/>
  <c r="AC25" i="101"/>
  <c r="AC23" i="101"/>
  <c r="AC22" i="101"/>
  <c r="AC14" i="101"/>
  <c r="AB13" i="101"/>
  <c r="AB37" i="101"/>
  <c r="AB47" i="101"/>
  <c r="AB29" i="101"/>
  <c r="AB46" i="101"/>
  <c r="AB57" i="101"/>
  <c r="AB73" i="101"/>
  <c r="AB94" i="101"/>
  <c r="AB83" i="101"/>
  <c r="AB90" i="101"/>
  <c r="AB12" i="101"/>
  <c r="AB20" i="101"/>
  <c r="AB30" i="101"/>
  <c r="AB34" i="101"/>
  <c r="AB38" i="101"/>
  <c r="AB67" i="101"/>
  <c r="AB45" i="101"/>
  <c r="AB53" i="101"/>
  <c r="AB75" i="101"/>
  <c r="AB80" i="101"/>
  <c r="AB95" i="101"/>
  <c r="AB17" i="101"/>
  <c r="AB19" i="101"/>
  <c r="AB39" i="101"/>
  <c r="AB36" i="101"/>
  <c r="AB26" i="101"/>
  <c r="AB42" i="101"/>
  <c r="AB58" i="101"/>
  <c r="AB62" i="101"/>
  <c r="AB82" i="101"/>
  <c r="AB89" i="101"/>
  <c r="AB92" i="101"/>
  <c r="AB22" i="101"/>
  <c r="AB40" i="101"/>
  <c r="AB49" i="101"/>
  <c r="AB51" i="101"/>
  <c r="AB61" i="101"/>
  <c r="AB72" i="101"/>
  <c r="AB85" i="101"/>
  <c r="AB96" i="99"/>
  <c r="AB44" i="99"/>
  <c r="AB13" i="99"/>
  <c r="AB28" i="99"/>
  <c r="AB45" i="99"/>
  <c r="AB68" i="99"/>
  <c r="AB39" i="99"/>
  <c r="AB59" i="99"/>
  <c r="AB80" i="99"/>
  <c r="AB79" i="99"/>
  <c r="AB93" i="99"/>
  <c r="AB27" i="99"/>
  <c r="AB82" i="99"/>
  <c r="AB18" i="99"/>
  <c r="AB70" i="99"/>
  <c r="AB11" i="99"/>
  <c r="AB15" i="99"/>
  <c r="AB22" i="99"/>
  <c r="AB52" i="99"/>
  <c r="AB37" i="99"/>
  <c r="AB50" i="99"/>
  <c r="AB47" i="99"/>
  <c r="AB77" i="99"/>
  <c r="AB67" i="99"/>
  <c r="AB90" i="99"/>
  <c r="AB38" i="99"/>
  <c r="AB78" i="99"/>
  <c r="AB19" i="99"/>
  <c r="AB20" i="99"/>
  <c r="AB30" i="99"/>
  <c r="AB41" i="99"/>
  <c r="AB46" i="99"/>
  <c r="AB55" i="99"/>
  <c r="AB56" i="99"/>
  <c r="AB85" i="99"/>
  <c r="AB75" i="99"/>
  <c r="AB86" i="99"/>
  <c r="AB34" i="99"/>
  <c r="AB57" i="99"/>
  <c r="AC95" i="99"/>
  <c r="AC97" i="99"/>
  <c r="AC68" i="99"/>
  <c r="AC69" i="99"/>
  <c r="AC59" i="99"/>
  <c r="AC55" i="99"/>
  <c r="AC47" i="99"/>
  <c r="AC51" i="99"/>
  <c r="AC46" i="99"/>
  <c r="AC56" i="99"/>
  <c r="AC45" i="99"/>
  <c r="AC58" i="99"/>
  <c r="AC35" i="99"/>
  <c r="AC49" i="99"/>
  <c r="AC34" i="99"/>
  <c r="AC31" i="99"/>
  <c r="AC15" i="99"/>
  <c r="AC64" i="99"/>
  <c r="AC39" i="99"/>
  <c r="AC8" i="99"/>
  <c r="AC86" i="99" s="1"/>
  <c r="AC16" i="99"/>
  <c r="AC52" i="99"/>
  <c r="AC38" i="99"/>
  <c r="AD7" i="99"/>
  <c r="AC37" i="99"/>
  <c r="AC23" i="99"/>
  <c r="AC11" i="99"/>
  <c r="AC12" i="99"/>
  <c r="AB23" i="99"/>
  <c r="AB12" i="99"/>
  <c r="AB33" i="99"/>
  <c r="AB49" i="99"/>
  <c r="AB51" i="99"/>
  <c r="AB60" i="99"/>
  <c r="AB97" i="99"/>
  <c r="AB89" i="99"/>
  <c r="AB84" i="99"/>
  <c r="AB95" i="99"/>
  <c r="AB17" i="99"/>
  <c r="AB71" i="99"/>
  <c r="AB16" i="99"/>
  <c r="AB25" i="99"/>
  <c r="AB24" i="99"/>
  <c r="AB35" i="99"/>
  <c r="AB63" i="99"/>
  <c r="AB61" i="99"/>
  <c r="AB69" i="99"/>
  <c r="AB66" i="99"/>
  <c r="AB64" i="99"/>
  <c r="AB94" i="99"/>
  <c r="AB92" i="99"/>
  <c r="AB26" i="99"/>
  <c r="AB31" i="99"/>
  <c r="AB88" i="99"/>
  <c r="AB81" i="99"/>
  <c r="AB14" i="99"/>
  <c r="AB29" i="99"/>
  <c r="AB36" i="99"/>
  <c r="AB58" i="99"/>
  <c r="AB40" i="99"/>
  <c r="AB72" i="99"/>
  <c r="AB53" i="99"/>
  <c r="AB74" i="99"/>
  <c r="AB73" i="99"/>
  <c r="AB83" i="97"/>
  <c r="AB50" i="97"/>
  <c r="AB45" i="97"/>
  <c r="AB63" i="97"/>
  <c r="AB64" i="97"/>
  <c r="AB91" i="97"/>
  <c r="AC95" i="97"/>
  <c r="AC97" i="97"/>
  <c r="AC80" i="97"/>
  <c r="AC59" i="97"/>
  <c r="AC72" i="97"/>
  <c r="AC74" i="97"/>
  <c r="AC73" i="97"/>
  <c r="AC51" i="97"/>
  <c r="AC57" i="97"/>
  <c r="AC33" i="97"/>
  <c r="AC52" i="97"/>
  <c r="AC36" i="97"/>
  <c r="AC30" i="97"/>
  <c r="AC22" i="97"/>
  <c r="AC45" i="97"/>
  <c r="AC37" i="97"/>
  <c r="AC11" i="97"/>
  <c r="AC14" i="97"/>
  <c r="AC38" i="97"/>
  <c r="AC40" i="97"/>
  <c r="AC29" i="97"/>
  <c r="AC28" i="97"/>
  <c r="AC44" i="97"/>
  <c r="AC8" i="97"/>
  <c r="AC90" i="97" s="1"/>
  <c r="AC26" i="97"/>
  <c r="AD7" i="97"/>
  <c r="AB96" i="97"/>
  <c r="AB13" i="97"/>
  <c r="AB11" i="97"/>
  <c r="AB25" i="97"/>
  <c r="AB60" i="97"/>
  <c r="AB36" i="97"/>
  <c r="AB48" i="97"/>
  <c r="AB56" i="97"/>
  <c r="AB80" i="97"/>
  <c r="AB79" i="97"/>
  <c r="AB93" i="97"/>
  <c r="AB20" i="97"/>
  <c r="AB37" i="97"/>
  <c r="AB53" i="97"/>
  <c r="AB40" i="97"/>
  <c r="AB41" i="97"/>
  <c r="AB62" i="97"/>
  <c r="AB97" i="97"/>
  <c r="AB68" i="97"/>
  <c r="AB67" i="97"/>
  <c r="AB90" i="97"/>
  <c r="AB28" i="97"/>
  <c r="AB24" i="97"/>
  <c r="AB51" i="97"/>
  <c r="AB42" i="97"/>
  <c r="AB47" i="97"/>
  <c r="AB69" i="97"/>
  <c r="AB61" i="97"/>
  <c r="AB77" i="97"/>
  <c r="AB75" i="97"/>
  <c r="AB86" i="97"/>
  <c r="AB12" i="97"/>
  <c r="AB35" i="97"/>
  <c r="AB31" i="97"/>
  <c r="AB27" i="97"/>
  <c r="AB44" i="97"/>
  <c r="AB29" i="97"/>
  <c r="AB72" i="97"/>
  <c r="AB71" i="97"/>
  <c r="AB85" i="97"/>
  <c r="AB84" i="97"/>
  <c r="AB95" i="97"/>
  <c r="AD78" i="95"/>
  <c r="AD17" i="95"/>
  <c r="AD19" i="95"/>
  <c r="AF7" i="95"/>
  <c r="AE8" i="95"/>
  <c r="AE90" i="95" s="1"/>
  <c r="AD29" i="95"/>
  <c r="AD18" i="95"/>
  <c r="AD46" i="95"/>
  <c r="AD52" i="95"/>
  <c r="AD56" i="95"/>
  <c r="AD41" i="95"/>
  <c r="AD94" i="95"/>
  <c r="AD66" i="95"/>
  <c r="AD71" i="95"/>
  <c r="AD91" i="95"/>
  <c r="AD35" i="95"/>
  <c r="AD16" i="95"/>
  <c r="AD23" i="95"/>
  <c r="AD24" i="95"/>
  <c r="AD51" i="95"/>
  <c r="AD44" i="95"/>
  <c r="AD31" i="95"/>
  <c r="AD61" i="95"/>
  <c r="AD30" i="95"/>
  <c r="AD81" i="95"/>
  <c r="AD60" i="95"/>
  <c r="AD70" i="95"/>
  <c r="AD84" i="95"/>
  <c r="AD89" i="95"/>
  <c r="AD86" i="95"/>
  <c r="AD14" i="95"/>
  <c r="AD34" i="95"/>
  <c r="AD42" i="95"/>
  <c r="AD15" i="95"/>
  <c r="AD50" i="95"/>
  <c r="AD37" i="95"/>
  <c r="AD69" i="95"/>
  <c r="AD38" i="95"/>
  <c r="AD79" i="95"/>
  <c r="AD67" i="95"/>
  <c r="AD72" i="95"/>
  <c r="AD85" i="95"/>
  <c r="AD92" i="95"/>
  <c r="AD97" i="95"/>
  <c r="AD20" i="95"/>
  <c r="AD22" i="95"/>
  <c r="AD13" i="95"/>
  <c r="AD25" i="95"/>
  <c r="AD53" i="95"/>
  <c r="AD57" i="95"/>
  <c r="AD64" i="95"/>
  <c r="AD48" i="95"/>
  <c r="AD77" i="95"/>
  <c r="AD83" i="95"/>
  <c r="AD80" i="95"/>
  <c r="AD33" i="95"/>
  <c r="AD62" i="95"/>
  <c r="AD26" i="95"/>
  <c r="AD11" i="95"/>
  <c r="AD58" i="95"/>
  <c r="AD63" i="95"/>
  <c r="AD47" i="95"/>
  <c r="AD40" i="95"/>
  <c r="AD74" i="95"/>
  <c r="AD68" i="95"/>
  <c r="AD73" i="95"/>
  <c r="AD88" i="95"/>
  <c r="AD93" i="95"/>
  <c r="AD95" i="95"/>
  <c r="AD36" i="95"/>
  <c r="AD39" i="95"/>
  <c r="AD28" i="95"/>
  <c r="AD27" i="95"/>
  <c r="AD12" i="95"/>
  <c r="AD45" i="95"/>
  <c r="AD49" i="95"/>
  <c r="AD55" i="95"/>
  <c r="AD75" i="95"/>
  <c r="AD82" i="95"/>
  <c r="AD59" i="95"/>
  <c r="AD96" i="95"/>
  <c r="N10" i="111"/>
  <c r="B19" i="110"/>
  <c r="I19" i="106"/>
  <c r="N46" i="105"/>
  <c r="O46" i="105" s="1"/>
  <c r="N48" i="105"/>
  <c r="O48" i="105" s="1"/>
  <c r="N50" i="105"/>
  <c r="O50" i="105" s="1"/>
  <c r="N52" i="105"/>
  <c r="O52" i="105" s="1"/>
  <c r="N67" i="105"/>
  <c r="O67" i="105" s="1"/>
  <c r="N69" i="105"/>
  <c r="O69" i="105" s="1"/>
  <c r="N71" i="105"/>
  <c r="O71" i="105" s="1"/>
  <c r="N73" i="105"/>
  <c r="O73" i="105" s="1"/>
  <c r="N75" i="105"/>
  <c r="O75" i="105" s="1"/>
  <c r="N46" i="103"/>
  <c r="O46" i="103" s="1"/>
  <c r="N48" i="103"/>
  <c r="O48" i="103" s="1"/>
  <c r="N50" i="103"/>
  <c r="O50" i="103" s="1"/>
  <c r="N52" i="103"/>
  <c r="O52" i="103" s="1"/>
  <c r="N67" i="103"/>
  <c r="O67" i="103" s="1"/>
  <c r="N69" i="103"/>
  <c r="O69" i="103" s="1"/>
  <c r="N71" i="103"/>
  <c r="O71" i="103" s="1"/>
  <c r="N73" i="103"/>
  <c r="O73" i="103" s="1"/>
  <c r="N75" i="103"/>
  <c r="O75" i="103" s="1"/>
  <c r="N83" i="103"/>
  <c r="O83" i="103" s="1"/>
  <c r="M54" i="103"/>
  <c r="F18" i="102" s="1"/>
  <c r="M65" i="103"/>
  <c r="G18" i="102" s="1"/>
  <c r="M43" i="101"/>
  <c r="E18" i="100" s="1"/>
  <c r="M54" i="101"/>
  <c r="F18" i="100" s="1"/>
  <c r="K43" i="99"/>
  <c r="E21" i="98" s="1"/>
  <c r="M87" i="99"/>
  <c r="I18" i="98" s="1"/>
  <c r="N47" i="97"/>
  <c r="O47" i="97" s="1"/>
  <c r="N48" i="97"/>
  <c r="O48" i="97" s="1"/>
  <c r="N51" i="97"/>
  <c r="O51" i="97" s="1"/>
  <c r="N52" i="97"/>
  <c r="O52" i="97" s="1"/>
  <c r="K87" i="97"/>
  <c r="I21" i="96" s="1"/>
  <c r="M21" i="99"/>
  <c r="C18" i="98" s="1"/>
  <c r="M32" i="99"/>
  <c r="D18" i="98" s="1"/>
  <c r="M21" i="103"/>
  <c r="C18" i="102" s="1"/>
  <c r="K43" i="105"/>
  <c r="E21" i="104" s="1"/>
  <c r="J29" i="96"/>
  <c r="M21" i="101"/>
  <c r="C18" i="100" s="1"/>
  <c r="N67" i="101"/>
  <c r="O67" i="101" s="1"/>
  <c r="N71" i="101"/>
  <c r="O71" i="101" s="1"/>
  <c r="N75" i="101"/>
  <c r="O75" i="101" s="1"/>
  <c r="M32" i="103"/>
  <c r="D18" i="102" s="1"/>
  <c r="N90" i="103"/>
  <c r="O90" i="103" s="1"/>
  <c r="N92" i="103"/>
  <c r="O92" i="103" s="1"/>
  <c r="N94" i="103"/>
  <c r="O94" i="103" s="1"/>
  <c r="N96" i="103"/>
  <c r="O96" i="103" s="1"/>
  <c r="N45" i="99"/>
  <c r="O45" i="99" s="1"/>
  <c r="N48" i="99"/>
  <c r="O48" i="99" s="1"/>
  <c r="N49" i="99"/>
  <c r="O49" i="99" s="1"/>
  <c r="N52" i="99"/>
  <c r="O52" i="99" s="1"/>
  <c r="N53" i="99"/>
  <c r="O53" i="99" s="1"/>
  <c r="N55" i="99"/>
  <c r="O55" i="99" s="1"/>
  <c r="N58" i="99"/>
  <c r="O58" i="99" s="1"/>
  <c r="N59" i="99"/>
  <c r="O59" i="99" s="1"/>
  <c r="N62" i="99"/>
  <c r="O62" i="99" s="1"/>
  <c r="N63" i="99"/>
  <c r="O63" i="99" s="1"/>
  <c r="N68" i="99"/>
  <c r="O68" i="99" s="1"/>
  <c r="N69" i="99"/>
  <c r="O69" i="99" s="1"/>
  <c r="N72" i="99"/>
  <c r="O72" i="99" s="1"/>
  <c r="N73" i="99"/>
  <c r="O73" i="99" s="1"/>
  <c r="N84" i="99"/>
  <c r="O84" i="99" s="1"/>
  <c r="N90" i="99"/>
  <c r="O90" i="99" s="1"/>
  <c r="N94" i="99"/>
  <c r="O94" i="99" s="1"/>
  <c r="K87" i="101"/>
  <c r="I21" i="100" s="1"/>
  <c r="M87" i="105"/>
  <c r="I18" i="104" s="1"/>
  <c r="L43" i="111"/>
  <c r="E17" i="110" s="1"/>
  <c r="E22" i="110" s="1"/>
  <c r="M43" i="99"/>
  <c r="E18" i="98" s="1"/>
  <c r="M10" i="101"/>
  <c r="B18" i="100" s="1"/>
  <c r="I9" i="103"/>
  <c r="E22" i="108"/>
  <c r="B24" i="108"/>
  <c r="N13" i="99"/>
  <c r="O13" i="99" s="1"/>
  <c r="N15" i="99"/>
  <c r="O15" i="99" s="1"/>
  <c r="N17" i="99"/>
  <c r="O17" i="99" s="1"/>
  <c r="N19" i="99"/>
  <c r="O19" i="99" s="1"/>
  <c r="N24" i="99"/>
  <c r="O24" i="99" s="1"/>
  <c r="N28" i="99"/>
  <c r="O28" i="99" s="1"/>
  <c r="P9" i="101"/>
  <c r="K54" i="101"/>
  <c r="F21" i="100" s="1"/>
  <c r="K32" i="103"/>
  <c r="D21" i="102" s="1"/>
  <c r="M76" i="103"/>
  <c r="H18" i="102" s="1"/>
  <c r="P9" i="105"/>
  <c r="N70" i="97"/>
  <c r="O70" i="97" s="1"/>
  <c r="N74" i="97"/>
  <c r="O74" i="97" s="1"/>
  <c r="N90" i="97"/>
  <c r="O90" i="97" s="1"/>
  <c r="N94" i="97"/>
  <c r="O94" i="97" s="1"/>
  <c r="N96" i="97"/>
  <c r="O96" i="97" s="1"/>
  <c r="N39" i="99"/>
  <c r="O39" i="99" s="1"/>
  <c r="N14" i="101"/>
  <c r="O14" i="101" s="1"/>
  <c r="N18" i="101"/>
  <c r="O18" i="101" s="1"/>
  <c r="N29" i="101"/>
  <c r="O29" i="101" s="1"/>
  <c r="N81" i="101"/>
  <c r="O81" i="101" s="1"/>
  <c r="N85" i="101"/>
  <c r="O85" i="101" s="1"/>
  <c r="N88" i="101"/>
  <c r="O88" i="101" s="1"/>
  <c r="N92" i="101"/>
  <c r="O92" i="101" s="1"/>
  <c r="N96" i="101"/>
  <c r="O96" i="101" s="1"/>
  <c r="K76" i="103"/>
  <c r="H21" i="102" s="1"/>
  <c r="Q9" i="105"/>
  <c r="N14" i="105"/>
  <c r="O14" i="105" s="1"/>
  <c r="N18" i="105"/>
  <c r="O18" i="105" s="1"/>
  <c r="N25" i="105"/>
  <c r="O25" i="105" s="1"/>
  <c r="N27" i="105"/>
  <c r="O27" i="105" s="1"/>
  <c r="N29" i="105"/>
  <c r="O29" i="105" s="1"/>
  <c r="N31" i="105"/>
  <c r="O31" i="105" s="1"/>
  <c r="M32" i="101"/>
  <c r="D18" i="100" s="1"/>
  <c r="M76" i="101"/>
  <c r="H18" i="100" s="1"/>
  <c r="M76" i="105"/>
  <c r="N65" i="109"/>
  <c r="C22" i="112"/>
  <c r="K54" i="99"/>
  <c r="F21" i="98" s="1"/>
  <c r="K65" i="99"/>
  <c r="G21" i="98" s="1"/>
  <c r="K76" i="99"/>
  <c r="H21" i="98" s="1"/>
  <c r="K87" i="99"/>
  <c r="I21" i="98" s="1"/>
  <c r="K43" i="101"/>
  <c r="E21" i="100" s="1"/>
  <c r="N56" i="101"/>
  <c r="O56" i="101" s="1"/>
  <c r="N60" i="101"/>
  <c r="O60" i="101" s="1"/>
  <c r="N64" i="101"/>
  <c r="O64" i="101" s="1"/>
  <c r="M87" i="101"/>
  <c r="I18" i="100" s="1"/>
  <c r="K10" i="103"/>
  <c r="B21" i="102" s="1"/>
  <c r="K21" i="103"/>
  <c r="C21" i="102" s="1"/>
  <c r="N78" i="103"/>
  <c r="O78" i="103" s="1"/>
  <c r="N80" i="103"/>
  <c r="O80" i="103" s="1"/>
  <c r="N84" i="103"/>
  <c r="O84" i="103" s="1"/>
  <c r="N86" i="103"/>
  <c r="O86" i="103" s="1"/>
  <c r="Q9" i="99"/>
  <c r="N14" i="99"/>
  <c r="O14" i="99" s="1"/>
  <c r="N18" i="99"/>
  <c r="O18" i="99" s="1"/>
  <c r="N25" i="99"/>
  <c r="O25" i="99" s="1"/>
  <c r="N29" i="99"/>
  <c r="O29" i="99" s="1"/>
  <c r="M54" i="99"/>
  <c r="F18" i="98" s="1"/>
  <c r="M65" i="99"/>
  <c r="G18" i="98" s="1"/>
  <c r="B22" i="108"/>
  <c r="K32" i="99"/>
  <c r="D21" i="98" s="1"/>
  <c r="K43" i="97"/>
  <c r="E21" i="96" s="1"/>
  <c r="N67" i="97"/>
  <c r="O67" i="97" s="1"/>
  <c r="N71" i="97"/>
  <c r="O71" i="97" s="1"/>
  <c r="N75" i="97"/>
  <c r="O75" i="97" s="1"/>
  <c r="N91" i="97"/>
  <c r="O91" i="97" s="1"/>
  <c r="N95" i="97"/>
  <c r="O95" i="97" s="1"/>
  <c r="K10" i="99"/>
  <c r="B21" i="98" s="1"/>
  <c r="N34" i="99"/>
  <c r="O34" i="99" s="1"/>
  <c r="N38" i="99"/>
  <c r="O38" i="99" s="1"/>
  <c r="N42" i="99"/>
  <c r="O42" i="99" s="1"/>
  <c r="N35" i="101"/>
  <c r="O35" i="101" s="1"/>
  <c r="N39" i="101"/>
  <c r="O39" i="101" s="1"/>
  <c r="P9" i="103"/>
  <c r="V9" i="103" s="1"/>
  <c r="N55" i="103"/>
  <c r="O55" i="103" s="1"/>
  <c r="N59" i="103"/>
  <c r="O59" i="103" s="1"/>
  <c r="N61" i="103"/>
  <c r="O61" i="103" s="1"/>
  <c r="N63" i="103"/>
  <c r="O63" i="103" s="1"/>
  <c r="N82" i="105"/>
  <c r="O82" i="105" s="1"/>
  <c r="N84" i="105"/>
  <c r="O84" i="105" s="1"/>
  <c r="N86" i="105"/>
  <c r="O86" i="105" s="1"/>
  <c r="Q9" i="95"/>
  <c r="M76" i="95"/>
  <c r="H18" i="94" s="1"/>
  <c r="M21" i="95"/>
  <c r="C18" i="94" s="1"/>
  <c r="K65" i="95"/>
  <c r="G21" i="94" s="1"/>
  <c r="K76" i="95"/>
  <c r="H21" i="94" s="1"/>
  <c r="Y54" i="95"/>
  <c r="Y76" i="95"/>
  <c r="Y87" i="95"/>
  <c r="K87" i="95"/>
  <c r="I21" i="94" s="1"/>
  <c r="Y10" i="95"/>
  <c r="Y21" i="95"/>
  <c r="Y32" i="95"/>
  <c r="Y43" i="95"/>
  <c r="M87" i="95"/>
  <c r="I18" i="94" s="1"/>
  <c r="N35" i="95"/>
  <c r="O35" i="95" s="1"/>
  <c r="N36" i="95"/>
  <c r="O36" i="95" s="1"/>
  <c r="N39" i="95"/>
  <c r="O39" i="95" s="1"/>
  <c r="N40" i="95"/>
  <c r="O40" i="95" s="1"/>
  <c r="N58" i="95"/>
  <c r="O58" i="95" s="1"/>
  <c r="N59" i="95"/>
  <c r="O59" i="95" s="1"/>
  <c r="N62" i="95"/>
  <c r="O62" i="95" s="1"/>
  <c r="N63" i="95"/>
  <c r="O63" i="95" s="1"/>
  <c r="K21" i="95"/>
  <c r="C21" i="94" s="1"/>
  <c r="K32" i="95"/>
  <c r="D21" i="94" s="1"/>
  <c r="K43" i="95"/>
  <c r="E21" i="94" s="1"/>
  <c r="K54" i="95"/>
  <c r="F21" i="94" s="1"/>
  <c r="N78" i="95"/>
  <c r="O78" i="95" s="1"/>
  <c r="N81" i="95"/>
  <c r="O81" i="95" s="1"/>
  <c r="N82" i="95"/>
  <c r="O82" i="95" s="1"/>
  <c r="N85" i="95"/>
  <c r="O85" i="95" s="1"/>
  <c r="N86" i="95"/>
  <c r="O86" i="95" s="1"/>
  <c r="N91" i="95"/>
  <c r="O91" i="95" s="1"/>
  <c r="N92" i="95"/>
  <c r="O92" i="95" s="1"/>
  <c r="N95" i="95"/>
  <c r="O95" i="95" s="1"/>
  <c r="N96" i="95"/>
  <c r="O96" i="95" s="1"/>
  <c r="I9" i="95"/>
  <c r="L10" i="113"/>
  <c r="B17" i="112" s="1"/>
  <c r="N11" i="113"/>
  <c r="O11" i="113" s="1"/>
  <c r="B25" i="112" s="1"/>
  <c r="B25" i="110"/>
  <c r="F25" i="110"/>
  <c r="J23" i="112"/>
  <c r="L23" i="2" s="1"/>
  <c r="D26" i="112"/>
  <c r="I26" i="112"/>
  <c r="F25" i="112"/>
  <c r="N54" i="111"/>
  <c r="F17" i="112"/>
  <c r="F22" i="112" s="1"/>
  <c r="D24" i="112"/>
  <c r="D25" i="112"/>
  <c r="N81" i="103"/>
  <c r="O81" i="103" s="1"/>
  <c r="N87" i="113"/>
  <c r="I22" i="106"/>
  <c r="B24" i="110"/>
  <c r="B26" i="108"/>
  <c r="I25" i="112"/>
  <c r="H25" i="112"/>
  <c r="F24" i="112"/>
  <c r="B25" i="108"/>
  <c r="I19" i="112"/>
  <c r="N43" i="113"/>
  <c r="J23" i="110"/>
  <c r="K23" i="2" s="1"/>
  <c r="F26" i="112"/>
  <c r="I24" i="112"/>
  <c r="N87" i="107"/>
  <c r="N11" i="107"/>
  <c r="O11" i="107" s="1"/>
  <c r="B24" i="106" s="1"/>
  <c r="F26" i="110"/>
  <c r="B26" i="110"/>
  <c r="N23" i="99"/>
  <c r="O23" i="99" s="1"/>
  <c r="N27" i="99"/>
  <c r="O27" i="99" s="1"/>
  <c r="N31" i="99"/>
  <c r="O31" i="99" s="1"/>
  <c r="N33" i="99"/>
  <c r="O33" i="99" s="1"/>
  <c r="N37" i="99"/>
  <c r="O37" i="99" s="1"/>
  <c r="N41" i="99"/>
  <c r="O41" i="99" s="1"/>
  <c r="N47" i="99"/>
  <c r="O47" i="99" s="1"/>
  <c r="N51" i="99"/>
  <c r="O51" i="99" s="1"/>
  <c r="N57" i="99"/>
  <c r="O57" i="99" s="1"/>
  <c r="N61" i="99"/>
  <c r="O61" i="99" s="1"/>
  <c r="N67" i="99"/>
  <c r="O67" i="99" s="1"/>
  <c r="N71" i="99"/>
  <c r="O71" i="99" s="1"/>
  <c r="N75" i="99"/>
  <c r="O75" i="99" s="1"/>
  <c r="M76" i="99"/>
  <c r="H18" i="98" s="1"/>
  <c r="M54" i="95"/>
  <c r="F18" i="94" s="1"/>
  <c r="V9" i="97"/>
  <c r="P9" i="99"/>
  <c r="M32" i="95"/>
  <c r="D18" i="94" s="1"/>
  <c r="N33" i="95"/>
  <c r="O33" i="95" s="1"/>
  <c r="N37" i="95"/>
  <c r="O37" i="95" s="1"/>
  <c r="N41" i="95"/>
  <c r="O41" i="95" s="1"/>
  <c r="N56" i="95"/>
  <c r="O56" i="95" s="1"/>
  <c r="N60" i="95"/>
  <c r="O60" i="95" s="1"/>
  <c r="N64" i="95"/>
  <c r="O64" i="95" s="1"/>
  <c r="N79" i="95"/>
  <c r="O79" i="95" s="1"/>
  <c r="N83" i="95"/>
  <c r="O83" i="95" s="1"/>
  <c r="N93" i="95"/>
  <c r="O93" i="95" s="1"/>
  <c r="N97" i="95"/>
  <c r="O97" i="95" s="1"/>
  <c r="N45" i="97"/>
  <c r="O45" i="97" s="1"/>
  <c r="N49" i="97"/>
  <c r="O49" i="97" s="1"/>
  <c r="N53" i="97"/>
  <c r="O53" i="97" s="1"/>
  <c r="N68" i="97"/>
  <c r="O68" i="97" s="1"/>
  <c r="N72" i="97"/>
  <c r="O72" i="97" s="1"/>
  <c r="M87" i="97"/>
  <c r="N92" i="97"/>
  <c r="O92" i="97" s="1"/>
  <c r="M10" i="99"/>
  <c r="P9" i="95"/>
  <c r="K10" i="95"/>
  <c r="B21" i="94" s="1"/>
  <c r="N34" i="95"/>
  <c r="O34" i="95" s="1"/>
  <c r="N38" i="95"/>
  <c r="O38" i="95" s="1"/>
  <c r="N42" i="95"/>
  <c r="O42" i="95" s="1"/>
  <c r="N57" i="95"/>
  <c r="O57" i="95" s="1"/>
  <c r="N61" i="95"/>
  <c r="O61" i="95" s="1"/>
  <c r="Y65" i="95"/>
  <c r="N80" i="95"/>
  <c r="O80" i="95" s="1"/>
  <c r="N84" i="95"/>
  <c r="O84" i="95" s="1"/>
  <c r="N90" i="95"/>
  <c r="O90" i="95" s="1"/>
  <c r="N94" i="95"/>
  <c r="O94" i="95" s="1"/>
  <c r="N46" i="97"/>
  <c r="O46" i="97" s="1"/>
  <c r="N50" i="97"/>
  <c r="O50" i="97" s="1"/>
  <c r="N69" i="97"/>
  <c r="O69" i="97" s="1"/>
  <c r="N73" i="97"/>
  <c r="O73" i="97" s="1"/>
  <c r="K76" i="97"/>
  <c r="H21" i="96" s="1"/>
  <c r="N89" i="97"/>
  <c r="O89" i="97" s="1"/>
  <c r="N93" i="97"/>
  <c r="O93" i="97" s="1"/>
  <c r="N97" i="97"/>
  <c r="O97" i="97" s="1"/>
  <c r="J29" i="98"/>
  <c r="N12" i="99"/>
  <c r="O12" i="99" s="1"/>
  <c r="N16" i="99"/>
  <c r="O16" i="99" s="1"/>
  <c r="N20" i="99"/>
  <c r="O20" i="99" s="1"/>
  <c r="N26" i="99"/>
  <c r="O26" i="99" s="1"/>
  <c r="N30" i="99"/>
  <c r="O30" i="99" s="1"/>
  <c r="N36" i="99"/>
  <c r="O36" i="99" s="1"/>
  <c r="N40" i="99"/>
  <c r="O40" i="99" s="1"/>
  <c r="N46" i="99"/>
  <c r="O46" i="99" s="1"/>
  <c r="N50" i="99"/>
  <c r="O50" i="99" s="1"/>
  <c r="N60" i="99"/>
  <c r="O60" i="99" s="1"/>
  <c r="N64" i="99"/>
  <c r="O64" i="99" s="1"/>
  <c r="N70" i="99"/>
  <c r="O70" i="99" s="1"/>
  <c r="N74" i="99"/>
  <c r="O74" i="99" s="1"/>
  <c r="N35" i="103"/>
  <c r="O35" i="103" s="1"/>
  <c r="N39" i="103"/>
  <c r="O39" i="103" s="1"/>
  <c r="N45" i="103"/>
  <c r="O45" i="103" s="1"/>
  <c r="N49" i="103"/>
  <c r="O49" i="103" s="1"/>
  <c r="N53" i="103"/>
  <c r="O53" i="103" s="1"/>
  <c r="N56" i="103"/>
  <c r="O56" i="103" s="1"/>
  <c r="N60" i="103"/>
  <c r="O60" i="103" s="1"/>
  <c r="N64" i="103"/>
  <c r="O64" i="103" s="1"/>
  <c r="N70" i="103"/>
  <c r="O70" i="103" s="1"/>
  <c r="N74" i="103"/>
  <c r="O74" i="103" s="1"/>
  <c r="N77" i="103"/>
  <c r="O77" i="103" s="1"/>
  <c r="N89" i="103"/>
  <c r="O89" i="103" s="1"/>
  <c r="N93" i="103"/>
  <c r="O93" i="103" s="1"/>
  <c r="N97" i="103"/>
  <c r="O97" i="103" s="1"/>
  <c r="M21" i="105"/>
  <c r="N24" i="105"/>
  <c r="O24" i="105" s="1"/>
  <c r="N28" i="105"/>
  <c r="O28" i="105" s="1"/>
  <c r="N47" i="105"/>
  <c r="O47" i="105" s="1"/>
  <c r="N51" i="105"/>
  <c r="O51" i="105" s="1"/>
  <c r="N70" i="105"/>
  <c r="O70" i="105" s="1"/>
  <c r="N74" i="105"/>
  <c r="O74" i="105" s="1"/>
  <c r="N81" i="105"/>
  <c r="O81" i="105" s="1"/>
  <c r="N85" i="105"/>
  <c r="O85" i="105" s="1"/>
  <c r="N90" i="105"/>
  <c r="O90" i="105" s="1"/>
  <c r="N94" i="105"/>
  <c r="O94" i="105" s="1"/>
  <c r="N10" i="109"/>
  <c r="N87" i="111"/>
  <c r="I22" i="112"/>
  <c r="N76" i="113"/>
  <c r="H17" i="112"/>
  <c r="N81" i="99"/>
  <c r="O81" i="99" s="1"/>
  <c r="N85" i="99"/>
  <c r="O85" i="99" s="1"/>
  <c r="N91" i="99"/>
  <c r="O91" i="99" s="1"/>
  <c r="N95" i="99"/>
  <c r="O95" i="99" s="1"/>
  <c r="N15" i="101"/>
  <c r="O15" i="101" s="1"/>
  <c r="N19" i="101"/>
  <c r="O19" i="101" s="1"/>
  <c r="Q9" i="101"/>
  <c r="N22" i="101"/>
  <c r="O22" i="101" s="1"/>
  <c r="N26" i="101"/>
  <c r="O26" i="101" s="1"/>
  <c r="N30" i="101"/>
  <c r="O30" i="101" s="1"/>
  <c r="N36" i="101"/>
  <c r="O36" i="101" s="1"/>
  <c r="N40" i="101"/>
  <c r="O40" i="101" s="1"/>
  <c r="N47" i="101"/>
  <c r="O47" i="101" s="1"/>
  <c r="N51" i="101"/>
  <c r="O51" i="101" s="1"/>
  <c r="N57" i="101"/>
  <c r="O57" i="101" s="1"/>
  <c r="N61" i="101"/>
  <c r="O61" i="101" s="1"/>
  <c r="N68" i="101"/>
  <c r="O68" i="101" s="1"/>
  <c r="N72" i="101"/>
  <c r="O72" i="101" s="1"/>
  <c r="N82" i="101"/>
  <c r="O82" i="101" s="1"/>
  <c r="N86" i="101"/>
  <c r="O86" i="101" s="1"/>
  <c r="N89" i="101"/>
  <c r="O89" i="101" s="1"/>
  <c r="N93" i="101"/>
  <c r="O93" i="101" s="1"/>
  <c r="N97" i="101"/>
  <c r="O97" i="101" s="1"/>
  <c r="N15" i="103"/>
  <c r="O15" i="103" s="1"/>
  <c r="N19" i="103"/>
  <c r="O19" i="103" s="1"/>
  <c r="N25" i="103"/>
  <c r="O25" i="103" s="1"/>
  <c r="N29" i="103"/>
  <c r="O29" i="103" s="1"/>
  <c r="C24" i="106"/>
  <c r="N78" i="99"/>
  <c r="O78" i="99" s="1"/>
  <c r="N82" i="99"/>
  <c r="O82" i="99" s="1"/>
  <c r="N86" i="99"/>
  <c r="O86" i="99" s="1"/>
  <c r="N88" i="99"/>
  <c r="O88" i="99" s="1"/>
  <c r="N92" i="99"/>
  <c r="O92" i="99" s="1"/>
  <c r="N96" i="99"/>
  <c r="O96" i="99" s="1"/>
  <c r="I9" i="101"/>
  <c r="N12" i="101"/>
  <c r="O12" i="101" s="1"/>
  <c r="N16" i="101"/>
  <c r="O16" i="101" s="1"/>
  <c r="N20" i="101"/>
  <c r="O20" i="101" s="1"/>
  <c r="K21" i="101"/>
  <c r="C21" i="100" s="1"/>
  <c r="N23" i="101"/>
  <c r="O23" i="101" s="1"/>
  <c r="N27" i="101"/>
  <c r="O27" i="101" s="1"/>
  <c r="N31" i="101"/>
  <c r="O31" i="101" s="1"/>
  <c r="N37" i="101"/>
  <c r="O37" i="101" s="1"/>
  <c r="N41" i="101"/>
  <c r="O41" i="101" s="1"/>
  <c r="N48" i="101"/>
  <c r="O48" i="101" s="1"/>
  <c r="N52" i="101"/>
  <c r="O52" i="101" s="1"/>
  <c r="N58" i="101"/>
  <c r="O58" i="101" s="1"/>
  <c r="N62" i="101"/>
  <c r="O62" i="101" s="1"/>
  <c r="N69" i="101"/>
  <c r="O69" i="101" s="1"/>
  <c r="N73" i="101"/>
  <c r="O73" i="101" s="1"/>
  <c r="N79" i="101"/>
  <c r="O79" i="101" s="1"/>
  <c r="N83" i="101"/>
  <c r="O83" i="101" s="1"/>
  <c r="N94" i="101"/>
  <c r="O94" i="101" s="1"/>
  <c r="M10" i="103"/>
  <c r="N12" i="103"/>
  <c r="O12" i="103" s="1"/>
  <c r="N16" i="103"/>
  <c r="O16" i="103" s="1"/>
  <c r="N20" i="103"/>
  <c r="O20" i="103" s="1"/>
  <c r="N26" i="103"/>
  <c r="O26" i="103" s="1"/>
  <c r="N30" i="103"/>
  <c r="O30" i="103" s="1"/>
  <c r="N33" i="103"/>
  <c r="O33" i="103" s="1"/>
  <c r="N37" i="103"/>
  <c r="O37" i="103" s="1"/>
  <c r="N41" i="103"/>
  <c r="O41" i="103" s="1"/>
  <c r="N47" i="103"/>
  <c r="O47" i="103" s="1"/>
  <c r="N51" i="103"/>
  <c r="O51" i="103" s="1"/>
  <c r="N58" i="103"/>
  <c r="O58" i="103" s="1"/>
  <c r="N62" i="103"/>
  <c r="O62" i="103" s="1"/>
  <c r="N68" i="103"/>
  <c r="O68" i="103" s="1"/>
  <c r="N72" i="103"/>
  <c r="O72" i="103" s="1"/>
  <c r="N79" i="103"/>
  <c r="O79" i="103" s="1"/>
  <c r="N82" i="103"/>
  <c r="O82" i="103" s="1"/>
  <c r="N85" i="103"/>
  <c r="O85" i="103" s="1"/>
  <c r="N91" i="103"/>
  <c r="O91" i="103" s="1"/>
  <c r="N95" i="103"/>
  <c r="O95" i="103" s="1"/>
  <c r="N13" i="105"/>
  <c r="O13" i="105" s="1"/>
  <c r="N17" i="105"/>
  <c r="O17" i="105" s="1"/>
  <c r="N26" i="105"/>
  <c r="O26" i="105" s="1"/>
  <c r="N30" i="105"/>
  <c r="O30" i="105" s="1"/>
  <c r="N45" i="105"/>
  <c r="O45" i="105" s="1"/>
  <c r="N49" i="105"/>
  <c r="O49" i="105" s="1"/>
  <c r="N53" i="105"/>
  <c r="O53" i="105" s="1"/>
  <c r="N68" i="105"/>
  <c r="O68" i="105" s="1"/>
  <c r="N72" i="105"/>
  <c r="O72" i="105" s="1"/>
  <c r="N83" i="105"/>
  <c r="O83" i="105" s="1"/>
  <c r="N92" i="105"/>
  <c r="O92" i="105" s="1"/>
  <c r="N96" i="105"/>
  <c r="O96" i="105" s="1"/>
  <c r="G25" i="106"/>
  <c r="J21" i="110"/>
  <c r="K21" i="2" s="1"/>
  <c r="K18" i="2"/>
  <c r="K31" i="2" s="1"/>
  <c r="H26" i="112"/>
  <c r="H24" i="112"/>
  <c r="N79" i="99"/>
  <c r="O79" i="99" s="1"/>
  <c r="N83" i="99"/>
  <c r="O83" i="99" s="1"/>
  <c r="N89" i="99"/>
  <c r="O89" i="99" s="1"/>
  <c r="N93" i="99"/>
  <c r="O93" i="99" s="1"/>
  <c r="N97" i="99"/>
  <c r="O97" i="99" s="1"/>
  <c r="N13" i="101"/>
  <c r="O13" i="101" s="1"/>
  <c r="N17" i="101"/>
  <c r="O17" i="101" s="1"/>
  <c r="N28" i="101"/>
  <c r="O28" i="101" s="1"/>
  <c r="N34" i="101"/>
  <c r="O34" i="101" s="1"/>
  <c r="N38" i="101"/>
  <c r="O38" i="101" s="1"/>
  <c r="N42" i="101"/>
  <c r="O42" i="101" s="1"/>
  <c r="N45" i="101"/>
  <c r="O45" i="101" s="1"/>
  <c r="N49" i="101"/>
  <c r="O49" i="101" s="1"/>
  <c r="N53" i="101"/>
  <c r="O53" i="101" s="1"/>
  <c r="N59" i="101"/>
  <c r="O59" i="101" s="1"/>
  <c r="N63" i="101"/>
  <c r="O63" i="101" s="1"/>
  <c r="N70" i="101"/>
  <c r="O70" i="101" s="1"/>
  <c r="N74" i="101"/>
  <c r="O74" i="101" s="1"/>
  <c r="N80" i="101"/>
  <c r="O80" i="101" s="1"/>
  <c r="N84" i="101"/>
  <c r="O84" i="101" s="1"/>
  <c r="N91" i="101"/>
  <c r="O91" i="101" s="1"/>
  <c r="N95" i="101"/>
  <c r="O95" i="101" s="1"/>
  <c r="N13" i="103"/>
  <c r="O13" i="103" s="1"/>
  <c r="N17" i="103"/>
  <c r="O17" i="103" s="1"/>
  <c r="N27" i="103"/>
  <c r="O27" i="103" s="1"/>
  <c r="N31" i="103"/>
  <c r="O31" i="103" s="1"/>
  <c r="N32" i="113"/>
  <c r="D17" i="112"/>
  <c r="E26" i="112"/>
  <c r="E25" i="112"/>
  <c r="E24" i="112"/>
  <c r="C25" i="106"/>
  <c r="F24" i="110"/>
  <c r="N65" i="111"/>
  <c r="E22" i="112"/>
  <c r="E19" i="112"/>
  <c r="N77" i="111"/>
  <c r="O77" i="111" s="1"/>
  <c r="H20" i="110"/>
  <c r="L76" i="111"/>
  <c r="N22" i="113"/>
  <c r="O22" i="113" s="1"/>
  <c r="L32" i="111"/>
  <c r="N33" i="111"/>
  <c r="O33" i="111" s="1"/>
  <c r="D20" i="110"/>
  <c r="G19" i="112"/>
  <c r="N65" i="113"/>
  <c r="L10" i="107"/>
  <c r="C26" i="106"/>
  <c r="G24" i="112"/>
  <c r="G25" i="112"/>
  <c r="G26" i="112"/>
  <c r="I23" i="104"/>
  <c r="B18" i="112"/>
  <c r="E20" i="110"/>
  <c r="N11" i="105"/>
  <c r="O11" i="105" s="1"/>
  <c r="N15" i="105"/>
  <c r="O15" i="105" s="1"/>
  <c r="N19" i="105"/>
  <c r="O19" i="105" s="1"/>
  <c r="F23" i="104"/>
  <c r="C24" i="108"/>
  <c r="C25" i="108"/>
  <c r="C26" i="108"/>
  <c r="F19" i="110"/>
  <c r="F22" i="110"/>
  <c r="N21" i="111"/>
  <c r="I26" i="110"/>
  <c r="I25" i="110"/>
  <c r="I24" i="110"/>
  <c r="E23" i="100"/>
  <c r="G26" i="106"/>
  <c r="I24" i="106"/>
  <c r="B22" i="110"/>
  <c r="J23" i="108"/>
  <c r="J23" i="2" s="1"/>
  <c r="C24" i="110"/>
  <c r="C26" i="110"/>
  <c r="C25" i="110"/>
  <c r="N88" i="109"/>
  <c r="O88" i="109" s="1"/>
  <c r="I26" i="108" s="1"/>
  <c r="E25" i="106"/>
  <c r="G24" i="106"/>
  <c r="I22" i="110"/>
  <c r="I19" i="110"/>
  <c r="E26" i="110"/>
  <c r="E25" i="110"/>
  <c r="E24" i="110"/>
  <c r="G24" i="110"/>
  <c r="G26" i="110"/>
  <c r="G25" i="110"/>
  <c r="G19" i="110"/>
  <c r="C19" i="110"/>
  <c r="E26" i="108"/>
  <c r="E25" i="108"/>
  <c r="E24" i="108"/>
  <c r="L46" i="101"/>
  <c r="N46" i="101" s="1"/>
  <c r="O46" i="101" s="1"/>
  <c r="N12" i="105"/>
  <c r="O12" i="105" s="1"/>
  <c r="N16" i="105"/>
  <c r="O16" i="105" s="1"/>
  <c r="L55" i="105"/>
  <c r="N59" i="105"/>
  <c r="O59" i="105" s="1"/>
  <c r="N61" i="105"/>
  <c r="O61" i="105" s="1"/>
  <c r="N79" i="105"/>
  <c r="O79" i="105" s="1"/>
  <c r="E24" i="106"/>
  <c r="F22" i="108"/>
  <c r="F19" i="108"/>
  <c r="I25" i="106"/>
  <c r="N35" i="105"/>
  <c r="O35" i="105" s="1"/>
  <c r="N37" i="105"/>
  <c r="O37" i="105" s="1"/>
  <c r="N56" i="105"/>
  <c r="O56" i="105" s="1"/>
  <c r="H19" i="108"/>
  <c r="H22" i="108"/>
  <c r="H24" i="108"/>
  <c r="H26" i="108"/>
  <c r="H25" i="108"/>
  <c r="G23" i="102"/>
  <c r="E23" i="104"/>
  <c r="N38" i="105"/>
  <c r="O38" i="105" s="1"/>
  <c r="N40" i="105"/>
  <c r="O40" i="105" s="1"/>
  <c r="N64" i="105"/>
  <c r="O64" i="105" s="1"/>
  <c r="L88" i="105"/>
  <c r="I26" i="106"/>
  <c r="E26" i="106"/>
  <c r="D19" i="108"/>
  <c r="D22" i="108"/>
  <c r="N43" i="109"/>
  <c r="N32" i="109"/>
  <c r="B19" i="108"/>
  <c r="E19" i="108"/>
  <c r="N22" i="105"/>
  <c r="O22" i="105" s="1"/>
  <c r="N58" i="105"/>
  <c r="O58" i="105" s="1"/>
  <c r="N78" i="105"/>
  <c r="O78" i="105" s="1"/>
  <c r="N21" i="109"/>
  <c r="C18" i="108"/>
  <c r="F26" i="108"/>
  <c r="F25" i="108"/>
  <c r="F24" i="108"/>
  <c r="D24" i="108"/>
  <c r="D26" i="108"/>
  <c r="D25" i="108"/>
  <c r="N54" i="109"/>
  <c r="G25" i="108"/>
  <c r="G24" i="108"/>
  <c r="G26" i="108"/>
  <c r="N76" i="109"/>
  <c r="G19" i="108"/>
  <c r="L76" i="105"/>
  <c r="H17" i="104" s="1"/>
  <c r="L32" i="105"/>
  <c r="D17" i="104" s="1"/>
  <c r="F23" i="98"/>
  <c r="C23" i="102"/>
  <c r="D23" i="104"/>
  <c r="H23" i="104"/>
  <c r="L43" i="105"/>
  <c r="E17" i="104" s="1"/>
  <c r="N65" i="107"/>
  <c r="G18" i="106"/>
  <c r="N21" i="107"/>
  <c r="C18" i="106"/>
  <c r="F18" i="106"/>
  <c r="I23" i="100"/>
  <c r="I23" i="102"/>
  <c r="B20" i="104"/>
  <c r="N20" i="105"/>
  <c r="O20" i="105" s="1"/>
  <c r="N34" i="105"/>
  <c r="O34" i="105" s="1"/>
  <c r="N36" i="105"/>
  <c r="O36" i="105" s="1"/>
  <c r="N39" i="105"/>
  <c r="O39" i="105" s="1"/>
  <c r="N42" i="105"/>
  <c r="O42" i="105" s="1"/>
  <c r="N63" i="105"/>
  <c r="O63" i="105" s="1"/>
  <c r="N80" i="105"/>
  <c r="O80" i="105" s="1"/>
  <c r="E18" i="106"/>
  <c r="N43" i="107"/>
  <c r="N33" i="107"/>
  <c r="O33" i="107" s="1"/>
  <c r="E23" i="102"/>
  <c r="C23" i="104"/>
  <c r="G23" i="104"/>
  <c r="N33" i="105"/>
  <c r="O33" i="105" s="1"/>
  <c r="N41" i="105"/>
  <c r="O41" i="105" s="1"/>
  <c r="N57" i="105"/>
  <c r="O57" i="105" s="1"/>
  <c r="N60" i="105"/>
  <c r="O60" i="105" s="1"/>
  <c r="N62" i="105"/>
  <c r="O62" i="105" s="1"/>
  <c r="L65" i="105"/>
  <c r="G17" i="104" s="1"/>
  <c r="N77" i="105"/>
  <c r="O77" i="105" s="1"/>
  <c r="N77" i="107"/>
  <c r="O77" i="107" s="1"/>
  <c r="D18" i="106"/>
  <c r="N55" i="107"/>
  <c r="O55" i="107" s="1"/>
  <c r="J23" i="106"/>
  <c r="I23" i="2" s="1"/>
  <c r="N23" i="103"/>
  <c r="O23" i="103" s="1"/>
  <c r="C18" i="104"/>
  <c r="L10" i="103"/>
  <c r="B17" i="102" s="1"/>
  <c r="N11" i="103"/>
  <c r="O11" i="103" s="1"/>
  <c r="N34" i="103"/>
  <c r="O34" i="103" s="1"/>
  <c r="L32" i="103"/>
  <c r="D17" i="102" s="1"/>
  <c r="D22" i="102" s="1"/>
  <c r="N57" i="103"/>
  <c r="O57" i="103" s="1"/>
  <c r="L54" i="103"/>
  <c r="N54" i="103" s="1"/>
  <c r="B23" i="102"/>
  <c r="F23" i="102"/>
  <c r="B23" i="104"/>
  <c r="K10" i="105"/>
  <c r="B21" i="104" s="1"/>
  <c r="N23" i="105"/>
  <c r="O23" i="105" s="1"/>
  <c r="L10" i="105"/>
  <c r="B17" i="104" s="1"/>
  <c r="L21" i="105"/>
  <c r="C17" i="104" s="1"/>
  <c r="H23" i="100"/>
  <c r="D23" i="102"/>
  <c r="H23" i="102"/>
  <c r="L76" i="103"/>
  <c r="V9" i="105"/>
  <c r="M10" i="105"/>
  <c r="N44" i="105"/>
  <c r="O44" i="105" s="1"/>
  <c r="K54" i="105"/>
  <c r="F21" i="104" s="1"/>
  <c r="N66" i="105"/>
  <c r="O66" i="105" s="1"/>
  <c r="G20" i="104"/>
  <c r="C23" i="100"/>
  <c r="D23" i="100"/>
  <c r="L78" i="101"/>
  <c r="N78" i="101" s="1"/>
  <c r="O78" i="101" s="1"/>
  <c r="I9" i="105"/>
  <c r="K21" i="105"/>
  <c r="C21" i="104" s="1"/>
  <c r="M32" i="105"/>
  <c r="M43" i="105"/>
  <c r="M54" i="105"/>
  <c r="M65" i="105"/>
  <c r="H18" i="104"/>
  <c r="N24" i="101"/>
  <c r="O24" i="101" s="1"/>
  <c r="N44" i="101"/>
  <c r="O44" i="101" s="1"/>
  <c r="L65" i="101"/>
  <c r="G17" i="100" s="1"/>
  <c r="N66" i="101"/>
  <c r="O66" i="101" s="1"/>
  <c r="L25" i="101"/>
  <c r="N25" i="101" s="1"/>
  <c r="O25" i="101" s="1"/>
  <c r="L33" i="101"/>
  <c r="N90" i="101"/>
  <c r="O90" i="101" s="1"/>
  <c r="L87" i="101"/>
  <c r="B23" i="98"/>
  <c r="G23" i="100"/>
  <c r="N22" i="99"/>
  <c r="O22" i="99" s="1"/>
  <c r="C20" i="98"/>
  <c r="N22" i="103"/>
  <c r="O22" i="103" s="1"/>
  <c r="L21" i="103"/>
  <c r="N44" i="103"/>
  <c r="O44" i="103" s="1"/>
  <c r="L43" i="103"/>
  <c r="N66" i="103"/>
  <c r="O66" i="103" s="1"/>
  <c r="L65" i="103"/>
  <c r="N88" i="103"/>
  <c r="O88" i="103" s="1"/>
  <c r="L87" i="103"/>
  <c r="E20" i="102"/>
  <c r="G20" i="102"/>
  <c r="F23" i="100"/>
  <c r="B18" i="102"/>
  <c r="H23" i="98"/>
  <c r="N44" i="99"/>
  <c r="O44" i="99" s="1"/>
  <c r="N35" i="99"/>
  <c r="O35" i="99" s="1"/>
  <c r="N56" i="99"/>
  <c r="O56" i="99" s="1"/>
  <c r="L54" i="99"/>
  <c r="L10" i="99"/>
  <c r="B17" i="98" s="1"/>
  <c r="N11" i="99"/>
  <c r="O11" i="99" s="1"/>
  <c r="D23" i="96"/>
  <c r="H23" i="96"/>
  <c r="E23" i="98"/>
  <c r="I23" i="98"/>
  <c r="I20" i="98"/>
  <c r="N77" i="101"/>
  <c r="O77" i="101" s="1"/>
  <c r="C23" i="98"/>
  <c r="G23" i="98"/>
  <c r="L32" i="99"/>
  <c r="L80" i="99"/>
  <c r="J76" i="99" s="1"/>
  <c r="J18" i="100"/>
  <c r="B10" i="100"/>
  <c r="B23" i="100"/>
  <c r="N66" i="99"/>
  <c r="O66" i="99" s="1"/>
  <c r="D23" i="98"/>
  <c r="F20" i="98"/>
  <c r="N77" i="99"/>
  <c r="O77" i="99" s="1"/>
  <c r="L11" i="101"/>
  <c r="N55" i="101"/>
  <c r="O55" i="101" s="1"/>
  <c r="L54" i="101"/>
  <c r="F17" i="100" s="1"/>
  <c r="B18" i="98"/>
  <c r="I23" i="94"/>
  <c r="E23" i="94"/>
  <c r="I23" i="96"/>
  <c r="N12" i="97"/>
  <c r="O12" i="97" s="1"/>
  <c r="N16" i="97"/>
  <c r="O16" i="97" s="1"/>
  <c r="N20" i="97"/>
  <c r="O20" i="97" s="1"/>
  <c r="N24" i="97"/>
  <c r="O24" i="97" s="1"/>
  <c r="N28" i="97"/>
  <c r="O28" i="97" s="1"/>
  <c r="L10" i="95"/>
  <c r="B17" i="94" s="1"/>
  <c r="G23" i="94"/>
  <c r="L21" i="99"/>
  <c r="L43" i="99"/>
  <c r="L65" i="99"/>
  <c r="L87" i="99"/>
  <c r="N88" i="95"/>
  <c r="O88" i="95" s="1"/>
  <c r="L43" i="95"/>
  <c r="E17" i="94" s="1"/>
  <c r="J43" i="95"/>
  <c r="E20" i="94" s="1"/>
  <c r="L54" i="97"/>
  <c r="F17" i="96" s="1"/>
  <c r="N66" i="95"/>
  <c r="O66" i="95" s="1"/>
  <c r="N68" i="95"/>
  <c r="O68" i="95" s="1"/>
  <c r="N70" i="95"/>
  <c r="O70" i="95" s="1"/>
  <c r="N72" i="95"/>
  <c r="O72" i="95" s="1"/>
  <c r="N74" i="95"/>
  <c r="O74" i="95" s="1"/>
  <c r="N56" i="97"/>
  <c r="O56" i="97" s="1"/>
  <c r="N58" i="97"/>
  <c r="O58" i="97" s="1"/>
  <c r="N60" i="97"/>
  <c r="O60" i="97" s="1"/>
  <c r="N62" i="97"/>
  <c r="O62" i="97" s="1"/>
  <c r="N64" i="97"/>
  <c r="O64" i="97" s="1"/>
  <c r="N79" i="97"/>
  <c r="O79" i="97" s="1"/>
  <c r="N81" i="97"/>
  <c r="O81" i="97" s="1"/>
  <c r="N83" i="97"/>
  <c r="O83" i="97" s="1"/>
  <c r="N85" i="97"/>
  <c r="O85" i="97" s="1"/>
  <c r="N45" i="95"/>
  <c r="O45" i="95" s="1"/>
  <c r="N47" i="95"/>
  <c r="O47" i="95" s="1"/>
  <c r="N49" i="95"/>
  <c r="O49" i="95" s="1"/>
  <c r="N51" i="95"/>
  <c r="O51" i="95" s="1"/>
  <c r="N53" i="95"/>
  <c r="O53" i="95" s="1"/>
  <c r="F23" i="96"/>
  <c r="N14" i="97"/>
  <c r="O14" i="97" s="1"/>
  <c r="N18" i="97"/>
  <c r="O18" i="97" s="1"/>
  <c r="L21" i="97"/>
  <c r="C17" i="96" s="1"/>
  <c r="N22" i="97"/>
  <c r="O22" i="97" s="1"/>
  <c r="N26" i="97"/>
  <c r="O26" i="97" s="1"/>
  <c r="N30" i="97"/>
  <c r="O30" i="97" s="1"/>
  <c r="N35" i="97"/>
  <c r="O35" i="97" s="1"/>
  <c r="N57" i="97"/>
  <c r="O57" i="97" s="1"/>
  <c r="N59" i="97"/>
  <c r="O59" i="97" s="1"/>
  <c r="N61" i="97"/>
  <c r="O61" i="97" s="1"/>
  <c r="N63" i="97"/>
  <c r="O63" i="97" s="1"/>
  <c r="N80" i="97"/>
  <c r="O80" i="97" s="1"/>
  <c r="N82" i="97"/>
  <c r="O82" i="97" s="1"/>
  <c r="N84" i="97"/>
  <c r="O84" i="97" s="1"/>
  <c r="N86" i="97"/>
  <c r="O86" i="97" s="1"/>
  <c r="L67" i="95"/>
  <c r="J65" i="95" s="1"/>
  <c r="G20" i="94" s="1"/>
  <c r="L89" i="95"/>
  <c r="N89" i="95" s="1"/>
  <c r="O89" i="95" s="1"/>
  <c r="E23" i="96"/>
  <c r="N40" i="97"/>
  <c r="O40" i="97" s="1"/>
  <c r="N42" i="97"/>
  <c r="O42" i="97" s="1"/>
  <c r="L78" i="97"/>
  <c r="F23" i="94"/>
  <c r="N15" i="95"/>
  <c r="O15" i="95" s="1"/>
  <c r="N19" i="95"/>
  <c r="O19" i="95" s="1"/>
  <c r="N12" i="95"/>
  <c r="O12" i="95" s="1"/>
  <c r="N16" i="95"/>
  <c r="O16" i="95" s="1"/>
  <c r="N20" i="95"/>
  <c r="O20" i="95" s="1"/>
  <c r="C23" i="96"/>
  <c r="D20" i="96"/>
  <c r="N36" i="97"/>
  <c r="O36" i="97" s="1"/>
  <c r="N39" i="97"/>
  <c r="O39" i="97" s="1"/>
  <c r="N41" i="97"/>
  <c r="O41" i="97" s="1"/>
  <c r="L43" i="97"/>
  <c r="E17" i="96" s="1"/>
  <c r="I18" i="96"/>
  <c r="N88" i="97"/>
  <c r="O88" i="97" s="1"/>
  <c r="M32" i="97"/>
  <c r="N33" i="97"/>
  <c r="O33" i="97" s="1"/>
  <c r="N37" i="97"/>
  <c r="O37" i="97" s="1"/>
  <c r="N44" i="97"/>
  <c r="O44" i="97" s="1"/>
  <c r="M54" i="97"/>
  <c r="N55" i="97"/>
  <c r="O55" i="97" s="1"/>
  <c r="L65" i="97"/>
  <c r="G17" i="96" s="1"/>
  <c r="N13" i="95"/>
  <c r="O13" i="95" s="1"/>
  <c r="N17" i="95"/>
  <c r="O17" i="95" s="1"/>
  <c r="G23" i="96"/>
  <c r="I9" i="97"/>
  <c r="L11" i="97"/>
  <c r="B23" i="96"/>
  <c r="M21" i="97"/>
  <c r="B23" i="94"/>
  <c r="H23" i="94"/>
  <c r="K10" i="97"/>
  <c r="B21" i="96" s="1"/>
  <c r="N13" i="97"/>
  <c r="O13" i="97" s="1"/>
  <c r="N15" i="97"/>
  <c r="O15" i="97" s="1"/>
  <c r="N17" i="97"/>
  <c r="O17" i="97" s="1"/>
  <c r="N19" i="97"/>
  <c r="O19" i="97" s="1"/>
  <c r="N23" i="97"/>
  <c r="O23" i="97" s="1"/>
  <c r="N25" i="97"/>
  <c r="O25" i="97" s="1"/>
  <c r="N27" i="97"/>
  <c r="O27" i="97" s="1"/>
  <c r="N29" i="97"/>
  <c r="O29" i="97" s="1"/>
  <c r="N31" i="97"/>
  <c r="O31" i="97" s="1"/>
  <c r="K32" i="97"/>
  <c r="D21" i="96" s="1"/>
  <c r="N34" i="97"/>
  <c r="O34" i="97" s="1"/>
  <c r="N38" i="97"/>
  <c r="O38" i="97" s="1"/>
  <c r="M43" i="97"/>
  <c r="N66" i="97"/>
  <c r="O66" i="97" s="1"/>
  <c r="G20" i="96"/>
  <c r="M10" i="97"/>
  <c r="M65" i="97"/>
  <c r="M76" i="97"/>
  <c r="N77" i="97"/>
  <c r="O77" i="97" s="1"/>
  <c r="L87" i="97"/>
  <c r="I17" i="96" s="1"/>
  <c r="N14" i="95"/>
  <c r="O14" i="95" s="1"/>
  <c r="N18" i="95"/>
  <c r="O18" i="95" s="1"/>
  <c r="N44" i="95"/>
  <c r="O44" i="95" s="1"/>
  <c r="N46" i="95"/>
  <c r="O46" i="95" s="1"/>
  <c r="N48" i="95"/>
  <c r="O48" i="95" s="1"/>
  <c r="N50" i="95"/>
  <c r="O50" i="95" s="1"/>
  <c r="N52" i="95"/>
  <c r="O52" i="95" s="1"/>
  <c r="N69" i="95"/>
  <c r="O69" i="95" s="1"/>
  <c r="N71" i="95"/>
  <c r="O71" i="95" s="1"/>
  <c r="N73" i="95"/>
  <c r="O73" i="95" s="1"/>
  <c r="N75" i="95"/>
  <c r="O75" i="95" s="1"/>
  <c r="L32" i="97"/>
  <c r="D17" i="96" s="1"/>
  <c r="J21" i="95"/>
  <c r="C20" i="94" s="1"/>
  <c r="N23" i="95"/>
  <c r="O23" i="95" s="1"/>
  <c r="J54" i="95"/>
  <c r="F20" i="94" s="1"/>
  <c r="L54" i="95"/>
  <c r="F17" i="94" s="1"/>
  <c r="N55" i="95"/>
  <c r="O55" i="95" s="1"/>
  <c r="N11" i="95"/>
  <c r="O11" i="95" s="1"/>
  <c r="L21" i="95"/>
  <c r="C17" i="94" s="1"/>
  <c r="N22" i="95"/>
  <c r="O22" i="95" s="1"/>
  <c r="N26" i="95"/>
  <c r="O26" i="95" s="1"/>
  <c r="N28" i="95"/>
  <c r="O28" i="95" s="1"/>
  <c r="N30" i="95"/>
  <c r="O30" i="95" s="1"/>
  <c r="N25" i="95"/>
  <c r="O25" i="95" s="1"/>
  <c r="J32" i="95"/>
  <c r="D20" i="94" s="1"/>
  <c r="J76" i="95"/>
  <c r="H20" i="94" s="1"/>
  <c r="N77" i="95"/>
  <c r="O77" i="95" s="1"/>
  <c r="L76" i="95"/>
  <c r="H17" i="94" s="1"/>
  <c r="J10" i="95"/>
  <c r="B20" i="94" s="1"/>
  <c r="C23" i="94"/>
  <c r="N24" i="95"/>
  <c r="O24" i="95" s="1"/>
  <c r="N27" i="95"/>
  <c r="O27" i="95" s="1"/>
  <c r="N29" i="95"/>
  <c r="O29" i="95" s="1"/>
  <c r="N31" i="95"/>
  <c r="O31" i="95" s="1"/>
  <c r="L32" i="95"/>
  <c r="D17" i="94" s="1"/>
  <c r="M43" i="95"/>
  <c r="M65" i="95"/>
  <c r="M10" i="95"/>
  <c r="D23" i="94"/>
  <c r="F19" i="106" l="1"/>
  <c r="N54" i="107"/>
  <c r="I19" i="108"/>
  <c r="N76" i="107"/>
  <c r="J17" i="108"/>
  <c r="J17" i="2" s="1"/>
  <c r="J30" i="2" s="1"/>
  <c r="N87" i="109"/>
  <c r="B9" i="108"/>
  <c r="H19" i="106"/>
  <c r="N21" i="113"/>
  <c r="D19" i="106"/>
  <c r="N32" i="107"/>
  <c r="L54" i="105"/>
  <c r="F17" i="104" s="1"/>
  <c r="J54" i="105"/>
  <c r="F20" i="104" s="1"/>
  <c r="N88" i="105"/>
  <c r="O88" i="105" s="1"/>
  <c r="I24" i="104" s="1"/>
  <c r="J87" i="105"/>
  <c r="J32" i="101"/>
  <c r="D20" i="100" s="1"/>
  <c r="J76" i="101"/>
  <c r="H20" i="100" s="1"/>
  <c r="J43" i="101"/>
  <c r="L10" i="101"/>
  <c r="B17" i="100" s="1"/>
  <c r="B19" i="100" s="1"/>
  <c r="J10" i="101"/>
  <c r="B20" i="100" s="1"/>
  <c r="J21" i="101"/>
  <c r="C20" i="100" s="1"/>
  <c r="H20" i="98"/>
  <c r="J10" i="97"/>
  <c r="B20" i="96" s="1"/>
  <c r="J76" i="97"/>
  <c r="H20" i="96" s="1"/>
  <c r="AC96" i="59"/>
  <c r="AC27" i="59"/>
  <c r="AC56" i="59"/>
  <c r="AC83" i="59"/>
  <c r="AC35" i="59"/>
  <c r="AC61" i="59"/>
  <c r="AC92" i="59"/>
  <c r="AC15" i="59"/>
  <c r="AC30" i="59"/>
  <c r="AC67" i="59"/>
  <c r="AC39" i="59"/>
  <c r="AC70" i="59"/>
  <c r="AC93" i="59"/>
  <c r="AC40" i="59"/>
  <c r="AC52" i="59"/>
  <c r="AC75" i="59"/>
  <c r="AC13" i="59"/>
  <c r="AC44" i="59"/>
  <c r="AC74" i="59"/>
  <c r="Y9" i="95"/>
  <c r="AD20" i="59"/>
  <c r="AD16" i="59"/>
  <c r="AE7" i="59"/>
  <c r="AD8" i="59"/>
  <c r="AD90" i="59" s="1"/>
  <c r="AD13" i="59"/>
  <c r="AC14" i="59"/>
  <c r="AC19" i="59"/>
  <c r="AC22" i="59"/>
  <c r="AC36" i="59"/>
  <c r="AC49" i="59"/>
  <c r="AC64" i="59"/>
  <c r="AC59" i="59"/>
  <c r="AC85" i="59"/>
  <c r="AC80" i="59"/>
  <c r="AC90" i="59"/>
  <c r="AC12" i="59"/>
  <c r="AC31" i="59"/>
  <c r="AC17" i="59"/>
  <c r="AC29" i="59"/>
  <c r="AC48" i="59"/>
  <c r="AC55" i="59"/>
  <c r="AC68" i="59"/>
  <c r="AC62" i="59"/>
  <c r="AC66" i="59"/>
  <c r="AC89" i="59"/>
  <c r="AC86" i="59"/>
  <c r="AC34" i="59"/>
  <c r="AC11" i="59"/>
  <c r="AC26" i="59"/>
  <c r="AC18" i="59"/>
  <c r="AC33" i="59"/>
  <c r="AC57" i="59"/>
  <c r="AC71" i="59"/>
  <c r="AC82" i="59"/>
  <c r="AC77" i="59"/>
  <c r="AC97" i="59"/>
  <c r="AC95" i="59"/>
  <c r="AC20" i="59"/>
  <c r="AC37" i="59"/>
  <c r="AC38" i="59"/>
  <c r="AC41" i="59"/>
  <c r="AC46" i="59"/>
  <c r="AC79" i="59"/>
  <c r="AC50" i="59"/>
  <c r="AC78" i="59"/>
  <c r="AC94" i="59"/>
  <c r="AC24" i="59"/>
  <c r="AC45" i="59"/>
  <c r="AC16" i="59"/>
  <c r="AC42" i="59"/>
  <c r="AC53" i="59"/>
  <c r="AC51" i="59"/>
  <c r="AC60" i="59"/>
  <c r="AC69" i="59"/>
  <c r="AC81" i="59"/>
  <c r="AC91" i="59"/>
  <c r="AC23" i="59"/>
  <c r="AC28" i="59"/>
  <c r="AC25" i="59"/>
  <c r="AC58" i="59"/>
  <c r="AC47" i="59"/>
  <c r="AC73" i="59"/>
  <c r="AC63" i="59"/>
  <c r="AC72" i="59"/>
  <c r="AC84" i="59"/>
  <c r="AC12" i="113"/>
  <c r="AC30" i="113"/>
  <c r="AC27" i="113"/>
  <c r="AC28" i="113"/>
  <c r="AC69" i="113"/>
  <c r="AC42" i="113"/>
  <c r="AC55" i="113"/>
  <c r="AC80" i="113"/>
  <c r="AC89" i="113"/>
  <c r="AC94" i="113"/>
  <c r="AD91" i="113"/>
  <c r="AD84" i="113"/>
  <c r="AD59" i="113"/>
  <c r="AD64" i="113"/>
  <c r="AD58" i="113"/>
  <c r="AD62" i="113"/>
  <c r="AD48" i="113"/>
  <c r="AD19" i="113"/>
  <c r="AD24" i="113"/>
  <c r="AE7" i="113"/>
  <c r="AD12" i="113"/>
  <c r="AD8" i="113"/>
  <c r="AD97" i="113" s="1"/>
  <c r="AC19" i="113"/>
  <c r="AC41" i="113"/>
  <c r="AC36" i="113"/>
  <c r="AC49" i="113"/>
  <c r="AC51" i="113"/>
  <c r="AC63" i="113"/>
  <c r="AC57" i="113"/>
  <c r="AC82" i="113"/>
  <c r="AC91" i="113"/>
  <c r="AC15" i="113"/>
  <c r="AC50" i="113"/>
  <c r="AC45" i="113"/>
  <c r="AC31" i="113"/>
  <c r="AC53" i="113"/>
  <c r="AC39" i="113"/>
  <c r="AC72" i="113"/>
  <c r="AC66" i="113"/>
  <c r="AC84" i="113"/>
  <c r="AC88" i="113"/>
  <c r="AC18" i="113"/>
  <c r="AC61" i="113"/>
  <c r="AC29" i="113"/>
  <c r="AC38" i="113"/>
  <c r="AC58" i="113"/>
  <c r="AC48" i="113"/>
  <c r="AC67" i="113"/>
  <c r="AC77" i="113"/>
  <c r="AC81" i="113"/>
  <c r="AC96" i="113"/>
  <c r="AC47" i="113"/>
  <c r="AC23" i="113"/>
  <c r="AC37" i="113"/>
  <c r="AC26" i="113"/>
  <c r="AC46" i="113"/>
  <c r="AC59" i="113"/>
  <c r="AC79" i="113"/>
  <c r="AC97" i="113"/>
  <c r="AC78" i="113"/>
  <c r="AC93" i="113"/>
  <c r="AC11" i="113"/>
  <c r="AC17" i="113"/>
  <c r="AC40" i="113"/>
  <c r="AC35" i="113"/>
  <c r="AC73" i="113"/>
  <c r="AC56" i="113"/>
  <c r="AC62" i="113"/>
  <c r="AC64" i="113"/>
  <c r="AC92" i="113"/>
  <c r="AC90" i="113"/>
  <c r="AC13" i="113"/>
  <c r="AC14" i="113"/>
  <c r="AC24" i="113"/>
  <c r="AC44" i="113"/>
  <c r="AC25" i="113"/>
  <c r="AC60" i="113"/>
  <c r="AC70" i="113"/>
  <c r="AC75" i="113"/>
  <c r="AC74" i="113"/>
  <c r="AD20" i="111"/>
  <c r="AD45" i="111"/>
  <c r="AD68" i="111"/>
  <c r="AD79" i="111"/>
  <c r="AD61" i="111"/>
  <c r="AD85" i="111"/>
  <c r="AD97" i="111"/>
  <c r="AD34" i="111"/>
  <c r="AD17" i="111"/>
  <c r="AD39" i="111"/>
  <c r="AD86" i="111"/>
  <c r="AD84" i="111"/>
  <c r="AD60" i="111"/>
  <c r="AD72" i="111"/>
  <c r="AD74" i="111"/>
  <c r="AD88" i="111"/>
  <c r="AD47" i="111"/>
  <c r="AD66" i="111"/>
  <c r="AD71" i="111"/>
  <c r="AD83" i="111"/>
  <c r="AD96" i="111"/>
  <c r="AD49" i="111"/>
  <c r="AD35" i="111"/>
  <c r="AD50" i="111"/>
  <c r="AD75" i="111"/>
  <c r="AD37" i="111"/>
  <c r="AD92" i="111"/>
  <c r="AD93" i="111"/>
  <c r="AD31" i="111"/>
  <c r="AE96" i="111"/>
  <c r="AE69" i="111"/>
  <c r="AE49" i="111"/>
  <c r="AE75" i="111"/>
  <c r="AE70" i="111"/>
  <c r="AE81" i="111"/>
  <c r="AE42" i="111"/>
  <c r="AE39" i="111"/>
  <c r="AE24" i="111"/>
  <c r="AE55" i="111"/>
  <c r="AE8" i="111"/>
  <c r="AE91" i="111" s="1"/>
  <c r="AE26" i="111"/>
  <c r="AE19" i="111"/>
  <c r="AE23" i="111"/>
  <c r="AE37" i="111"/>
  <c r="AE11" i="111"/>
  <c r="AE16" i="111"/>
  <c r="AE13" i="111"/>
  <c r="AE35" i="111"/>
  <c r="AF7" i="111"/>
  <c r="AE50" i="111"/>
  <c r="AE31" i="111"/>
  <c r="AE28" i="111"/>
  <c r="AE25" i="111"/>
  <c r="AE17" i="111"/>
  <c r="AE34" i="111"/>
  <c r="AE14" i="111"/>
  <c r="AD38" i="111"/>
  <c r="AD52" i="111"/>
  <c r="AD40" i="111"/>
  <c r="AD48" i="111"/>
  <c r="AD53" i="111"/>
  <c r="AD69" i="111"/>
  <c r="AD46" i="111"/>
  <c r="AD80" i="111"/>
  <c r="AD90" i="111"/>
  <c r="AD33" i="111"/>
  <c r="AD18" i="111"/>
  <c r="AD12" i="111"/>
  <c r="AD78" i="111"/>
  <c r="AD41" i="111"/>
  <c r="AD51" i="111"/>
  <c r="AD57" i="111"/>
  <c r="AD81" i="111"/>
  <c r="AD55" i="111"/>
  <c r="AD91" i="111"/>
  <c r="AD16" i="111"/>
  <c r="AD22" i="111"/>
  <c r="AD30" i="111"/>
  <c r="AD27" i="111"/>
  <c r="AD44" i="111"/>
  <c r="AD62" i="111"/>
  <c r="AD67" i="111"/>
  <c r="AD58" i="111"/>
  <c r="AD63" i="111"/>
  <c r="AC47" i="109"/>
  <c r="AC26" i="109"/>
  <c r="AC44" i="109"/>
  <c r="AC37" i="109"/>
  <c r="AC16" i="109"/>
  <c r="AC62" i="109"/>
  <c r="AC74" i="109"/>
  <c r="AC77" i="109"/>
  <c r="AC84" i="109"/>
  <c r="AC90" i="109"/>
  <c r="AD91" i="109"/>
  <c r="AD75" i="109"/>
  <c r="AD72" i="109"/>
  <c r="AD63" i="109"/>
  <c r="AD34" i="109"/>
  <c r="AD28" i="109"/>
  <c r="AD35" i="109"/>
  <c r="AD30" i="109"/>
  <c r="AD18" i="109"/>
  <c r="AD8" i="109"/>
  <c r="AD95" i="109" s="1"/>
  <c r="AD33" i="109"/>
  <c r="AE7" i="109"/>
  <c r="AC53" i="109"/>
  <c r="AC48" i="109"/>
  <c r="AC56" i="109"/>
  <c r="AC41" i="109"/>
  <c r="AC25" i="109"/>
  <c r="AC71" i="109"/>
  <c r="AC97" i="109"/>
  <c r="AC60" i="109"/>
  <c r="AC83" i="109"/>
  <c r="AC86" i="109"/>
  <c r="AC20" i="109"/>
  <c r="AC28" i="109"/>
  <c r="AC36" i="109"/>
  <c r="AC34" i="109"/>
  <c r="AC73" i="109"/>
  <c r="AC70" i="109"/>
  <c r="AC79" i="109"/>
  <c r="AC81" i="109"/>
  <c r="AC95" i="109"/>
  <c r="AC33" i="109"/>
  <c r="AC45" i="109"/>
  <c r="AC42" i="109"/>
  <c r="AC51" i="109"/>
  <c r="AC82" i="109"/>
  <c r="AC75" i="109"/>
  <c r="AC94" i="109"/>
  <c r="AC19" i="109"/>
  <c r="AC29" i="109"/>
  <c r="AC38" i="109"/>
  <c r="AC49" i="109"/>
  <c r="AC52" i="109"/>
  <c r="AC66" i="109"/>
  <c r="AC59" i="109"/>
  <c r="AC61" i="109"/>
  <c r="AC89" i="109"/>
  <c r="AC92" i="109"/>
  <c r="AC14" i="109"/>
  <c r="AC24" i="109"/>
  <c r="AC57" i="109"/>
  <c r="AC50" i="109"/>
  <c r="AC23" i="109"/>
  <c r="AC22" i="109"/>
  <c r="AC55" i="109"/>
  <c r="AC68" i="109"/>
  <c r="AC63" i="109"/>
  <c r="AC91" i="109"/>
  <c r="AC27" i="109"/>
  <c r="AC12" i="109"/>
  <c r="AC15" i="109"/>
  <c r="AC64" i="109"/>
  <c r="AC31" i="109"/>
  <c r="AC30" i="109"/>
  <c r="AC58" i="109"/>
  <c r="AC78" i="109"/>
  <c r="AC72" i="109"/>
  <c r="AD91" i="107"/>
  <c r="AD30" i="107"/>
  <c r="AD50" i="107"/>
  <c r="AD69" i="107"/>
  <c r="AD57" i="107"/>
  <c r="AD67" i="107"/>
  <c r="AD86" i="107"/>
  <c r="AD88" i="107"/>
  <c r="AD31" i="107"/>
  <c r="AD73" i="107"/>
  <c r="AD95" i="107"/>
  <c r="AD96" i="107"/>
  <c r="AD12" i="107"/>
  <c r="AD48" i="107"/>
  <c r="AD27" i="107"/>
  <c r="AD16" i="107"/>
  <c r="AD45" i="107"/>
  <c r="AD68" i="107"/>
  <c r="AD47" i="107"/>
  <c r="AD40" i="107"/>
  <c r="AD78" i="107"/>
  <c r="AD80" i="107"/>
  <c r="AD93" i="107"/>
  <c r="AD20" i="107"/>
  <c r="AD25" i="107"/>
  <c r="AD62" i="107"/>
  <c r="AD85" i="107"/>
  <c r="AD53" i="107"/>
  <c r="AD49" i="107"/>
  <c r="AD83" i="107"/>
  <c r="AD92" i="107"/>
  <c r="AD90" i="107"/>
  <c r="AE96" i="107"/>
  <c r="AE91" i="107"/>
  <c r="AE94" i="107"/>
  <c r="AE97" i="107"/>
  <c r="AE89" i="107"/>
  <c r="AE92" i="107"/>
  <c r="AE86" i="107"/>
  <c r="AE84" i="107"/>
  <c r="AE75" i="107"/>
  <c r="AE77" i="107"/>
  <c r="AE73" i="107"/>
  <c r="AE64" i="107"/>
  <c r="AE78" i="107"/>
  <c r="AE81" i="107"/>
  <c r="AE55" i="107"/>
  <c r="AE71" i="107"/>
  <c r="AE68" i="107"/>
  <c r="AE58" i="107"/>
  <c r="AE57" i="107"/>
  <c r="AE35" i="107"/>
  <c r="AE72" i="107"/>
  <c r="AE53" i="107"/>
  <c r="AE47" i="107"/>
  <c r="AE38" i="107"/>
  <c r="AE79" i="107"/>
  <c r="AE50" i="107"/>
  <c r="AE82" i="107"/>
  <c r="AE74" i="107"/>
  <c r="AE59" i="107"/>
  <c r="AE49" i="107"/>
  <c r="AE80" i="107"/>
  <c r="AE39" i="107"/>
  <c r="AE36" i="107"/>
  <c r="AE31" i="107"/>
  <c r="AE61" i="107"/>
  <c r="AE51" i="107"/>
  <c r="AE41" i="107"/>
  <c r="AE56" i="107"/>
  <c r="AE25" i="107"/>
  <c r="AE66" i="107"/>
  <c r="AE62" i="107"/>
  <c r="AE19" i="107"/>
  <c r="AE34" i="107"/>
  <c r="AE45" i="107"/>
  <c r="AE26" i="107"/>
  <c r="AE46" i="107"/>
  <c r="AE24" i="107"/>
  <c r="AE20" i="107"/>
  <c r="AE14" i="107"/>
  <c r="AF7" i="107"/>
  <c r="AE63" i="107"/>
  <c r="AE16" i="107"/>
  <c r="AE33" i="107"/>
  <c r="AE60" i="107"/>
  <c r="AE40" i="107"/>
  <c r="AE22" i="107"/>
  <c r="AE12" i="107"/>
  <c r="AE28" i="107"/>
  <c r="AE13" i="107"/>
  <c r="AE27" i="107"/>
  <c r="AE15" i="107"/>
  <c r="AE8" i="107"/>
  <c r="AE93" i="107" s="1"/>
  <c r="AE11" i="107"/>
  <c r="AD33" i="107"/>
  <c r="AD37" i="107"/>
  <c r="AD38" i="107"/>
  <c r="AD29" i="107"/>
  <c r="AD71" i="107"/>
  <c r="AD46" i="107"/>
  <c r="AD58" i="107"/>
  <c r="AD77" i="107"/>
  <c r="AD61" i="107"/>
  <c r="AD24" i="105"/>
  <c r="AD27" i="105"/>
  <c r="AD28" i="105"/>
  <c r="AD30" i="105"/>
  <c r="AD57" i="105"/>
  <c r="AD53" i="105"/>
  <c r="AD56" i="105"/>
  <c r="AD63" i="105"/>
  <c r="AD80" i="105"/>
  <c r="AD88" i="105"/>
  <c r="AD20" i="105"/>
  <c r="AD19" i="105"/>
  <c r="AD50" i="105"/>
  <c r="AD39" i="105"/>
  <c r="AD62" i="105"/>
  <c r="AD73" i="105"/>
  <c r="AD75" i="105"/>
  <c r="AD85" i="105"/>
  <c r="AD93" i="105"/>
  <c r="AD37" i="105"/>
  <c r="AD18" i="105"/>
  <c r="AD29" i="105"/>
  <c r="AD44" i="105"/>
  <c r="AD55" i="105"/>
  <c r="AD48" i="105"/>
  <c r="AD61" i="105"/>
  <c r="AD82" i="105"/>
  <c r="AD84" i="105"/>
  <c r="AD92" i="105"/>
  <c r="AD90" i="105"/>
  <c r="AD31" i="105"/>
  <c r="AD26" i="105"/>
  <c r="AD46" i="105"/>
  <c r="AD35" i="105"/>
  <c r="AD33" i="105"/>
  <c r="AD45" i="105"/>
  <c r="AD59" i="105"/>
  <c r="AD70" i="105"/>
  <c r="AD86" i="105"/>
  <c r="AD89" i="105"/>
  <c r="AD34" i="105"/>
  <c r="AD12" i="105"/>
  <c r="AE88" i="105"/>
  <c r="AE94" i="105"/>
  <c r="AE97" i="105"/>
  <c r="AE74" i="105"/>
  <c r="AE81" i="105"/>
  <c r="AE86" i="105"/>
  <c r="AE67" i="105"/>
  <c r="AE70" i="105"/>
  <c r="AE61" i="105"/>
  <c r="AE59" i="105"/>
  <c r="AE85" i="105"/>
  <c r="AE71" i="105"/>
  <c r="AE66" i="105"/>
  <c r="AE69" i="105"/>
  <c r="AE60" i="105"/>
  <c r="AE42" i="105"/>
  <c r="AE46" i="105"/>
  <c r="AE37" i="105"/>
  <c r="AE38" i="105"/>
  <c r="AE52" i="105"/>
  <c r="AE45" i="105"/>
  <c r="AF7" i="105"/>
  <c r="AE25" i="105"/>
  <c r="AE17" i="105"/>
  <c r="AE49" i="105"/>
  <c r="AE22" i="105"/>
  <c r="AE13" i="105"/>
  <c r="AE16" i="105"/>
  <c r="AE44" i="105"/>
  <c r="AE26" i="105"/>
  <c r="AE8" i="105"/>
  <c r="AE89" i="105" s="1"/>
  <c r="AD38" i="105"/>
  <c r="AD49" i="105"/>
  <c r="AD52" i="105"/>
  <c r="AD68" i="105"/>
  <c r="AD58" i="105"/>
  <c r="AD81" i="105"/>
  <c r="AD18" i="103"/>
  <c r="AD16" i="103"/>
  <c r="AD15" i="103"/>
  <c r="AD26" i="103"/>
  <c r="AD41" i="103"/>
  <c r="AD51" i="103"/>
  <c r="AD58" i="103"/>
  <c r="AD78" i="103"/>
  <c r="AD95" i="103"/>
  <c r="AD97" i="103"/>
  <c r="AE94" i="103"/>
  <c r="AE89" i="103"/>
  <c r="AE84" i="103"/>
  <c r="AE82" i="103"/>
  <c r="AE83" i="103"/>
  <c r="AE73" i="103"/>
  <c r="AE64" i="103"/>
  <c r="AE61" i="103"/>
  <c r="AE58" i="103"/>
  <c r="AE77" i="103"/>
  <c r="AE57" i="103"/>
  <c r="AE51" i="103"/>
  <c r="AE66" i="103"/>
  <c r="AE56" i="103"/>
  <c r="AE55" i="103"/>
  <c r="AE52" i="103"/>
  <c r="AE40" i="103"/>
  <c r="AE26" i="103"/>
  <c r="AE47" i="103"/>
  <c r="AE18" i="103"/>
  <c r="AE25" i="103"/>
  <c r="AE53" i="103"/>
  <c r="AE8" i="103"/>
  <c r="AE92" i="103" s="1"/>
  <c r="AE13" i="103"/>
  <c r="AE44" i="103"/>
  <c r="AE16" i="103"/>
  <c r="AE11" i="103"/>
  <c r="AE14" i="103"/>
  <c r="AF7" i="103"/>
  <c r="AE31" i="103"/>
  <c r="AE22" i="103"/>
  <c r="AE36" i="103"/>
  <c r="AE33" i="103"/>
  <c r="AE15" i="103"/>
  <c r="AD34" i="103"/>
  <c r="AD23" i="103"/>
  <c r="AD31" i="103"/>
  <c r="AD63" i="103"/>
  <c r="AD64" i="103"/>
  <c r="AD61" i="103"/>
  <c r="AD70" i="103"/>
  <c r="AD79" i="103"/>
  <c r="AD94" i="103"/>
  <c r="AD14" i="103"/>
  <c r="AD35" i="103"/>
  <c r="AD37" i="103"/>
  <c r="AD40" i="103"/>
  <c r="AD71" i="103"/>
  <c r="AD77" i="103"/>
  <c r="AD68" i="103"/>
  <c r="AD67" i="103"/>
  <c r="AD84" i="103"/>
  <c r="AD91" i="103"/>
  <c r="AD39" i="103"/>
  <c r="AD13" i="103"/>
  <c r="AD22" i="103"/>
  <c r="AD47" i="103"/>
  <c r="AD80" i="103"/>
  <c r="AD48" i="103"/>
  <c r="AD85" i="103"/>
  <c r="AD75" i="103"/>
  <c r="AD81" i="103"/>
  <c r="AD88" i="103"/>
  <c r="AD11" i="103"/>
  <c r="AD29" i="103"/>
  <c r="AD30" i="103"/>
  <c r="AD55" i="103"/>
  <c r="AD49" i="103"/>
  <c r="AD45" i="103"/>
  <c r="AD56" i="103"/>
  <c r="AD72" i="103"/>
  <c r="AD86" i="103"/>
  <c r="AD96" i="103"/>
  <c r="AD44" i="103"/>
  <c r="AD52" i="103"/>
  <c r="AD46" i="103"/>
  <c r="AD53" i="103"/>
  <c r="AD57" i="103"/>
  <c r="AD60" i="103"/>
  <c r="AD83" i="103"/>
  <c r="AD93" i="103"/>
  <c r="AD27" i="103"/>
  <c r="AD20" i="103"/>
  <c r="AD19" i="103"/>
  <c r="AD24" i="103"/>
  <c r="AD38" i="103"/>
  <c r="AD73" i="103"/>
  <c r="AD59" i="103"/>
  <c r="AD66" i="103"/>
  <c r="AD69" i="103"/>
  <c r="AD92" i="103"/>
  <c r="AC19" i="101"/>
  <c r="AC20" i="101"/>
  <c r="AC24" i="101"/>
  <c r="AC27" i="101"/>
  <c r="AC58" i="101"/>
  <c r="AC67" i="101"/>
  <c r="AC52" i="101"/>
  <c r="AC74" i="101"/>
  <c r="AC79" i="101"/>
  <c r="AC94" i="101"/>
  <c r="AC11" i="101"/>
  <c r="AD88" i="101"/>
  <c r="AD81" i="101"/>
  <c r="AD62" i="101"/>
  <c r="AD75" i="101"/>
  <c r="AD71" i="101"/>
  <c r="AD41" i="101"/>
  <c r="AD45" i="101"/>
  <c r="AD29" i="101"/>
  <c r="AD24" i="101"/>
  <c r="AD25" i="101"/>
  <c r="AD11" i="101"/>
  <c r="AD14" i="101"/>
  <c r="AE7" i="101"/>
  <c r="AD8" i="101"/>
  <c r="AD94" i="101" s="1"/>
  <c r="AC34" i="101"/>
  <c r="AC56" i="101"/>
  <c r="AC38" i="101"/>
  <c r="AC42" i="101"/>
  <c r="AC77" i="101"/>
  <c r="AC59" i="101"/>
  <c r="AC97" i="101"/>
  <c r="AC88" i="101"/>
  <c r="AC36" i="101"/>
  <c r="AC61" i="101"/>
  <c r="AC47" i="101"/>
  <c r="AC51" i="101"/>
  <c r="AC60" i="101"/>
  <c r="AC68" i="101"/>
  <c r="AC84" i="101"/>
  <c r="AC96" i="101"/>
  <c r="AC16" i="101"/>
  <c r="AC15" i="101"/>
  <c r="AC41" i="101"/>
  <c r="AC33" i="101"/>
  <c r="AC49" i="101"/>
  <c r="AC63" i="101"/>
  <c r="AC69" i="101"/>
  <c r="AC80" i="101"/>
  <c r="AC89" i="101"/>
  <c r="AC93" i="101"/>
  <c r="AC18" i="101"/>
  <c r="AC26" i="101"/>
  <c r="AC70" i="101"/>
  <c r="AC35" i="101"/>
  <c r="AC37" i="101"/>
  <c r="AC64" i="101"/>
  <c r="AC57" i="101"/>
  <c r="AC75" i="101"/>
  <c r="AC81" i="101"/>
  <c r="AC90" i="101"/>
  <c r="AC12" i="101"/>
  <c r="AC17" i="101"/>
  <c r="AC31" i="101"/>
  <c r="AC28" i="101"/>
  <c r="AC44" i="101"/>
  <c r="AC46" i="101"/>
  <c r="AC39" i="101"/>
  <c r="AC66" i="101"/>
  <c r="AC82" i="101"/>
  <c r="AC83" i="101"/>
  <c r="AC86" i="101"/>
  <c r="AC13" i="101"/>
  <c r="AC30" i="101"/>
  <c r="AC45" i="101"/>
  <c r="AC50" i="101"/>
  <c r="AC53" i="101"/>
  <c r="AC48" i="101"/>
  <c r="AC73" i="101"/>
  <c r="AC72" i="101"/>
  <c r="AC92" i="101"/>
  <c r="AC77" i="99"/>
  <c r="AC94" i="99"/>
  <c r="AC81" i="99"/>
  <c r="AC78" i="99"/>
  <c r="AC85" i="99"/>
  <c r="AC91" i="99"/>
  <c r="AC17" i="99"/>
  <c r="AC13" i="99"/>
  <c r="AC20" i="99"/>
  <c r="AC60" i="99"/>
  <c r="AC63" i="99"/>
  <c r="AC61" i="99"/>
  <c r="AC57" i="99"/>
  <c r="AC66" i="99"/>
  <c r="AC73" i="99"/>
  <c r="AC88" i="99"/>
  <c r="AC24" i="99"/>
  <c r="AC29" i="99"/>
  <c r="AC27" i="99"/>
  <c r="AC25" i="99"/>
  <c r="AC44" i="99"/>
  <c r="AC71" i="99"/>
  <c r="AC67" i="99"/>
  <c r="AC74" i="99"/>
  <c r="AC82" i="99"/>
  <c r="AC96" i="99"/>
  <c r="AC26" i="99"/>
  <c r="AC22" i="99"/>
  <c r="AC53" i="99"/>
  <c r="AC72" i="99"/>
  <c r="AC62" i="99"/>
  <c r="AC83" i="99"/>
  <c r="AC70" i="99"/>
  <c r="AC93" i="99"/>
  <c r="AD94" i="99"/>
  <c r="AD77" i="99"/>
  <c r="AD69" i="99"/>
  <c r="AD8" i="99"/>
  <c r="AD97" i="99" s="1"/>
  <c r="AD12" i="99"/>
  <c r="AE7" i="99"/>
  <c r="AC18" i="99"/>
  <c r="AC36" i="99"/>
  <c r="AC30" i="99"/>
  <c r="AC40" i="99"/>
  <c r="AC84" i="99"/>
  <c r="AC75" i="99"/>
  <c r="AC92" i="99"/>
  <c r="AC79" i="99"/>
  <c r="AC90" i="99"/>
  <c r="AC19" i="99"/>
  <c r="AC14" i="99"/>
  <c r="AC28" i="99"/>
  <c r="AC41" i="99"/>
  <c r="AC33" i="99"/>
  <c r="AC48" i="99"/>
  <c r="AC42" i="99"/>
  <c r="AC50" i="99"/>
  <c r="AC80" i="99"/>
  <c r="AC89" i="99"/>
  <c r="AC15" i="97"/>
  <c r="AC12" i="97"/>
  <c r="AC84" i="97"/>
  <c r="AC19" i="97"/>
  <c r="AC27" i="97"/>
  <c r="AC92" i="97"/>
  <c r="AC53" i="97"/>
  <c r="AC78" i="97"/>
  <c r="AC71" i="97"/>
  <c r="AC89" i="97"/>
  <c r="AC86" i="97"/>
  <c r="AC64" i="97"/>
  <c r="AC68" i="97"/>
  <c r="AC94" i="97"/>
  <c r="AC35" i="97"/>
  <c r="AC24" i="97"/>
  <c r="AC41" i="97"/>
  <c r="AC46" i="97"/>
  <c r="AC58" i="97"/>
  <c r="AC48" i="97"/>
  <c r="AC67" i="97"/>
  <c r="AC77" i="97"/>
  <c r="AC91" i="97"/>
  <c r="AC16" i="97"/>
  <c r="AC55" i="97"/>
  <c r="AC31" i="97"/>
  <c r="AC50" i="97"/>
  <c r="AC47" i="97"/>
  <c r="AC60" i="97"/>
  <c r="AC62" i="97"/>
  <c r="AC81" i="97"/>
  <c r="AC85" i="97"/>
  <c r="AC88" i="97"/>
  <c r="AD90" i="97"/>
  <c r="AD96" i="97"/>
  <c r="AD97" i="97"/>
  <c r="AD92" i="97"/>
  <c r="AD73" i="97"/>
  <c r="AD71" i="97"/>
  <c r="AD74" i="97"/>
  <c r="AD75" i="97"/>
  <c r="AD67" i="97"/>
  <c r="AD59" i="97"/>
  <c r="AD72" i="97"/>
  <c r="AD42" i="97"/>
  <c r="AD58" i="97"/>
  <c r="AD63" i="97"/>
  <c r="AD79" i="97"/>
  <c r="AD45" i="97"/>
  <c r="AD36" i="97"/>
  <c r="AD48" i="97"/>
  <c r="AD49" i="97"/>
  <c r="AD25" i="97"/>
  <c r="AD78" i="97"/>
  <c r="AD28" i="97"/>
  <c r="AD14" i="97"/>
  <c r="AE7" i="97"/>
  <c r="AD38" i="97"/>
  <c r="AD40" i="97"/>
  <c r="AD30" i="97"/>
  <c r="AD39" i="97"/>
  <c r="AD20" i="97"/>
  <c r="AD13" i="97"/>
  <c r="AD8" i="97"/>
  <c r="AD89" i="97" s="1"/>
  <c r="AD11" i="97"/>
  <c r="AD19" i="97"/>
  <c r="AC17" i="97"/>
  <c r="AC18" i="97"/>
  <c r="AC34" i="97"/>
  <c r="AC25" i="97"/>
  <c r="AC42" i="97"/>
  <c r="AC49" i="97"/>
  <c r="AC66" i="97"/>
  <c r="AC56" i="97"/>
  <c r="AC82" i="97"/>
  <c r="AC96" i="97"/>
  <c r="AC20" i="97"/>
  <c r="AC23" i="97"/>
  <c r="AC63" i="97"/>
  <c r="AC13" i="97"/>
  <c r="AC39" i="97"/>
  <c r="AC83" i="97"/>
  <c r="AC69" i="97"/>
  <c r="AC75" i="97"/>
  <c r="AC70" i="97"/>
  <c r="AC93" i="97"/>
  <c r="AC61" i="97"/>
  <c r="AC79" i="97"/>
  <c r="C22" i="94"/>
  <c r="AE20" i="95"/>
  <c r="AE35" i="95"/>
  <c r="AE24" i="95"/>
  <c r="AE74" i="95"/>
  <c r="AE85" i="95"/>
  <c r="AE50" i="95"/>
  <c r="AE71" i="95"/>
  <c r="AE41" i="95"/>
  <c r="AE31" i="95"/>
  <c r="AE46" i="95"/>
  <c r="AE80" i="95"/>
  <c r="AE23" i="95"/>
  <c r="AE36" i="95"/>
  <c r="AE57" i="95"/>
  <c r="AE86" i="95"/>
  <c r="AE34" i="95"/>
  <c r="AE66" i="95"/>
  <c r="AE60" i="95"/>
  <c r="AE92" i="95"/>
  <c r="AE38" i="95"/>
  <c r="AE67" i="95"/>
  <c r="AE40" i="95"/>
  <c r="AE84" i="95"/>
  <c r="AE15" i="95"/>
  <c r="AE47" i="95"/>
  <c r="AE93" i="95"/>
  <c r="AE29" i="95"/>
  <c r="AE17" i="95"/>
  <c r="AE89" i="95"/>
  <c r="AE79" i="95"/>
  <c r="AE14" i="95"/>
  <c r="AE18" i="95"/>
  <c r="AE27" i="95"/>
  <c r="AE28" i="95"/>
  <c r="AE22" i="95"/>
  <c r="AE11" i="95"/>
  <c r="AE44" i="95"/>
  <c r="AE52" i="95"/>
  <c r="AE51" i="95"/>
  <c r="AE96" i="95"/>
  <c r="AE69" i="95"/>
  <c r="AE68" i="95"/>
  <c r="AE83" i="95"/>
  <c r="AE91" i="95"/>
  <c r="AE16" i="95"/>
  <c r="AE12" i="95"/>
  <c r="AE59" i="95"/>
  <c r="AE37" i="95"/>
  <c r="AE33" i="95"/>
  <c r="AE30" i="95"/>
  <c r="AE48" i="95"/>
  <c r="AE42" i="95"/>
  <c r="AE53" i="95"/>
  <c r="AE75" i="95"/>
  <c r="AE81" i="95"/>
  <c r="AE95" i="95"/>
  <c r="AE70" i="95"/>
  <c r="AE94" i="95"/>
  <c r="AE39" i="95"/>
  <c r="AF8" i="95"/>
  <c r="AF93" i="95" s="1"/>
  <c r="AG7" i="95"/>
  <c r="AE56" i="95"/>
  <c r="AE61" i="95"/>
  <c r="AE45" i="95"/>
  <c r="AE62" i="95"/>
  <c r="AE78" i="95"/>
  <c r="AE58" i="95"/>
  <c r="AE82" i="95"/>
  <c r="AE77" i="95"/>
  <c r="AE55" i="95"/>
  <c r="AE25" i="95"/>
  <c r="AE26" i="95"/>
  <c r="AE19" i="95"/>
  <c r="AE13" i="95"/>
  <c r="AE72" i="95"/>
  <c r="AE49" i="95"/>
  <c r="AE73" i="95"/>
  <c r="AE63" i="95"/>
  <c r="AE88" i="95"/>
  <c r="AE64" i="95"/>
  <c r="AE97" i="95"/>
  <c r="E19" i="110"/>
  <c r="N43" i="111"/>
  <c r="V9" i="101"/>
  <c r="N54" i="99"/>
  <c r="V9" i="99"/>
  <c r="N10" i="113"/>
  <c r="B26" i="112"/>
  <c r="F19" i="112"/>
  <c r="F22" i="106"/>
  <c r="C22" i="104"/>
  <c r="B24" i="112"/>
  <c r="H22" i="94"/>
  <c r="I20" i="104"/>
  <c r="L87" i="105"/>
  <c r="I17" i="104" s="1"/>
  <c r="I19" i="104" s="1"/>
  <c r="I25" i="94"/>
  <c r="D25" i="102"/>
  <c r="I26" i="98"/>
  <c r="N76" i="105"/>
  <c r="F26" i="102"/>
  <c r="B26" i="106"/>
  <c r="D25" i="94"/>
  <c r="H19" i="104"/>
  <c r="B25" i="106"/>
  <c r="E25" i="98"/>
  <c r="D24" i="94"/>
  <c r="N65" i="101"/>
  <c r="B26" i="98"/>
  <c r="N55" i="105"/>
  <c r="O55" i="105" s="1"/>
  <c r="F26" i="104" s="1"/>
  <c r="B25" i="102"/>
  <c r="B25" i="98"/>
  <c r="L32" i="101"/>
  <c r="N32" i="101" s="1"/>
  <c r="D19" i="102"/>
  <c r="D26" i="102"/>
  <c r="E20" i="100"/>
  <c r="B24" i="102"/>
  <c r="D26" i="94"/>
  <c r="D24" i="98"/>
  <c r="B26" i="102"/>
  <c r="H26" i="104"/>
  <c r="G24" i="100"/>
  <c r="J17" i="112"/>
  <c r="L17" i="2" s="1"/>
  <c r="L30" i="2" s="1"/>
  <c r="H26" i="102"/>
  <c r="I24" i="98"/>
  <c r="I25" i="98"/>
  <c r="F25" i="102"/>
  <c r="C25" i="98"/>
  <c r="F17" i="102"/>
  <c r="F22" i="102" s="1"/>
  <c r="C24" i="98"/>
  <c r="F24" i="102"/>
  <c r="C24" i="104"/>
  <c r="H25" i="102"/>
  <c r="H24" i="102"/>
  <c r="I25" i="100"/>
  <c r="G25" i="100"/>
  <c r="H25" i="104"/>
  <c r="I25" i="108"/>
  <c r="J25" i="108" s="1"/>
  <c r="J25" i="2" s="1"/>
  <c r="F25" i="98"/>
  <c r="G26" i="98"/>
  <c r="I26" i="100"/>
  <c r="D24" i="102"/>
  <c r="I22" i="96"/>
  <c r="D26" i="98"/>
  <c r="J21" i="100"/>
  <c r="F21" i="2" s="1"/>
  <c r="F18" i="2"/>
  <c r="F31" i="2" s="1"/>
  <c r="H24" i="104"/>
  <c r="D22" i="112"/>
  <c r="D19" i="112"/>
  <c r="B9" i="112"/>
  <c r="H19" i="112"/>
  <c r="H22" i="112"/>
  <c r="B22" i="98"/>
  <c r="C25" i="100"/>
  <c r="J23" i="104"/>
  <c r="H23" i="2" s="1"/>
  <c r="N54" i="95"/>
  <c r="I26" i="94"/>
  <c r="B17" i="106"/>
  <c r="N10" i="107"/>
  <c r="D24" i="110"/>
  <c r="D26" i="110"/>
  <c r="D25" i="110"/>
  <c r="N76" i="111"/>
  <c r="H17" i="110"/>
  <c r="B24" i="104"/>
  <c r="N32" i="111"/>
  <c r="D17" i="110"/>
  <c r="C26" i="100"/>
  <c r="J18" i="112"/>
  <c r="B19" i="112"/>
  <c r="B10" i="112"/>
  <c r="B22" i="112"/>
  <c r="H24" i="110"/>
  <c r="H25" i="110"/>
  <c r="H26" i="110"/>
  <c r="L87" i="95"/>
  <c r="I17" i="94" s="1"/>
  <c r="F17" i="98"/>
  <c r="F19" i="98" s="1"/>
  <c r="E26" i="100"/>
  <c r="C24" i="112"/>
  <c r="C25" i="112"/>
  <c r="J25" i="112" s="1"/>
  <c r="L25" i="2" s="1"/>
  <c r="C26" i="112"/>
  <c r="G25" i="98"/>
  <c r="E24" i="100"/>
  <c r="B26" i="104"/>
  <c r="D25" i="104"/>
  <c r="F26" i="98"/>
  <c r="L43" i="101"/>
  <c r="E17" i="100" s="1"/>
  <c r="B25" i="104"/>
  <c r="I24" i="108"/>
  <c r="J24" i="108" s="1"/>
  <c r="J24" i="2" s="1"/>
  <c r="E25" i="100"/>
  <c r="J26" i="108"/>
  <c r="F24" i="98"/>
  <c r="E24" i="98"/>
  <c r="D26" i="104"/>
  <c r="C19" i="108"/>
  <c r="J19" i="108" s="1"/>
  <c r="J19" i="2" s="1"/>
  <c r="C22" i="108"/>
  <c r="B10" i="108"/>
  <c r="B11" i="108" s="1"/>
  <c r="E26" i="98"/>
  <c r="L76" i="101"/>
  <c r="N76" i="101" s="1"/>
  <c r="J18" i="108"/>
  <c r="B24" i="98"/>
  <c r="C24" i="100"/>
  <c r="E26" i="94"/>
  <c r="N10" i="103"/>
  <c r="D24" i="104"/>
  <c r="E19" i="106"/>
  <c r="E22" i="106"/>
  <c r="G19" i="106"/>
  <c r="G22" i="106"/>
  <c r="J23" i="100"/>
  <c r="F23" i="2" s="1"/>
  <c r="N32" i="103"/>
  <c r="D25" i="106"/>
  <c r="D24" i="106"/>
  <c r="D26" i="106"/>
  <c r="F25" i="106"/>
  <c r="F26" i="106"/>
  <c r="F24" i="106"/>
  <c r="H25" i="106"/>
  <c r="H26" i="106"/>
  <c r="H24" i="106"/>
  <c r="C19" i="106"/>
  <c r="B10" i="106"/>
  <c r="J18" i="106"/>
  <c r="C22" i="106"/>
  <c r="D22" i="106"/>
  <c r="N43" i="105"/>
  <c r="E18" i="104"/>
  <c r="N21" i="105"/>
  <c r="N32" i="105"/>
  <c r="D18" i="104"/>
  <c r="E26" i="104"/>
  <c r="E24" i="104"/>
  <c r="E25" i="104"/>
  <c r="N76" i="103"/>
  <c r="H17" i="102"/>
  <c r="J23" i="102"/>
  <c r="G23" i="2" s="1"/>
  <c r="C25" i="104"/>
  <c r="C19" i="104"/>
  <c r="L21" i="101"/>
  <c r="N65" i="105"/>
  <c r="G18" i="104"/>
  <c r="G24" i="104"/>
  <c r="G25" i="104"/>
  <c r="G26" i="104"/>
  <c r="N10" i="105"/>
  <c r="B18" i="104"/>
  <c r="B22" i="104" s="1"/>
  <c r="C26" i="104"/>
  <c r="H22" i="104"/>
  <c r="F18" i="104"/>
  <c r="G24" i="98"/>
  <c r="C26" i="98"/>
  <c r="N33" i="101"/>
  <c r="O33" i="101" s="1"/>
  <c r="D24" i="100" s="1"/>
  <c r="I26" i="102"/>
  <c r="I25" i="102"/>
  <c r="I24" i="102"/>
  <c r="C24" i="102"/>
  <c r="C25" i="102"/>
  <c r="C26" i="102"/>
  <c r="N87" i="101"/>
  <c r="I17" i="100"/>
  <c r="I17" i="102"/>
  <c r="N87" i="103"/>
  <c r="C17" i="102"/>
  <c r="N21" i="103"/>
  <c r="G26" i="100"/>
  <c r="G17" i="102"/>
  <c r="N65" i="103"/>
  <c r="E17" i="102"/>
  <c r="N43" i="103"/>
  <c r="J18" i="102"/>
  <c r="B10" i="102"/>
  <c r="B19" i="102"/>
  <c r="J23" i="98"/>
  <c r="E23" i="2" s="1"/>
  <c r="B22" i="102"/>
  <c r="G24" i="102"/>
  <c r="G25" i="102"/>
  <c r="G26" i="102"/>
  <c r="E26" i="102"/>
  <c r="E25" i="102"/>
  <c r="E24" i="102"/>
  <c r="I24" i="100"/>
  <c r="G22" i="100"/>
  <c r="G19" i="100"/>
  <c r="D25" i="98"/>
  <c r="N11" i="101"/>
  <c r="O11" i="101" s="1"/>
  <c r="N32" i="99"/>
  <c r="D17" i="98"/>
  <c r="H24" i="100"/>
  <c r="H25" i="100"/>
  <c r="H26" i="100"/>
  <c r="F26" i="100"/>
  <c r="F24" i="100"/>
  <c r="F25" i="100"/>
  <c r="F22" i="100"/>
  <c r="F19" i="100"/>
  <c r="F19" i="94"/>
  <c r="N10" i="99"/>
  <c r="N54" i="101"/>
  <c r="N80" i="99"/>
  <c r="O80" i="99" s="1"/>
  <c r="H26" i="98" s="1"/>
  <c r="L76" i="99"/>
  <c r="I24" i="94"/>
  <c r="N21" i="99"/>
  <c r="C17" i="98"/>
  <c r="J18" i="98"/>
  <c r="B10" i="98"/>
  <c r="B19" i="98"/>
  <c r="I17" i="98"/>
  <c r="N87" i="99"/>
  <c r="N65" i="99"/>
  <c r="G17" i="98"/>
  <c r="E17" i="98"/>
  <c r="N43" i="99"/>
  <c r="E25" i="94"/>
  <c r="L65" i="95"/>
  <c r="G17" i="94" s="1"/>
  <c r="J23" i="96"/>
  <c r="D23" i="2" s="1"/>
  <c r="N78" i="97"/>
  <c r="O78" i="97" s="1"/>
  <c r="L76" i="97"/>
  <c r="H17" i="96" s="1"/>
  <c r="N67" i="95"/>
  <c r="O67" i="95" s="1"/>
  <c r="G24" i="94" s="1"/>
  <c r="C24" i="96"/>
  <c r="J87" i="95"/>
  <c r="I20" i="94" s="1"/>
  <c r="H18" i="96"/>
  <c r="N43" i="97"/>
  <c r="E18" i="96"/>
  <c r="I26" i="96"/>
  <c r="I24" i="96"/>
  <c r="I25" i="96"/>
  <c r="N65" i="97"/>
  <c r="G18" i="96"/>
  <c r="G19" i="96" s="1"/>
  <c r="N11" i="97"/>
  <c r="O11" i="97" s="1"/>
  <c r="L10" i="97"/>
  <c r="B17" i="96" s="1"/>
  <c r="N54" i="97"/>
  <c r="F18" i="96"/>
  <c r="D25" i="96"/>
  <c r="D26" i="96"/>
  <c r="D24" i="96"/>
  <c r="C25" i="96"/>
  <c r="F25" i="96"/>
  <c r="F26" i="96"/>
  <c r="F24" i="96"/>
  <c r="J23" i="94"/>
  <c r="C23" i="2" s="1"/>
  <c r="D19" i="94"/>
  <c r="B18" i="96"/>
  <c r="N21" i="97"/>
  <c r="C18" i="96"/>
  <c r="N32" i="97"/>
  <c r="D18" i="96"/>
  <c r="D19" i="96" s="1"/>
  <c r="C26" i="96"/>
  <c r="I19" i="96"/>
  <c r="C19" i="94"/>
  <c r="E24" i="94"/>
  <c r="G24" i="96"/>
  <c r="G26" i="96"/>
  <c r="G25" i="96"/>
  <c r="E26" i="96"/>
  <c r="E24" i="96"/>
  <c r="E25" i="96"/>
  <c r="N87" i="97"/>
  <c r="E18" i="94"/>
  <c r="N43" i="95"/>
  <c r="B25" i="94"/>
  <c r="B24" i="94"/>
  <c r="B26" i="94"/>
  <c r="H26" i="94"/>
  <c r="H25" i="94"/>
  <c r="H24" i="94"/>
  <c r="G18" i="94"/>
  <c r="H19" i="94"/>
  <c r="F22" i="94"/>
  <c r="N76" i="95"/>
  <c r="N32" i="95"/>
  <c r="C24" i="94"/>
  <c r="C25" i="94"/>
  <c r="C26" i="94"/>
  <c r="N10" i="95"/>
  <c r="B18" i="94"/>
  <c r="D22" i="94"/>
  <c r="N21" i="95"/>
  <c r="F25" i="94"/>
  <c r="F24" i="94"/>
  <c r="F26" i="94"/>
  <c r="J20" i="108" l="1"/>
  <c r="J20" i="2" s="1"/>
  <c r="N10" i="101"/>
  <c r="B22" i="100"/>
  <c r="N54" i="105"/>
  <c r="I25" i="104"/>
  <c r="I26" i="104"/>
  <c r="AF19" i="95"/>
  <c r="AF27" i="95"/>
  <c r="AD66" i="59"/>
  <c r="AD74" i="59"/>
  <c r="AD33" i="59"/>
  <c r="AD61" i="59"/>
  <c r="AD18" i="59"/>
  <c r="AD29" i="59"/>
  <c r="AD97" i="59"/>
  <c r="AD51" i="59"/>
  <c r="AD52" i="59"/>
  <c r="J26" i="2"/>
  <c r="AF33" i="95"/>
  <c r="AF34" i="95"/>
  <c r="AF44" i="95"/>
  <c r="AF17" i="95"/>
  <c r="AF51" i="95"/>
  <c r="AF96" i="95"/>
  <c r="H25" i="96"/>
  <c r="AF24" i="95"/>
  <c r="D17" i="100"/>
  <c r="D19" i="100" s="1"/>
  <c r="M23" i="2"/>
  <c r="AD28" i="59"/>
  <c r="AD22" i="59"/>
  <c r="AD39" i="59"/>
  <c r="AD47" i="59"/>
  <c r="AD56" i="59"/>
  <c r="AD62" i="59"/>
  <c r="AD84" i="59"/>
  <c r="AD89" i="59"/>
  <c r="AD23" i="59"/>
  <c r="AD41" i="59"/>
  <c r="AD46" i="59"/>
  <c r="AD27" i="59"/>
  <c r="AD67" i="59"/>
  <c r="AD64" i="59"/>
  <c r="AD75" i="59"/>
  <c r="AD77" i="59"/>
  <c r="AD94" i="59"/>
  <c r="AD12" i="59"/>
  <c r="AD11" i="59"/>
  <c r="AD19" i="59"/>
  <c r="AD45" i="59"/>
  <c r="AD36" i="59"/>
  <c r="AD49" i="59"/>
  <c r="AD68" i="59"/>
  <c r="AD60" i="59"/>
  <c r="AD80" i="59"/>
  <c r="AD91" i="59"/>
  <c r="AD15" i="59"/>
  <c r="AD26" i="59"/>
  <c r="AD40" i="59"/>
  <c r="AD34" i="59"/>
  <c r="AD48" i="59"/>
  <c r="AD55" i="59"/>
  <c r="AD71" i="59"/>
  <c r="AD69" i="59"/>
  <c r="AD86" i="59"/>
  <c r="AD88" i="59"/>
  <c r="AD38" i="59"/>
  <c r="AD37" i="59"/>
  <c r="AD63" i="59"/>
  <c r="AD42" i="59"/>
  <c r="AD50" i="59"/>
  <c r="AD72" i="59"/>
  <c r="AD57" i="59"/>
  <c r="AD79" i="59"/>
  <c r="AD95" i="59"/>
  <c r="AD96" i="59"/>
  <c r="AD17" i="59"/>
  <c r="AF7" i="59"/>
  <c r="AE8" i="59"/>
  <c r="AE93" i="59" s="1"/>
  <c r="AD31" i="59"/>
  <c r="AD25" i="59"/>
  <c r="AD70" i="59"/>
  <c r="AD58" i="59"/>
  <c r="AD81" i="59"/>
  <c r="AD53" i="59"/>
  <c r="AD82" i="59"/>
  <c r="AD83" i="59"/>
  <c r="AD93" i="59"/>
  <c r="AD24" i="59"/>
  <c r="AD14" i="59"/>
  <c r="AD44" i="59"/>
  <c r="AD35" i="59"/>
  <c r="AD30" i="59"/>
  <c r="AD73" i="59"/>
  <c r="AD78" i="59"/>
  <c r="AD59" i="59"/>
  <c r="AD85" i="59"/>
  <c r="AD92" i="59"/>
  <c r="AD16" i="113"/>
  <c r="AD31" i="113"/>
  <c r="AD45" i="113"/>
  <c r="AD36" i="113"/>
  <c r="AD61" i="113"/>
  <c r="AD53" i="113"/>
  <c r="AD66" i="113"/>
  <c r="AD80" i="113"/>
  <c r="AD75" i="113"/>
  <c r="AD94" i="113"/>
  <c r="AD14" i="113"/>
  <c r="AD15" i="113"/>
  <c r="AD30" i="113"/>
  <c r="AD71" i="113"/>
  <c r="AD70" i="113"/>
  <c r="AD28" i="113"/>
  <c r="AD82" i="113"/>
  <c r="AD68" i="113"/>
  <c r="AD81" i="113"/>
  <c r="AD88" i="113"/>
  <c r="AD27" i="113"/>
  <c r="AD50" i="113"/>
  <c r="AD56" i="113"/>
  <c r="AD29" i="113"/>
  <c r="AD44" i="113"/>
  <c r="AD37" i="113"/>
  <c r="AD63" i="113"/>
  <c r="AD83" i="113"/>
  <c r="AD86" i="113"/>
  <c r="AD96" i="113"/>
  <c r="AD22" i="113"/>
  <c r="AE88" i="113"/>
  <c r="AE92" i="113"/>
  <c r="AE84" i="113"/>
  <c r="AE85" i="113"/>
  <c r="AE71" i="113"/>
  <c r="AE72" i="113"/>
  <c r="AE55" i="113"/>
  <c r="AE77" i="113"/>
  <c r="AE67" i="113"/>
  <c r="AE53" i="113"/>
  <c r="AE31" i="113"/>
  <c r="AE47" i="113"/>
  <c r="AE33" i="113"/>
  <c r="AE29" i="113"/>
  <c r="AE34" i="113"/>
  <c r="AE56" i="113"/>
  <c r="AE42" i="113"/>
  <c r="AE18" i="113"/>
  <c r="AE12" i="113"/>
  <c r="AF7" i="113"/>
  <c r="AE8" i="113"/>
  <c r="AE96" i="113" s="1"/>
  <c r="AE13" i="113"/>
  <c r="AD23" i="113"/>
  <c r="AD25" i="113"/>
  <c r="AD38" i="113"/>
  <c r="AD52" i="113"/>
  <c r="AD46" i="113"/>
  <c r="AD72" i="113"/>
  <c r="AD74" i="113"/>
  <c r="AD78" i="113"/>
  <c r="AD93" i="113"/>
  <c r="AD11" i="113"/>
  <c r="AD18" i="113"/>
  <c r="AD34" i="113"/>
  <c r="AD39" i="113"/>
  <c r="AD47" i="113"/>
  <c r="AD77" i="113"/>
  <c r="AD73" i="113"/>
  <c r="AD67" i="113"/>
  <c r="AD85" i="113"/>
  <c r="AD92" i="113"/>
  <c r="AD90" i="113"/>
  <c r="AD13" i="113"/>
  <c r="AD41" i="113"/>
  <c r="AD17" i="113"/>
  <c r="AD33" i="113"/>
  <c r="AD55" i="113"/>
  <c r="AD40" i="113"/>
  <c r="AD42" i="113"/>
  <c r="AD60" i="113"/>
  <c r="AD79" i="113"/>
  <c r="AD89" i="113"/>
  <c r="AD26" i="113"/>
  <c r="AD35" i="113"/>
  <c r="AD20" i="113"/>
  <c r="AD57" i="113"/>
  <c r="AD49" i="113"/>
  <c r="AD51" i="113"/>
  <c r="AD69" i="113"/>
  <c r="AD95" i="113"/>
  <c r="AF92" i="111"/>
  <c r="AF95" i="111"/>
  <c r="AF86" i="111"/>
  <c r="AF52" i="111"/>
  <c r="AF44" i="111"/>
  <c r="AF58" i="111"/>
  <c r="AF62" i="111"/>
  <c r="AF59" i="111"/>
  <c r="AF80" i="111"/>
  <c r="AF57" i="111"/>
  <c r="AF83" i="111"/>
  <c r="AF74" i="111"/>
  <c r="AF56" i="111"/>
  <c r="AF84" i="111"/>
  <c r="AF77" i="111"/>
  <c r="AF48" i="111"/>
  <c r="AF47" i="111"/>
  <c r="AF40" i="111"/>
  <c r="AF37" i="111"/>
  <c r="AF89" i="111"/>
  <c r="AF41" i="111"/>
  <c r="AF38" i="111"/>
  <c r="AF90" i="111"/>
  <c r="AF75" i="111"/>
  <c r="AF46" i="111"/>
  <c r="AF55" i="111"/>
  <c r="AF68" i="111"/>
  <c r="AF63" i="111"/>
  <c r="AF33" i="111"/>
  <c r="AF24" i="111"/>
  <c r="AF27" i="111"/>
  <c r="AF85" i="111"/>
  <c r="AF34" i="111"/>
  <c r="AF25" i="111"/>
  <c r="AF30" i="111"/>
  <c r="AF15" i="111"/>
  <c r="AF35" i="111"/>
  <c r="AF26" i="111"/>
  <c r="AF18" i="111"/>
  <c r="AF8" i="111"/>
  <c r="AF96" i="111" s="1"/>
  <c r="AF31" i="111"/>
  <c r="AF13" i="111"/>
  <c r="AF36" i="111"/>
  <c r="AF20" i="111"/>
  <c r="AF11" i="111"/>
  <c r="AF23" i="111"/>
  <c r="AF16" i="111"/>
  <c r="AF28" i="111"/>
  <c r="AF17" i="111"/>
  <c r="AG7" i="111"/>
  <c r="AF14" i="111"/>
  <c r="AF22" i="111"/>
  <c r="AF12" i="111"/>
  <c r="AF60" i="111"/>
  <c r="AF29" i="111"/>
  <c r="AF19" i="111"/>
  <c r="AE27" i="111"/>
  <c r="AE38" i="111"/>
  <c r="AE95" i="111"/>
  <c r="AE45" i="111"/>
  <c r="AE44" i="111"/>
  <c r="AE66" i="111"/>
  <c r="AE40" i="111"/>
  <c r="AE94" i="111"/>
  <c r="AE88" i="111"/>
  <c r="AE85" i="111"/>
  <c r="AE53" i="111"/>
  <c r="AE67" i="111"/>
  <c r="AE58" i="111"/>
  <c r="AE78" i="111"/>
  <c r="AE93" i="111"/>
  <c r="AE22" i="111"/>
  <c r="AE15" i="111"/>
  <c r="AE33" i="111"/>
  <c r="AE46" i="111"/>
  <c r="AE36" i="111"/>
  <c r="AE57" i="111"/>
  <c r="AE73" i="111"/>
  <c r="AE68" i="111"/>
  <c r="AE83" i="111"/>
  <c r="AE63" i="111"/>
  <c r="AE47" i="111"/>
  <c r="AE52" i="111"/>
  <c r="AE79" i="111"/>
  <c r="AE61" i="111"/>
  <c r="AE71" i="111"/>
  <c r="AE92" i="111"/>
  <c r="AE18" i="111"/>
  <c r="AE20" i="111"/>
  <c r="AE51" i="111"/>
  <c r="AE56" i="111"/>
  <c r="AE80" i="111"/>
  <c r="AE64" i="111"/>
  <c r="AE74" i="111"/>
  <c r="AE89" i="111"/>
  <c r="AE12" i="111"/>
  <c r="AE29" i="111"/>
  <c r="AE62" i="111"/>
  <c r="AE77" i="111"/>
  <c r="AE59" i="111"/>
  <c r="AE72" i="111"/>
  <c r="AE82" i="111"/>
  <c r="AE97" i="111"/>
  <c r="AE30" i="111"/>
  <c r="AE48" i="111"/>
  <c r="AE41" i="111"/>
  <c r="AE84" i="111"/>
  <c r="AE60" i="111"/>
  <c r="AE90" i="111"/>
  <c r="AE86" i="111"/>
  <c r="AD13" i="109"/>
  <c r="AD53" i="109"/>
  <c r="AD20" i="109"/>
  <c r="AD26" i="109"/>
  <c r="AD19" i="109"/>
  <c r="AD25" i="109"/>
  <c r="AD62" i="109"/>
  <c r="AD61" i="109"/>
  <c r="AD67" i="109"/>
  <c r="AD94" i="109"/>
  <c r="AD24" i="109"/>
  <c r="AD80" i="109"/>
  <c r="AD44" i="109"/>
  <c r="AD37" i="109"/>
  <c r="AD42" i="109"/>
  <c r="AD79" i="109"/>
  <c r="AD83" i="109"/>
  <c r="AD89" i="109"/>
  <c r="AD88" i="109"/>
  <c r="AD15" i="109"/>
  <c r="AD39" i="109"/>
  <c r="AD38" i="109"/>
  <c r="AD49" i="109"/>
  <c r="AD45" i="109"/>
  <c r="AD66" i="109"/>
  <c r="AD58" i="109"/>
  <c r="AD97" i="109"/>
  <c r="AD86" i="109"/>
  <c r="AD96" i="109"/>
  <c r="AD11" i="109"/>
  <c r="AD23" i="109"/>
  <c r="AD12" i="109"/>
  <c r="AD50" i="109"/>
  <c r="AD57" i="109"/>
  <c r="AD48" i="109"/>
  <c r="AD46" i="109"/>
  <c r="AD69" i="109"/>
  <c r="AD64" i="109"/>
  <c r="AD84" i="109"/>
  <c r="AD93" i="109"/>
  <c r="AD36" i="109"/>
  <c r="AD14" i="109"/>
  <c r="AD29" i="109"/>
  <c r="AD27" i="109"/>
  <c r="AD74" i="109"/>
  <c r="AD51" i="109"/>
  <c r="AD56" i="109"/>
  <c r="AD73" i="109"/>
  <c r="AD68" i="109"/>
  <c r="AD81" i="109"/>
  <c r="AD90" i="109"/>
  <c r="AD40" i="109"/>
  <c r="AD22" i="109"/>
  <c r="AD31" i="109"/>
  <c r="AD41" i="109"/>
  <c r="AD78" i="109"/>
  <c r="AD59" i="109"/>
  <c r="AD60" i="109"/>
  <c r="AD77" i="109"/>
  <c r="AD71" i="109"/>
  <c r="AD92" i="109"/>
  <c r="AE96" i="109"/>
  <c r="AE88" i="109"/>
  <c r="AE89" i="109"/>
  <c r="AE84" i="109"/>
  <c r="AE95" i="109"/>
  <c r="AE90" i="109"/>
  <c r="AE75" i="109"/>
  <c r="AE77" i="109"/>
  <c r="AE69" i="109"/>
  <c r="AE58" i="109"/>
  <c r="AE80" i="109"/>
  <c r="AE71" i="109"/>
  <c r="AE64" i="109"/>
  <c r="AE67" i="109"/>
  <c r="AE60" i="109"/>
  <c r="AE68" i="109"/>
  <c r="AE51" i="109"/>
  <c r="AE48" i="109"/>
  <c r="AE37" i="109"/>
  <c r="AE28" i="109"/>
  <c r="AE92" i="109"/>
  <c r="AE31" i="109"/>
  <c r="AE23" i="109"/>
  <c r="AE56" i="109"/>
  <c r="AE53" i="109"/>
  <c r="AE38" i="109"/>
  <c r="AE20" i="109"/>
  <c r="AE50" i="109"/>
  <c r="AE78" i="109"/>
  <c r="AE62" i="109"/>
  <c r="AE74" i="109"/>
  <c r="AE44" i="109"/>
  <c r="AE55" i="109"/>
  <c r="AE83" i="109"/>
  <c r="AE52" i="109"/>
  <c r="AE35" i="109"/>
  <c r="AE12" i="109"/>
  <c r="AE66" i="109"/>
  <c r="AE61" i="109"/>
  <c r="AE39" i="109"/>
  <c r="AE26" i="109"/>
  <c r="AE16" i="109"/>
  <c r="AE41" i="109"/>
  <c r="AE22" i="109"/>
  <c r="AE30" i="109"/>
  <c r="AE24" i="109"/>
  <c r="AE25" i="109"/>
  <c r="AE13" i="109"/>
  <c r="AF7" i="109"/>
  <c r="AE63" i="109"/>
  <c r="AE17" i="109"/>
  <c r="AE15" i="109"/>
  <c r="AE11" i="109"/>
  <c r="AE8" i="109"/>
  <c r="AE91" i="109" s="1"/>
  <c r="AE18" i="109"/>
  <c r="AD47" i="109"/>
  <c r="AD52" i="109"/>
  <c r="AD17" i="109"/>
  <c r="AD82" i="109"/>
  <c r="AD16" i="109"/>
  <c r="AD70" i="109"/>
  <c r="AD55" i="109"/>
  <c r="AD85" i="109"/>
  <c r="AE18" i="107"/>
  <c r="AF96" i="107"/>
  <c r="AF89" i="107"/>
  <c r="AF92" i="107"/>
  <c r="AF95" i="107"/>
  <c r="AF86" i="107"/>
  <c r="AF68" i="107"/>
  <c r="AF82" i="107"/>
  <c r="AF74" i="107"/>
  <c r="AF93" i="107"/>
  <c r="AF77" i="107"/>
  <c r="AF69" i="107"/>
  <c r="AF64" i="107"/>
  <c r="AF61" i="107"/>
  <c r="AF38" i="107"/>
  <c r="AF29" i="107"/>
  <c r="AF50" i="107"/>
  <c r="AF41" i="107"/>
  <c r="AF62" i="107"/>
  <c r="AF80" i="107"/>
  <c r="AF70" i="107"/>
  <c r="AF67" i="107"/>
  <c r="AF55" i="107"/>
  <c r="AF51" i="107"/>
  <c r="AF44" i="107"/>
  <c r="AF75" i="107"/>
  <c r="AF59" i="107"/>
  <c r="AF19" i="107"/>
  <c r="AF49" i="107"/>
  <c r="AF42" i="107"/>
  <c r="AF48" i="107"/>
  <c r="AF37" i="107"/>
  <c r="AF20" i="107"/>
  <c r="AF27" i="107"/>
  <c r="AF40" i="107"/>
  <c r="AF30" i="107"/>
  <c r="AF22" i="107"/>
  <c r="AF12" i="107"/>
  <c r="AF28" i="107"/>
  <c r="AF11" i="107"/>
  <c r="AF14" i="107"/>
  <c r="AF24" i="107"/>
  <c r="AG7" i="107"/>
  <c r="AF13" i="107"/>
  <c r="AF8" i="107"/>
  <c r="AF88" i="107" s="1"/>
  <c r="AE23" i="107"/>
  <c r="AE37" i="107"/>
  <c r="AE67" i="107"/>
  <c r="AE69" i="107"/>
  <c r="AE44" i="107"/>
  <c r="AE70" i="107"/>
  <c r="AE83" i="107"/>
  <c r="AE88" i="107"/>
  <c r="AE30" i="107"/>
  <c r="AE17" i="107"/>
  <c r="AE52" i="107"/>
  <c r="AE48" i="107"/>
  <c r="AE42" i="107"/>
  <c r="AE29" i="107"/>
  <c r="AE90" i="107"/>
  <c r="AE85" i="107"/>
  <c r="AE95" i="107"/>
  <c r="AE30" i="105"/>
  <c r="AE33" i="105"/>
  <c r="AE15" i="105"/>
  <c r="AE35" i="105"/>
  <c r="AE34" i="105"/>
  <c r="AE57" i="105"/>
  <c r="AE90" i="105"/>
  <c r="AE58" i="105"/>
  <c r="AE95" i="105"/>
  <c r="AE91" i="105"/>
  <c r="AE41" i="105"/>
  <c r="AE12" i="105"/>
  <c r="AE14" i="105"/>
  <c r="AE27" i="105"/>
  <c r="AE51" i="105"/>
  <c r="AE75" i="105"/>
  <c r="AE68" i="105"/>
  <c r="AE72" i="105"/>
  <c r="AE83" i="105"/>
  <c r="AE96" i="105"/>
  <c r="AE19" i="105"/>
  <c r="AE47" i="105"/>
  <c r="AE20" i="105"/>
  <c r="AE23" i="105"/>
  <c r="AE36" i="105"/>
  <c r="AE53" i="105"/>
  <c r="AE78" i="105"/>
  <c r="AE64" i="105"/>
  <c r="AE77" i="105"/>
  <c r="AE80" i="105"/>
  <c r="AE93" i="105"/>
  <c r="AF96" i="105"/>
  <c r="AG7" i="105"/>
  <c r="AF8" i="105"/>
  <c r="AF88" i="105" s="1"/>
  <c r="AE11" i="105"/>
  <c r="AE31" i="105"/>
  <c r="AE40" i="105"/>
  <c r="AE28" i="105"/>
  <c r="AE39" i="105"/>
  <c r="AE48" i="105"/>
  <c r="AE63" i="105"/>
  <c r="AE73" i="105"/>
  <c r="AE79" i="105"/>
  <c r="AE92" i="105"/>
  <c r="AE18" i="105"/>
  <c r="AE50" i="105"/>
  <c r="AE24" i="105"/>
  <c r="AE29" i="105"/>
  <c r="AE55" i="105"/>
  <c r="AE56" i="105"/>
  <c r="AE62" i="105"/>
  <c r="AE82" i="105"/>
  <c r="AE84" i="105"/>
  <c r="AE90" i="103"/>
  <c r="AE97" i="103"/>
  <c r="AE27" i="103"/>
  <c r="AE45" i="103"/>
  <c r="AE49" i="103"/>
  <c r="AE39" i="103"/>
  <c r="AE68" i="103"/>
  <c r="AE70" i="103"/>
  <c r="AE81" i="103"/>
  <c r="AE91" i="103"/>
  <c r="AF97" i="103"/>
  <c r="AF89" i="103"/>
  <c r="AF92" i="103"/>
  <c r="AF95" i="103"/>
  <c r="AF79" i="103"/>
  <c r="AF88" i="103"/>
  <c r="AF82" i="103"/>
  <c r="AF93" i="103"/>
  <c r="AF58" i="103"/>
  <c r="AF83" i="103"/>
  <c r="AF73" i="103"/>
  <c r="AF64" i="103"/>
  <c r="AF69" i="103"/>
  <c r="AF70" i="103"/>
  <c r="AF71" i="103"/>
  <c r="AF63" i="103"/>
  <c r="AF80" i="103"/>
  <c r="AF72" i="103"/>
  <c r="AF57" i="103"/>
  <c r="AF51" i="103"/>
  <c r="AF42" i="103"/>
  <c r="AF62" i="103"/>
  <c r="AF59" i="103"/>
  <c r="AF40" i="103"/>
  <c r="AF56" i="103"/>
  <c r="AF55" i="103"/>
  <c r="AF52" i="103"/>
  <c r="AF47" i="103"/>
  <c r="AF50" i="103"/>
  <c r="AF35" i="103"/>
  <c r="AF44" i="103"/>
  <c r="AF39" i="103"/>
  <c r="AF60" i="103"/>
  <c r="AF37" i="103"/>
  <c r="AF29" i="103"/>
  <c r="AF24" i="103"/>
  <c r="AF34" i="103"/>
  <c r="AF30" i="103"/>
  <c r="AF22" i="103"/>
  <c r="AF53" i="103"/>
  <c r="AF36" i="103"/>
  <c r="AF16" i="103"/>
  <c r="AF17" i="103"/>
  <c r="AF11" i="103"/>
  <c r="AG7" i="103"/>
  <c r="AF23" i="103"/>
  <c r="AF41" i="103"/>
  <c r="AF14" i="103"/>
  <c r="AF27" i="103"/>
  <c r="AF31" i="103"/>
  <c r="AF26" i="103"/>
  <c r="AF18" i="103"/>
  <c r="AF12" i="103"/>
  <c r="AF19" i="103"/>
  <c r="AF8" i="103"/>
  <c r="AF86" i="103" s="1"/>
  <c r="AF15" i="103"/>
  <c r="AE24" i="103"/>
  <c r="AE35" i="103"/>
  <c r="AE42" i="103"/>
  <c r="AE37" i="103"/>
  <c r="AE48" i="103"/>
  <c r="AE67" i="103"/>
  <c r="AE75" i="103"/>
  <c r="AE78" i="103"/>
  <c r="AE88" i="103"/>
  <c r="AE38" i="103"/>
  <c r="AE50" i="103"/>
  <c r="AE46" i="103"/>
  <c r="AE60" i="103"/>
  <c r="AE69" i="103"/>
  <c r="AE63" i="103"/>
  <c r="AE86" i="103"/>
  <c r="AE96" i="103"/>
  <c r="AE12" i="103"/>
  <c r="AE17" i="103"/>
  <c r="AE19" i="103"/>
  <c r="AE20" i="103"/>
  <c r="AE34" i="103"/>
  <c r="AE59" i="103"/>
  <c r="AE74" i="103"/>
  <c r="AE71" i="103"/>
  <c r="AE72" i="103"/>
  <c r="AE95" i="103"/>
  <c r="AE93" i="103"/>
  <c r="AE23" i="103"/>
  <c r="AE30" i="103"/>
  <c r="AE28" i="103"/>
  <c r="AE29" i="103"/>
  <c r="AE41" i="103"/>
  <c r="AE62" i="103"/>
  <c r="AE79" i="103"/>
  <c r="AE80" i="103"/>
  <c r="AE85" i="103"/>
  <c r="AD22" i="101"/>
  <c r="AD36" i="101"/>
  <c r="AD19" i="101"/>
  <c r="AD39" i="101"/>
  <c r="AD58" i="101"/>
  <c r="AD59" i="101"/>
  <c r="AD63" i="101"/>
  <c r="AD53" i="101"/>
  <c r="AD84" i="101"/>
  <c r="AD91" i="101"/>
  <c r="AD12" i="101"/>
  <c r="AD34" i="101"/>
  <c r="AD28" i="101"/>
  <c r="AD27" i="101"/>
  <c r="AD50" i="101"/>
  <c r="AD42" i="101"/>
  <c r="AD60" i="101"/>
  <c r="AD85" i="101"/>
  <c r="AD78" i="101"/>
  <c r="AD96" i="101"/>
  <c r="AD16" i="101"/>
  <c r="AD38" i="101"/>
  <c r="AD48" i="101"/>
  <c r="AD56" i="101"/>
  <c r="AD70" i="101"/>
  <c r="AD51" i="101"/>
  <c r="AD69" i="101"/>
  <c r="AD77" i="101"/>
  <c r="AD86" i="101"/>
  <c r="AD93" i="101"/>
  <c r="AD15" i="101"/>
  <c r="AD18" i="101"/>
  <c r="AD37" i="101"/>
  <c r="AD31" i="101"/>
  <c r="AD61" i="101"/>
  <c r="AD55" i="101"/>
  <c r="AD57" i="101"/>
  <c r="AD66" i="101"/>
  <c r="AD80" i="101"/>
  <c r="AD95" i="101"/>
  <c r="AD90" i="101"/>
  <c r="AD17" i="101"/>
  <c r="AD13" i="101"/>
  <c r="AD26" i="101"/>
  <c r="AD47" i="101"/>
  <c r="AD33" i="101"/>
  <c r="AD40" i="101"/>
  <c r="AD64" i="101"/>
  <c r="AD72" i="101"/>
  <c r="AD82" i="101"/>
  <c r="AD89" i="101"/>
  <c r="AE91" i="101"/>
  <c r="AE94" i="101"/>
  <c r="AE86" i="101"/>
  <c r="AE79" i="101"/>
  <c r="AE74" i="101"/>
  <c r="AE73" i="101"/>
  <c r="AE55" i="101"/>
  <c r="AE67" i="101"/>
  <c r="AE53" i="101"/>
  <c r="AE49" i="101"/>
  <c r="AE61" i="101"/>
  <c r="AE56" i="101"/>
  <c r="AE30" i="101"/>
  <c r="AE51" i="101"/>
  <c r="AE52" i="101"/>
  <c r="AE29" i="101"/>
  <c r="AE20" i="101"/>
  <c r="AE13" i="101"/>
  <c r="AE18" i="101"/>
  <c r="AE14" i="101"/>
  <c r="AF7" i="101"/>
  <c r="AE19" i="101"/>
  <c r="AE8" i="101"/>
  <c r="AE97" i="101" s="1"/>
  <c r="AD20" i="101"/>
  <c r="AD68" i="101"/>
  <c r="AD52" i="101"/>
  <c r="AD35" i="101"/>
  <c r="AD49" i="101"/>
  <c r="AD67" i="101"/>
  <c r="AD73" i="101"/>
  <c r="AD79" i="101"/>
  <c r="AD97" i="101"/>
  <c r="AD23" i="101"/>
  <c r="AD30" i="101"/>
  <c r="AD44" i="101"/>
  <c r="AD46" i="101"/>
  <c r="AD83" i="101"/>
  <c r="AD74" i="101"/>
  <c r="AD92" i="101"/>
  <c r="AD52" i="99"/>
  <c r="AD53" i="99"/>
  <c r="AD30" i="99"/>
  <c r="AD23" i="99"/>
  <c r="AD18" i="99"/>
  <c r="AD55" i="99"/>
  <c r="AD35" i="99"/>
  <c r="AD84" i="99"/>
  <c r="AD62" i="99"/>
  <c r="AD78" i="99"/>
  <c r="AD85" i="99"/>
  <c r="AD91" i="99"/>
  <c r="AD19" i="99"/>
  <c r="AD47" i="99"/>
  <c r="AD61" i="99"/>
  <c r="AD20" i="99"/>
  <c r="AD31" i="99"/>
  <c r="AD50" i="99"/>
  <c r="AD28" i="99"/>
  <c r="AD44" i="99"/>
  <c r="AD58" i="99"/>
  <c r="AD66" i="99"/>
  <c r="AD74" i="99"/>
  <c r="AD64" i="99"/>
  <c r="AD88" i="99"/>
  <c r="AD27" i="99"/>
  <c r="AD11" i="99"/>
  <c r="AD42" i="99"/>
  <c r="AD25" i="99"/>
  <c r="AD40" i="99"/>
  <c r="AD79" i="99"/>
  <c r="AD75" i="99"/>
  <c r="AD83" i="99"/>
  <c r="AD73" i="99"/>
  <c r="AD96" i="99"/>
  <c r="AD24" i="99"/>
  <c r="AD45" i="99"/>
  <c r="AD16" i="99"/>
  <c r="AD29" i="99"/>
  <c r="AD70" i="99"/>
  <c r="AD48" i="99"/>
  <c r="AD51" i="99"/>
  <c r="AD63" i="99"/>
  <c r="AD71" i="99"/>
  <c r="AD82" i="99"/>
  <c r="AD93" i="99"/>
  <c r="AE93" i="99"/>
  <c r="AE88" i="99"/>
  <c r="AE89" i="99"/>
  <c r="AE92" i="99"/>
  <c r="AE95" i="99"/>
  <c r="AE86" i="99"/>
  <c r="AE85" i="99"/>
  <c r="AE77" i="99"/>
  <c r="AE68" i="99"/>
  <c r="AE71" i="99"/>
  <c r="AE83" i="99"/>
  <c r="AE74" i="99"/>
  <c r="AE66" i="99"/>
  <c r="AE90" i="99"/>
  <c r="AE78" i="99"/>
  <c r="AE81" i="99"/>
  <c r="AE84" i="99"/>
  <c r="AE75" i="99"/>
  <c r="AE67" i="99"/>
  <c r="AE57" i="99"/>
  <c r="AE48" i="99"/>
  <c r="AE60" i="99"/>
  <c r="AE79" i="99"/>
  <c r="AE55" i="99"/>
  <c r="AE70" i="99"/>
  <c r="AE61" i="99"/>
  <c r="AE56" i="99"/>
  <c r="AE51" i="99"/>
  <c r="AE40" i="99"/>
  <c r="AE44" i="99"/>
  <c r="AE62" i="99"/>
  <c r="AE53" i="99"/>
  <c r="AE52" i="99"/>
  <c r="AE38" i="99"/>
  <c r="AE82" i="99"/>
  <c r="AE58" i="99"/>
  <c r="AE49" i="99"/>
  <c r="AE50" i="99"/>
  <c r="AE47" i="99"/>
  <c r="AE42" i="99"/>
  <c r="AE46" i="99"/>
  <c r="AE28" i="99"/>
  <c r="AE39" i="99"/>
  <c r="AE34" i="99"/>
  <c r="AE23" i="99"/>
  <c r="AE69" i="99"/>
  <c r="AE29" i="99"/>
  <c r="AE63" i="99"/>
  <c r="AE59" i="99"/>
  <c r="AE37" i="99"/>
  <c r="AE13" i="99"/>
  <c r="AE16" i="99"/>
  <c r="AE19" i="99"/>
  <c r="AE11" i="99"/>
  <c r="AE14" i="99"/>
  <c r="AF7" i="99"/>
  <c r="AE30" i="99"/>
  <c r="AE33" i="99"/>
  <c r="AE36" i="99"/>
  <c r="AE26" i="99"/>
  <c r="AE24" i="99"/>
  <c r="AE12" i="99"/>
  <c r="AE35" i="99"/>
  <c r="AE27" i="99"/>
  <c r="AE20" i="99"/>
  <c r="AE8" i="99"/>
  <c r="AE91" i="99" s="1"/>
  <c r="AE18" i="99"/>
  <c r="AE25" i="99"/>
  <c r="AE15" i="99"/>
  <c r="AE17" i="99"/>
  <c r="AD49" i="99"/>
  <c r="AD22" i="99"/>
  <c r="AD26" i="99"/>
  <c r="AD39" i="99"/>
  <c r="AD56" i="99"/>
  <c r="AD60" i="99"/>
  <c r="AD72" i="99"/>
  <c r="AD80" i="99"/>
  <c r="AD92" i="99"/>
  <c r="AD90" i="99"/>
  <c r="AD15" i="99"/>
  <c r="AD17" i="99"/>
  <c r="AD13" i="99"/>
  <c r="AD36" i="99"/>
  <c r="AD59" i="99"/>
  <c r="AD37" i="99"/>
  <c r="AD57" i="99"/>
  <c r="AD81" i="99"/>
  <c r="AD86" i="99"/>
  <c r="AD89" i="99"/>
  <c r="AD14" i="99"/>
  <c r="AD33" i="99"/>
  <c r="AD34" i="99"/>
  <c r="AD41" i="99"/>
  <c r="AD38" i="99"/>
  <c r="AD46" i="99"/>
  <c r="AD67" i="99"/>
  <c r="AD95" i="99"/>
  <c r="AD68" i="99"/>
  <c r="AD57" i="97"/>
  <c r="AD24" i="97"/>
  <c r="AD37" i="97"/>
  <c r="AD68" i="97"/>
  <c r="AD84" i="97"/>
  <c r="AD51" i="97"/>
  <c r="AD81" i="97"/>
  <c r="AD80" i="97"/>
  <c r="AD94" i="97"/>
  <c r="AD18" i="97"/>
  <c r="AD15" i="97"/>
  <c r="AD33" i="97"/>
  <c r="AD61" i="97"/>
  <c r="AD34" i="97"/>
  <c r="AD52" i="97"/>
  <c r="AD53" i="97"/>
  <c r="AD95" i="97"/>
  <c r="AD86" i="97"/>
  <c r="AD91" i="97"/>
  <c r="AD17" i="97"/>
  <c r="AD26" i="97"/>
  <c r="AE96" i="97"/>
  <c r="AE86" i="97"/>
  <c r="AE90" i="97"/>
  <c r="AE72" i="97"/>
  <c r="AE79" i="97"/>
  <c r="AE30" i="97"/>
  <c r="AE50" i="97"/>
  <c r="AE52" i="97"/>
  <c r="AE45" i="97"/>
  <c r="AE34" i="97"/>
  <c r="AE25" i="97"/>
  <c r="AE23" i="97"/>
  <c r="AE35" i="97"/>
  <c r="AE33" i="97"/>
  <c r="AE13" i="97"/>
  <c r="AE24" i="97"/>
  <c r="AE8" i="97"/>
  <c r="AE91" i="97" s="1"/>
  <c r="AF7" i="97"/>
  <c r="AE15" i="97"/>
  <c r="AE14" i="97"/>
  <c r="AE56" i="97"/>
  <c r="AD16" i="97"/>
  <c r="AD27" i="97"/>
  <c r="AD55" i="97"/>
  <c r="AD62" i="97"/>
  <c r="AD56" i="97"/>
  <c r="AD85" i="97"/>
  <c r="AD88" i="97"/>
  <c r="AD12" i="97"/>
  <c r="AD35" i="97"/>
  <c r="AD69" i="97"/>
  <c r="AD23" i="97"/>
  <c r="AD50" i="97"/>
  <c r="AD41" i="97"/>
  <c r="AD46" i="97"/>
  <c r="AD77" i="97"/>
  <c r="AD66" i="97"/>
  <c r="AD82" i="97"/>
  <c r="AD93" i="97"/>
  <c r="AD29" i="97"/>
  <c r="AD44" i="97"/>
  <c r="AD22" i="97"/>
  <c r="AD31" i="97"/>
  <c r="AD60" i="97"/>
  <c r="AD47" i="97"/>
  <c r="AD70" i="97"/>
  <c r="AD64" i="97"/>
  <c r="AD83" i="97"/>
  <c r="AF83" i="95"/>
  <c r="AF67" i="95"/>
  <c r="AF31" i="95"/>
  <c r="AF80" i="95"/>
  <c r="AF16" i="95"/>
  <c r="AF38" i="95"/>
  <c r="AF71" i="95"/>
  <c r="AF11" i="95"/>
  <c r="AF36" i="95"/>
  <c r="AF23" i="95"/>
  <c r="AF95" i="95"/>
  <c r="AF88" i="95"/>
  <c r="AF12" i="95"/>
  <c r="AF37" i="95"/>
  <c r="AF29" i="95"/>
  <c r="AF53" i="95"/>
  <c r="AF90" i="95"/>
  <c r="AF14" i="95"/>
  <c r="AF56" i="95"/>
  <c r="AF60" i="95"/>
  <c r="AF39" i="95"/>
  <c r="AF18" i="95"/>
  <c r="AF59" i="95"/>
  <c r="AF22" i="95"/>
  <c r="AF50" i="95"/>
  <c r="AF73" i="95"/>
  <c r="AF61" i="95"/>
  <c r="AF82" i="95"/>
  <c r="AF48" i="95"/>
  <c r="AF62" i="95"/>
  <c r="AF74" i="95"/>
  <c r="AF77" i="95"/>
  <c r="AF85" i="95"/>
  <c r="AF89" i="95"/>
  <c r="AF84" i="95"/>
  <c r="AF20" i="95"/>
  <c r="AF13" i="95"/>
  <c r="AF26" i="95"/>
  <c r="AF30" i="95"/>
  <c r="AF41" i="95"/>
  <c r="AF47" i="95"/>
  <c r="AF52" i="95"/>
  <c r="AF68" i="95"/>
  <c r="AF97" i="95"/>
  <c r="AF92" i="95"/>
  <c r="AF25" i="95"/>
  <c r="AF15" i="95"/>
  <c r="AF28" i="95"/>
  <c r="AF40" i="95"/>
  <c r="AF58" i="95"/>
  <c r="AF49" i="95"/>
  <c r="AF55" i="95"/>
  <c r="AF57" i="95"/>
  <c r="AF69" i="95"/>
  <c r="AF64" i="95"/>
  <c r="AF70" i="95"/>
  <c r="AF75" i="95"/>
  <c r="AF45" i="95"/>
  <c r="AF78" i="95"/>
  <c r="AF86" i="95"/>
  <c r="AF72" i="95"/>
  <c r="AF79" i="95"/>
  <c r="AF42" i="95"/>
  <c r="AF35" i="95"/>
  <c r="AF91" i="95"/>
  <c r="AF46" i="95"/>
  <c r="AF66" i="95"/>
  <c r="AF63" i="95"/>
  <c r="AF94" i="95"/>
  <c r="AF81" i="95"/>
  <c r="AG8" i="95"/>
  <c r="AG83" i="95" s="1"/>
  <c r="AH7" i="95"/>
  <c r="J26" i="112"/>
  <c r="F19" i="102"/>
  <c r="J24" i="112"/>
  <c r="L24" i="2" s="1"/>
  <c r="L26" i="2" s="1"/>
  <c r="N43" i="101"/>
  <c r="F22" i="98"/>
  <c r="N87" i="105"/>
  <c r="I22" i="104"/>
  <c r="J17" i="104"/>
  <c r="H17" i="2" s="1"/>
  <c r="H30" i="2" s="1"/>
  <c r="B9" i="104"/>
  <c r="F25" i="104"/>
  <c r="J24" i="110"/>
  <c r="K24" i="2" s="1"/>
  <c r="F24" i="104"/>
  <c r="J24" i="104" s="1"/>
  <c r="H24" i="2" s="1"/>
  <c r="H24" i="96"/>
  <c r="B11" i="112"/>
  <c r="N76" i="97"/>
  <c r="J22" i="112"/>
  <c r="J20" i="112"/>
  <c r="L20" i="2" s="1"/>
  <c r="J19" i="112"/>
  <c r="L19" i="2" s="1"/>
  <c r="J25" i="110"/>
  <c r="K25" i="2" s="1"/>
  <c r="J21" i="102"/>
  <c r="G21" i="2" s="1"/>
  <c r="G18" i="2"/>
  <c r="G31" i="2" s="1"/>
  <c r="J26" i="110"/>
  <c r="J21" i="98"/>
  <c r="E21" i="2" s="1"/>
  <c r="E18" i="2"/>
  <c r="E31" i="2" s="1"/>
  <c r="J21" i="106"/>
  <c r="I21" i="2" s="1"/>
  <c r="I18" i="2"/>
  <c r="I31" i="2" s="1"/>
  <c r="J21" i="108"/>
  <c r="J21" i="2" s="1"/>
  <c r="J18" i="2"/>
  <c r="J31" i="2" s="1"/>
  <c r="J32" i="2" s="1"/>
  <c r="J22" i="108"/>
  <c r="G22" i="96"/>
  <c r="J21" i="112"/>
  <c r="L21" i="2" s="1"/>
  <c r="L18" i="2"/>
  <c r="L31" i="2" s="1"/>
  <c r="L32" i="2" s="1"/>
  <c r="H17" i="100"/>
  <c r="B19" i="106"/>
  <c r="J19" i="106" s="1"/>
  <c r="I19" i="2" s="1"/>
  <c r="B22" i="106"/>
  <c r="J17" i="106"/>
  <c r="J22" i="106" s="1"/>
  <c r="B9" i="106"/>
  <c r="B11" i="106" s="1"/>
  <c r="N87" i="95"/>
  <c r="J24" i="106"/>
  <c r="I24" i="2" s="1"/>
  <c r="H22" i="110"/>
  <c r="H19" i="110"/>
  <c r="D22" i="110"/>
  <c r="D19" i="110"/>
  <c r="B9" i="110"/>
  <c r="B11" i="110" s="1"/>
  <c r="J17" i="110"/>
  <c r="J26" i="104"/>
  <c r="J26" i="106"/>
  <c r="J25" i="106"/>
  <c r="I25" i="2" s="1"/>
  <c r="D26" i="100"/>
  <c r="J26" i="98"/>
  <c r="D25" i="100"/>
  <c r="G19" i="104"/>
  <c r="G22" i="104"/>
  <c r="J25" i="102"/>
  <c r="G25" i="2" s="1"/>
  <c r="J26" i="102"/>
  <c r="J24" i="102"/>
  <c r="G24" i="2" s="1"/>
  <c r="F19" i="104"/>
  <c r="F22" i="104"/>
  <c r="C17" i="100"/>
  <c r="N21" i="101"/>
  <c r="H19" i="102"/>
  <c r="H22" i="102"/>
  <c r="E19" i="104"/>
  <c r="E22" i="104"/>
  <c r="J18" i="104"/>
  <c r="B10" i="104"/>
  <c r="B19" i="104"/>
  <c r="D19" i="104"/>
  <c r="D22" i="104"/>
  <c r="G22" i="102"/>
  <c r="G19" i="102"/>
  <c r="I19" i="100"/>
  <c r="I22" i="100"/>
  <c r="E19" i="100"/>
  <c r="E22" i="100"/>
  <c r="E22" i="102"/>
  <c r="E19" i="102"/>
  <c r="C22" i="102"/>
  <c r="J17" i="102"/>
  <c r="G17" i="2" s="1"/>
  <c r="G30" i="2" s="1"/>
  <c r="C19" i="102"/>
  <c r="B9" i="102"/>
  <c r="B11" i="102" s="1"/>
  <c r="I22" i="102"/>
  <c r="I19" i="102"/>
  <c r="D19" i="98"/>
  <c r="D22" i="98"/>
  <c r="B9" i="94"/>
  <c r="H25" i="98"/>
  <c r="J25" i="98" s="1"/>
  <c r="E25" i="2" s="1"/>
  <c r="N76" i="99"/>
  <c r="H17" i="98"/>
  <c r="J17" i="98" s="1"/>
  <c r="E17" i="2" s="1"/>
  <c r="E30" i="2" s="1"/>
  <c r="N65" i="95"/>
  <c r="D22" i="100"/>
  <c r="B26" i="100"/>
  <c r="B25" i="100"/>
  <c r="B24" i="100"/>
  <c r="J24" i="100" s="1"/>
  <c r="F24" i="2" s="1"/>
  <c r="G26" i="94"/>
  <c r="J26" i="94" s="1"/>
  <c r="G25" i="94"/>
  <c r="J25" i="94" s="1"/>
  <c r="C25" i="2" s="1"/>
  <c r="H24" i="98"/>
  <c r="J24" i="98" s="1"/>
  <c r="E24" i="2" s="1"/>
  <c r="H26" i="96"/>
  <c r="N10" i="97"/>
  <c r="E22" i="98"/>
  <c r="E19" i="98"/>
  <c r="I22" i="98"/>
  <c r="I19" i="98"/>
  <c r="C22" i="98"/>
  <c r="C19" i="98"/>
  <c r="G22" i="98"/>
  <c r="G19" i="98"/>
  <c r="B25" i="96"/>
  <c r="B26" i="96"/>
  <c r="B24" i="96"/>
  <c r="B19" i="96"/>
  <c r="J18" i="96"/>
  <c r="B10" i="96"/>
  <c r="F19" i="96"/>
  <c r="F22" i="96"/>
  <c r="E19" i="96"/>
  <c r="E22" i="96"/>
  <c r="H19" i="96"/>
  <c r="H22" i="96"/>
  <c r="C19" i="96"/>
  <c r="C22" i="96"/>
  <c r="J17" i="96"/>
  <c r="D17" i="2" s="1"/>
  <c r="D30" i="2" s="1"/>
  <c r="B9" i="96"/>
  <c r="B22" i="96"/>
  <c r="D22" i="96"/>
  <c r="I22" i="94"/>
  <c r="I19" i="94"/>
  <c r="G19" i="94"/>
  <c r="G22" i="94"/>
  <c r="J24" i="94"/>
  <c r="C24" i="2" s="1"/>
  <c r="E19" i="94"/>
  <c r="E22" i="94"/>
  <c r="B19" i="94"/>
  <c r="J18" i="94"/>
  <c r="B10" i="94"/>
  <c r="B22" i="94"/>
  <c r="J17" i="94"/>
  <c r="C17" i="2" s="1"/>
  <c r="C30" i="2" s="1"/>
  <c r="J25" i="104" l="1"/>
  <c r="H25" i="2" s="1"/>
  <c r="E26" i="2"/>
  <c r="AE23" i="59"/>
  <c r="AE66" i="59"/>
  <c r="AE38" i="59"/>
  <c r="AE34" i="59"/>
  <c r="AE73" i="59"/>
  <c r="AE22" i="59"/>
  <c r="AE30" i="59"/>
  <c r="AE84" i="59"/>
  <c r="AE45" i="59"/>
  <c r="AE64" i="59"/>
  <c r="AE24" i="59"/>
  <c r="AE39" i="59"/>
  <c r="AE89" i="59"/>
  <c r="AE12" i="59"/>
  <c r="AE31" i="59"/>
  <c r="AE56" i="59"/>
  <c r="AE14" i="59"/>
  <c r="AE25" i="59"/>
  <c r="AE68" i="59"/>
  <c r="AE74" i="59"/>
  <c r="AE50" i="59"/>
  <c r="AE20" i="59"/>
  <c r="AE35" i="59"/>
  <c r="AE47" i="59"/>
  <c r="AE83" i="59"/>
  <c r="H26" i="2"/>
  <c r="J25" i="96"/>
  <c r="D25" i="2" s="1"/>
  <c r="G26" i="2"/>
  <c r="K26" i="2"/>
  <c r="I26" i="2"/>
  <c r="G32" i="2"/>
  <c r="C26" i="2"/>
  <c r="E32" i="2"/>
  <c r="AE15" i="59"/>
  <c r="AE36" i="59"/>
  <c r="AE48" i="59"/>
  <c r="AE58" i="59"/>
  <c r="AE71" i="59"/>
  <c r="AE81" i="59"/>
  <c r="AE70" i="59"/>
  <c r="AE85" i="59"/>
  <c r="AE92" i="59"/>
  <c r="AE17" i="59"/>
  <c r="AF85" i="59"/>
  <c r="AG7" i="59"/>
  <c r="AF8" i="59"/>
  <c r="AF92" i="59" s="1"/>
  <c r="AE33" i="59"/>
  <c r="AE16" i="59"/>
  <c r="AE42" i="59"/>
  <c r="AE75" i="59"/>
  <c r="AE59" i="59"/>
  <c r="AE57" i="59"/>
  <c r="AE77" i="59"/>
  <c r="AE97" i="59"/>
  <c r="AE62" i="59"/>
  <c r="AE82" i="59"/>
  <c r="AE80" i="59"/>
  <c r="AE94" i="59"/>
  <c r="AE91" i="59"/>
  <c r="AE29" i="59"/>
  <c r="AE41" i="59"/>
  <c r="AE19" i="59"/>
  <c r="AE49" i="59"/>
  <c r="AE51" i="59"/>
  <c r="AE52" i="59"/>
  <c r="AE69" i="59"/>
  <c r="AE63" i="59"/>
  <c r="AE86" i="59"/>
  <c r="AE88" i="59"/>
  <c r="AE13" i="59"/>
  <c r="AE46" i="59"/>
  <c r="AE11" i="59"/>
  <c r="AE27" i="59"/>
  <c r="AE28" i="59"/>
  <c r="AE53" i="59"/>
  <c r="AE60" i="59"/>
  <c r="AE79" i="59"/>
  <c r="AE72" i="59"/>
  <c r="AE78" i="59"/>
  <c r="AE96" i="59"/>
  <c r="AE18" i="59"/>
  <c r="AE55" i="59"/>
  <c r="AE26" i="59"/>
  <c r="AE40" i="59"/>
  <c r="AE37" i="59"/>
  <c r="AE61" i="59"/>
  <c r="AE44" i="59"/>
  <c r="AE67" i="59"/>
  <c r="AE90" i="59"/>
  <c r="AE95" i="59"/>
  <c r="AE11" i="113"/>
  <c r="AE48" i="113"/>
  <c r="AE38" i="113"/>
  <c r="AE22" i="113"/>
  <c r="AE50" i="113"/>
  <c r="AE49" i="113"/>
  <c r="AE69" i="113"/>
  <c r="AE63" i="113"/>
  <c r="AE83" i="113"/>
  <c r="AE86" i="113"/>
  <c r="AE93" i="113"/>
  <c r="AE17" i="113"/>
  <c r="AE20" i="113"/>
  <c r="AE25" i="113"/>
  <c r="AE37" i="113"/>
  <c r="AE57" i="113"/>
  <c r="AE58" i="113"/>
  <c r="AE64" i="113"/>
  <c r="AE73" i="113"/>
  <c r="AE82" i="113"/>
  <c r="AE89" i="113"/>
  <c r="AE30" i="113"/>
  <c r="AE23" i="113"/>
  <c r="AE39" i="113"/>
  <c r="AE70" i="113"/>
  <c r="AE46" i="113"/>
  <c r="AE74" i="113"/>
  <c r="AE80" i="113"/>
  <c r="AE79" i="113"/>
  <c r="AE97" i="113"/>
  <c r="AE16" i="113"/>
  <c r="AE19" i="113"/>
  <c r="AE27" i="113"/>
  <c r="AE24" i="113"/>
  <c r="AE44" i="113"/>
  <c r="AE51" i="113"/>
  <c r="AE60" i="113"/>
  <c r="AE90" i="113"/>
  <c r="AE95" i="113"/>
  <c r="AE94" i="113"/>
  <c r="AF96" i="113"/>
  <c r="AF88" i="113"/>
  <c r="AF94" i="113"/>
  <c r="AF89" i="113"/>
  <c r="AF95" i="113"/>
  <c r="AF86" i="113"/>
  <c r="AF84" i="113"/>
  <c r="AF93" i="113"/>
  <c r="AF82" i="113"/>
  <c r="AF85" i="113"/>
  <c r="AF83" i="113"/>
  <c r="AF78" i="113"/>
  <c r="AF77" i="113"/>
  <c r="AF57" i="113"/>
  <c r="AF80" i="113"/>
  <c r="AF67" i="113"/>
  <c r="AF58" i="113"/>
  <c r="AF72" i="113"/>
  <c r="AF68" i="113"/>
  <c r="AF64" i="113"/>
  <c r="AF56" i="113"/>
  <c r="AF69" i="113"/>
  <c r="AF60" i="113"/>
  <c r="AF53" i="113"/>
  <c r="AF40" i="113"/>
  <c r="AF52" i="113"/>
  <c r="AF44" i="113"/>
  <c r="AF26" i="113"/>
  <c r="AF47" i="113"/>
  <c r="AF62" i="113"/>
  <c r="AF55" i="113"/>
  <c r="AF50" i="113"/>
  <c r="AF36" i="113"/>
  <c r="AF39" i="113"/>
  <c r="AF25" i="113"/>
  <c r="AF18" i="113"/>
  <c r="AF37" i="113"/>
  <c r="AF34" i="113"/>
  <c r="AF30" i="113"/>
  <c r="AF42" i="113"/>
  <c r="AF23" i="113"/>
  <c r="AF15" i="113"/>
  <c r="AF19" i="113"/>
  <c r="AF31" i="113"/>
  <c r="AF51" i="113"/>
  <c r="AF48" i="113"/>
  <c r="AF22" i="113"/>
  <c r="AF14" i="113"/>
  <c r="AF16" i="113"/>
  <c r="AF8" i="113"/>
  <c r="AF91" i="113" s="1"/>
  <c r="AF11" i="113"/>
  <c r="AF28" i="113"/>
  <c r="AG7" i="113"/>
  <c r="AE26" i="113"/>
  <c r="AE35" i="113"/>
  <c r="AE28" i="113"/>
  <c r="AE52" i="113"/>
  <c r="AE66" i="113"/>
  <c r="AE68" i="113"/>
  <c r="AE62" i="113"/>
  <c r="AE75" i="113"/>
  <c r="AE91" i="113"/>
  <c r="AE36" i="113"/>
  <c r="AE14" i="113"/>
  <c r="AE15" i="113"/>
  <c r="AE45" i="113"/>
  <c r="AE41" i="113"/>
  <c r="AE40" i="113"/>
  <c r="AE61" i="113"/>
  <c r="AE59" i="113"/>
  <c r="AE78" i="113"/>
  <c r="AE81" i="113"/>
  <c r="AF61" i="111"/>
  <c r="AF97" i="111"/>
  <c r="AG97" i="111"/>
  <c r="AG95" i="111"/>
  <c r="AG86" i="111"/>
  <c r="AG84" i="111"/>
  <c r="AG75" i="111"/>
  <c r="AG67" i="111"/>
  <c r="AG64" i="111"/>
  <c r="AG47" i="111"/>
  <c r="AG66" i="111"/>
  <c r="AG62" i="111"/>
  <c r="AG59" i="111"/>
  <c r="AG74" i="111"/>
  <c r="AG79" i="111"/>
  <c r="AG85" i="111"/>
  <c r="AG78" i="111"/>
  <c r="AG77" i="111"/>
  <c r="AG63" i="111"/>
  <c r="AG55" i="111"/>
  <c r="AG88" i="111"/>
  <c r="AG82" i="111"/>
  <c r="AG71" i="111"/>
  <c r="AG52" i="111"/>
  <c r="AG36" i="111"/>
  <c r="AG40" i="111"/>
  <c r="AG53" i="111"/>
  <c r="AG39" i="111"/>
  <c r="AG27" i="111"/>
  <c r="AG30" i="111"/>
  <c r="AG22" i="111"/>
  <c r="AG37" i="111"/>
  <c r="AG35" i="111"/>
  <c r="AG28" i="111"/>
  <c r="AG46" i="111"/>
  <c r="AG26" i="111"/>
  <c r="AG18" i="111"/>
  <c r="AG8" i="111"/>
  <c r="AG90" i="111" s="1"/>
  <c r="AG23" i="111"/>
  <c r="AG20" i="111"/>
  <c r="AG83" i="111"/>
  <c r="AG57" i="111"/>
  <c r="AG13" i="111"/>
  <c r="AG16" i="111"/>
  <c r="AG60" i="111"/>
  <c r="AG41" i="111"/>
  <c r="AG15" i="111"/>
  <c r="AG25" i="111"/>
  <c r="AG24" i="111"/>
  <c r="AH7" i="111"/>
  <c r="AG14" i="111"/>
  <c r="AG50" i="111"/>
  <c r="AG61" i="111"/>
  <c r="AG33" i="111"/>
  <c r="AG29" i="111"/>
  <c r="AG17" i="111"/>
  <c r="AG34" i="111"/>
  <c r="AG19" i="111"/>
  <c r="AG11" i="111"/>
  <c r="AF66" i="111"/>
  <c r="AF79" i="111"/>
  <c r="AF94" i="111"/>
  <c r="AF45" i="111"/>
  <c r="AF49" i="111"/>
  <c r="AF64" i="111"/>
  <c r="AF67" i="111"/>
  <c r="AF72" i="111"/>
  <c r="AF91" i="111"/>
  <c r="AF69" i="111"/>
  <c r="AF39" i="111"/>
  <c r="AF71" i="111"/>
  <c r="AF50" i="111"/>
  <c r="AF70" i="111"/>
  <c r="AF73" i="111"/>
  <c r="AF81" i="111"/>
  <c r="AF88" i="111"/>
  <c r="AF42" i="111"/>
  <c r="AF82" i="111"/>
  <c r="AF51" i="111"/>
  <c r="AF53" i="111"/>
  <c r="AF93" i="111"/>
  <c r="AF78" i="111"/>
  <c r="AE27" i="109"/>
  <c r="AE36" i="109"/>
  <c r="AE57" i="109"/>
  <c r="AE33" i="109"/>
  <c r="AE14" i="109"/>
  <c r="AE45" i="109"/>
  <c r="AE59" i="109"/>
  <c r="AE73" i="109"/>
  <c r="AE79" i="109"/>
  <c r="AE93" i="109"/>
  <c r="AE29" i="109"/>
  <c r="AE40" i="109"/>
  <c r="AE49" i="109"/>
  <c r="AE72" i="109"/>
  <c r="AE81" i="109"/>
  <c r="AE97" i="109"/>
  <c r="AE85" i="109"/>
  <c r="AE94" i="109"/>
  <c r="AF89" i="109"/>
  <c r="AF84" i="109"/>
  <c r="AF80" i="109"/>
  <c r="AF83" i="109"/>
  <c r="AF74" i="109"/>
  <c r="AF68" i="109"/>
  <c r="AF42" i="109"/>
  <c r="AF39" i="109"/>
  <c r="AF27" i="109"/>
  <c r="AG7" i="109"/>
  <c r="AF8" i="109"/>
  <c r="AF92" i="109" s="1"/>
  <c r="AF19" i="109"/>
  <c r="AE47" i="109"/>
  <c r="AE34" i="109"/>
  <c r="AE42" i="109"/>
  <c r="AE46" i="109"/>
  <c r="AE19" i="109"/>
  <c r="AE86" i="109"/>
  <c r="AE82" i="109"/>
  <c r="AE70" i="109"/>
  <c r="AF17" i="107"/>
  <c r="AF34" i="107"/>
  <c r="AF57" i="107"/>
  <c r="AF66" i="107"/>
  <c r="AF47" i="107"/>
  <c r="AF58" i="107"/>
  <c r="AF81" i="107"/>
  <c r="AF97" i="107"/>
  <c r="AF46" i="107"/>
  <c r="AF31" i="107"/>
  <c r="AF26" i="107"/>
  <c r="AF56" i="107"/>
  <c r="AF36" i="107"/>
  <c r="AF85" i="107"/>
  <c r="AF53" i="107"/>
  <c r="AF71" i="107"/>
  <c r="AF79" i="107"/>
  <c r="AF94" i="107"/>
  <c r="AF25" i="107"/>
  <c r="AF16" i="107"/>
  <c r="AF45" i="107"/>
  <c r="AF60" i="107"/>
  <c r="AF35" i="107"/>
  <c r="AF84" i="107"/>
  <c r="AF72" i="107"/>
  <c r="AF73" i="107"/>
  <c r="AF78" i="107"/>
  <c r="AF91" i="107"/>
  <c r="AF15" i="107"/>
  <c r="AF18" i="107"/>
  <c r="AF23" i="107"/>
  <c r="AF63" i="107"/>
  <c r="AF39" i="107"/>
  <c r="AF33" i="107"/>
  <c r="AF52" i="107"/>
  <c r="AF83" i="107"/>
  <c r="AF90" i="107"/>
  <c r="AG94" i="107"/>
  <c r="AG89" i="107"/>
  <c r="AG92" i="107"/>
  <c r="AG86" i="107"/>
  <c r="AG90" i="107"/>
  <c r="AG88" i="107"/>
  <c r="AG81" i="107"/>
  <c r="AG96" i="107"/>
  <c r="AG82" i="107"/>
  <c r="AG71" i="107"/>
  <c r="AG62" i="107"/>
  <c r="AG74" i="107"/>
  <c r="AG83" i="107"/>
  <c r="AG78" i="107"/>
  <c r="AG73" i="107"/>
  <c r="AG68" i="107"/>
  <c r="AG64" i="107"/>
  <c r="AG84" i="107"/>
  <c r="AG72" i="107"/>
  <c r="AG70" i="107"/>
  <c r="AG56" i="107"/>
  <c r="AG41" i="107"/>
  <c r="AG33" i="107"/>
  <c r="AG58" i="107"/>
  <c r="AG45" i="107"/>
  <c r="AG36" i="107"/>
  <c r="AG59" i="107"/>
  <c r="AG48" i="107"/>
  <c r="AG75" i="107"/>
  <c r="AG67" i="107"/>
  <c r="AG63" i="107"/>
  <c r="AG57" i="107"/>
  <c r="AG51" i="107"/>
  <c r="AG40" i="107"/>
  <c r="AG46" i="107"/>
  <c r="AG49" i="107"/>
  <c r="AG42" i="107"/>
  <c r="AG29" i="107"/>
  <c r="AG23" i="107"/>
  <c r="AG35" i="107"/>
  <c r="AG34" i="107"/>
  <c r="AG17" i="107"/>
  <c r="AG37" i="107"/>
  <c r="AG20" i="107"/>
  <c r="AG24" i="107"/>
  <c r="AG39" i="107"/>
  <c r="AG30" i="107"/>
  <c r="AG22" i="107"/>
  <c r="AG12" i="107"/>
  <c r="AG18" i="107"/>
  <c r="AG15" i="107"/>
  <c r="AG38" i="107"/>
  <c r="AG31" i="107"/>
  <c r="AG8" i="107"/>
  <c r="AG95" i="107" s="1"/>
  <c r="AG11" i="107"/>
  <c r="AG19" i="107"/>
  <c r="AG16" i="107"/>
  <c r="AG47" i="107"/>
  <c r="AG14" i="107"/>
  <c r="AH7" i="107"/>
  <c r="AG25" i="107"/>
  <c r="AG13" i="107"/>
  <c r="AG86" i="105"/>
  <c r="AG90" i="105"/>
  <c r="AG79" i="105"/>
  <c r="AG82" i="105"/>
  <c r="AG68" i="105"/>
  <c r="AG59" i="105"/>
  <c r="AG69" i="105"/>
  <c r="AG60" i="105"/>
  <c r="AG46" i="105"/>
  <c r="AG49" i="105"/>
  <c r="AG41" i="105"/>
  <c r="AG37" i="105"/>
  <c r="AG39" i="105"/>
  <c r="AG36" i="105"/>
  <c r="AG52" i="105"/>
  <c r="AG24" i="105"/>
  <c r="AG15" i="105"/>
  <c r="AG47" i="105"/>
  <c r="AG8" i="105"/>
  <c r="AG91" i="105" s="1"/>
  <c r="AG30" i="105"/>
  <c r="AG19" i="105"/>
  <c r="AG11" i="105"/>
  <c r="AG16" i="105"/>
  <c r="AG61" i="105"/>
  <c r="AG17" i="105"/>
  <c r="AH7" i="105"/>
  <c r="AF31" i="105"/>
  <c r="AF20" i="105"/>
  <c r="AF33" i="105"/>
  <c r="AF72" i="105"/>
  <c r="AF55" i="105"/>
  <c r="AF60" i="105"/>
  <c r="AF68" i="105"/>
  <c r="AF82" i="105"/>
  <c r="AF95" i="105"/>
  <c r="AF11" i="105"/>
  <c r="AF18" i="105"/>
  <c r="AF27" i="105"/>
  <c r="AF42" i="105"/>
  <c r="AF28" i="105"/>
  <c r="AF67" i="105"/>
  <c r="AF75" i="105"/>
  <c r="AF56" i="105"/>
  <c r="AF79" i="105"/>
  <c r="AF92" i="105"/>
  <c r="AF35" i="105"/>
  <c r="AF26" i="105"/>
  <c r="AF36" i="105"/>
  <c r="AF48" i="105"/>
  <c r="AF34" i="105"/>
  <c r="AF40" i="105"/>
  <c r="AF57" i="105"/>
  <c r="AF64" i="105"/>
  <c r="AF84" i="105"/>
  <c r="AF89" i="105"/>
  <c r="AF12" i="105"/>
  <c r="AF47" i="105"/>
  <c r="AF73" i="105"/>
  <c r="AF14" i="105"/>
  <c r="AF41" i="105"/>
  <c r="AF39" i="105"/>
  <c r="AF58" i="105"/>
  <c r="AF44" i="105"/>
  <c r="AF49" i="105"/>
  <c r="AF66" i="105"/>
  <c r="AF81" i="105"/>
  <c r="AF78" i="105"/>
  <c r="AF97" i="105"/>
  <c r="AF23" i="105"/>
  <c r="AF15" i="105"/>
  <c r="AF17" i="105"/>
  <c r="AF59" i="105"/>
  <c r="AF30" i="105"/>
  <c r="AF37" i="105"/>
  <c r="AF62" i="105"/>
  <c r="AF61" i="105"/>
  <c r="AF93" i="105"/>
  <c r="AF94" i="105"/>
  <c r="AF69" i="105"/>
  <c r="AF86" i="105"/>
  <c r="AF22" i="105"/>
  <c r="AF24" i="105"/>
  <c r="AF25" i="105"/>
  <c r="AF45" i="105"/>
  <c r="AF50" i="105"/>
  <c r="AF46" i="105"/>
  <c r="AF71" i="105"/>
  <c r="AF70" i="105"/>
  <c r="AF74" i="105"/>
  <c r="AF91" i="105"/>
  <c r="AF16" i="105"/>
  <c r="AF63" i="105"/>
  <c r="AF53" i="105"/>
  <c r="AF90" i="105"/>
  <c r="AF13" i="105"/>
  <c r="AF19" i="105"/>
  <c r="AF29" i="105"/>
  <c r="AF38" i="105"/>
  <c r="AF52" i="105"/>
  <c r="AF77" i="105"/>
  <c r="AF51" i="105"/>
  <c r="AF85" i="105"/>
  <c r="AF80" i="105"/>
  <c r="AF83" i="105"/>
  <c r="AF61" i="103"/>
  <c r="AF67" i="103"/>
  <c r="AF84" i="103"/>
  <c r="AF94" i="103"/>
  <c r="AF75" i="103"/>
  <c r="AF81" i="103"/>
  <c r="AF91" i="103"/>
  <c r="AF20" i="103"/>
  <c r="AF13" i="103"/>
  <c r="AF33" i="103"/>
  <c r="AF45" i="103"/>
  <c r="AF49" i="103"/>
  <c r="AF66" i="103"/>
  <c r="AF74" i="103"/>
  <c r="AF77" i="103"/>
  <c r="AF90" i="103"/>
  <c r="AF96" i="103"/>
  <c r="AG92" i="103"/>
  <c r="AG95" i="103"/>
  <c r="AG90" i="103"/>
  <c r="AG93" i="103"/>
  <c r="AG85" i="103"/>
  <c r="AG80" i="103"/>
  <c r="AG96" i="103"/>
  <c r="AG83" i="103"/>
  <c r="AG68" i="103"/>
  <c r="AG78" i="103"/>
  <c r="AG71" i="103"/>
  <c r="AG79" i="103"/>
  <c r="AG77" i="103"/>
  <c r="AG67" i="103"/>
  <c r="AG58" i="103"/>
  <c r="AG63" i="103"/>
  <c r="AG72" i="103"/>
  <c r="AG62" i="103"/>
  <c r="AG59" i="103"/>
  <c r="AG60" i="103"/>
  <c r="AG46" i="103"/>
  <c r="AG37" i="103"/>
  <c r="AG66" i="103"/>
  <c r="AG64" i="103"/>
  <c r="AG49" i="103"/>
  <c r="AG44" i="103"/>
  <c r="AG47" i="103"/>
  <c r="AG50" i="103"/>
  <c r="AG45" i="103"/>
  <c r="AG42" i="103"/>
  <c r="AG51" i="103"/>
  <c r="AG74" i="103"/>
  <c r="AG48" i="103"/>
  <c r="AG41" i="103"/>
  <c r="AG33" i="103"/>
  <c r="AG38" i="103"/>
  <c r="AG27" i="103"/>
  <c r="AG31" i="103"/>
  <c r="AG23" i="103"/>
  <c r="AG24" i="103"/>
  <c r="AG16" i="103"/>
  <c r="AG29" i="103"/>
  <c r="AG17" i="103"/>
  <c r="AG34" i="103"/>
  <c r="AG30" i="103"/>
  <c r="AG20" i="103"/>
  <c r="AG14" i="103"/>
  <c r="AH7" i="103"/>
  <c r="AG19" i="103"/>
  <c r="AG18" i="103"/>
  <c r="AG12" i="103"/>
  <c r="AG36" i="103"/>
  <c r="AG15" i="103"/>
  <c r="AG40" i="103"/>
  <c r="AG28" i="103"/>
  <c r="AG8" i="103"/>
  <c r="AG91" i="103" s="1"/>
  <c r="AF25" i="103"/>
  <c r="AF28" i="103"/>
  <c r="AF48" i="103"/>
  <c r="AF38" i="103"/>
  <c r="AF46" i="103"/>
  <c r="AF78" i="103"/>
  <c r="AF68" i="103"/>
  <c r="AF85" i="103"/>
  <c r="AF97" i="101"/>
  <c r="AF89" i="101"/>
  <c r="AF92" i="101"/>
  <c r="AF95" i="101"/>
  <c r="AF75" i="101"/>
  <c r="AF79" i="101"/>
  <c r="AF82" i="101"/>
  <c r="AF90" i="101"/>
  <c r="AF85" i="101"/>
  <c r="AF83" i="101"/>
  <c r="AF74" i="101"/>
  <c r="AF69" i="101"/>
  <c r="AF60" i="101"/>
  <c r="AF63" i="101"/>
  <c r="AF70" i="101"/>
  <c r="AF61" i="101"/>
  <c r="AF78" i="101"/>
  <c r="AF71" i="101"/>
  <c r="AF64" i="101"/>
  <c r="AF66" i="101"/>
  <c r="AF44" i="101"/>
  <c r="AF68" i="101"/>
  <c r="AF55" i="101"/>
  <c r="AF47" i="101"/>
  <c r="AF52" i="101"/>
  <c r="AF48" i="101"/>
  <c r="AF57" i="101"/>
  <c r="AF56" i="101"/>
  <c r="AF39" i="101"/>
  <c r="AF36" i="101"/>
  <c r="AF34" i="101"/>
  <c r="AF25" i="101"/>
  <c r="AF59" i="101"/>
  <c r="AF28" i="101"/>
  <c r="AF62" i="101"/>
  <c r="AF42" i="101"/>
  <c r="AF41" i="101"/>
  <c r="AF35" i="101"/>
  <c r="AF26" i="101"/>
  <c r="AF46" i="101"/>
  <c r="AF31" i="101"/>
  <c r="AF37" i="101"/>
  <c r="AF33" i="101"/>
  <c r="AF27" i="101"/>
  <c r="AF18" i="101"/>
  <c r="AF16" i="101"/>
  <c r="AF11" i="101"/>
  <c r="AF22" i="101"/>
  <c r="AG7" i="101"/>
  <c r="AF23" i="101"/>
  <c r="AF19" i="101"/>
  <c r="AF17" i="101"/>
  <c r="AF12" i="101"/>
  <c r="AF15" i="101"/>
  <c r="AF24" i="101"/>
  <c r="AF8" i="101"/>
  <c r="AF96" i="101" s="1"/>
  <c r="AF13" i="101"/>
  <c r="AE22" i="101"/>
  <c r="AE33" i="101"/>
  <c r="AE48" i="101"/>
  <c r="AE39" i="101"/>
  <c r="AE47" i="101"/>
  <c r="AE46" i="101"/>
  <c r="AE63" i="101"/>
  <c r="AE83" i="101"/>
  <c r="AE84" i="101"/>
  <c r="AE88" i="101"/>
  <c r="AE28" i="101"/>
  <c r="AE38" i="101"/>
  <c r="AE37" i="101"/>
  <c r="AE64" i="101"/>
  <c r="AE68" i="101"/>
  <c r="AE59" i="101"/>
  <c r="AE60" i="101"/>
  <c r="AE95" i="101"/>
  <c r="AE81" i="101"/>
  <c r="AE96" i="101"/>
  <c r="AE24" i="101"/>
  <c r="AE15" i="101"/>
  <c r="AE31" i="101"/>
  <c r="AE41" i="101"/>
  <c r="AE27" i="101"/>
  <c r="AE35" i="101"/>
  <c r="AE62" i="101"/>
  <c r="AE69" i="101"/>
  <c r="AE77" i="101"/>
  <c r="AE90" i="101"/>
  <c r="AE93" i="101"/>
  <c r="AE12" i="101"/>
  <c r="AE11" i="101"/>
  <c r="AE26" i="101"/>
  <c r="AE25" i="101"/>
  <c r="AE50" i="101"/>
  <c r="AE44" i="101"/>
  <c r="AE71" i="101"/>
  <c r="AE57" i="101"/>
  <c r="AE80" i="101"/>
  <c r="AE92" i="101"/>
  <c r="AE17" i="101"/>
  <c r="AE16" i="101"/>
  <c r="AE23" i="101"/>
  <c r="AE34" i="101"/>
  <c r="AE78" i="101"/>
  <c r="AE85" i="101"/>
  <c r="AE70" i="101"/>
  <c r="AE66" i="101"/>
  <c r="AE75" i="101"/>
  <c r="AE89" i="101"/>
  <c r="AE42" i="101"/>
  <c r="AE36" i="101"/>
  <c r="AE45" i="101"/>
  <c r="AE40" i="101"/>
  <c r="AE58" i="101"/>
  <c r="AE72" i="101"/>
  <c r="AE82" i="101"/>
  <c r="AE96" i="99"/>
  <c r="AE45" i="99"/>
  <c r="AE22" i="99"/>
  <c r="AE31" i="99"/>
  <c r="AE41" i="99"/>
  <c r="AE73" i="99"/>
  <c r="AE64" i="99"/>
  <c r="AE72" i="99"/>
  <c r="AE80" i="99"/>
  <c r="AE97" i="99"/>
  <c r="AE94" i="99"/>
  <c r="AF91" i="99"/>
  <c r="AF94" i="99"/>
  <c r="AF89" i="99"/>
  <c r="AF80" i="99"/>
  <c r="AF71" i="99"/>
  <c r="AF74" i="99"/>
  <c r="AF72" i="99"/>
  <c r="AF93" i="99"/>
  <c r="AF75" i="99"/>
  <c r="AF51" i="99"/>
  <c r="AF77" i="99"/>
  <c r="AF55" i="99"/>
  <c r="AF63" i="99"/>
  <c r="AF56" i="99"/>
  <c r="AF44" i="99"/>
  <c r="AF52" i="99"/>
  <c r="AF57" i="99"/>
  <c r="AF41" i="99"/>
  <c r="AF33" i="99"/>
  <c r="AF37" i="99"/>
  <c r="AF39" i="99"/>
  <c r="AF34" i="99"/>
  <c r="AF31" i="99"/>
  <c r="AF59" i="99"/>
  <c r="AF42" i="99"/>
  <c r="AF27" i="99"/>
  <c r="AF40" i="99"/>
  <c r="AF28" i="99"/>
  <c r="AF19" i="99"/>
  <c r="AF11" i="99"/>
  <c r="AF30" i="99"/>
  <c r="AF14" i="99"/>
  <c r="AG7" i="99"/>
  <c r="AF47" i="99"/>
  <c r="AF20" i="99"/>
  <c r="AF15" i="99"/>
  <c r="AF61" i="99"/>
  <c r="AF18" i="99"/>
  <c r="AF8" i="99"/>
  <c r="AF92" i="99" s="1"/>
  <c r="AF24" i="99"/>
  <c r="AE26" i="97"/>
  <c r="AE41" i="97"/>
  <c r="AE75" i="97"/>
  <c r="AE49" i="97"/>
  <c r="AE62" i="97"/>
  <c r="AE78" i="97"/>
  <c r="AE85" i="97"/>
  <c r="AE88" i="97"/>
  <c r="AE39" i="97"/>
  <c r="AE46" i="97"/>
  <c r="AE59" i="97"/>
  <c r="AE66" i="97"/>
  <c r="AE95" i="97"/>
  <c r="AE93" i="97"/>
  <c r="AE16" i="97"/>
  <c r="AE84" i="97"/>
  <c r="AE53" i="97"/>
  <c r="AE40" i="97"/>
  <c r="AE51" i="97"/>
  <c r="AE58" i="97"/>
  <c r="AE64" i="97"/>
  <c r="AE74" i="97"/>
  <c r="AE92" i="97"/>
  <c r="AE27" i="97"/>
  <c r="AE20" i="97"/>
  <c r="AE18" i="97"/>
  <c r="AE28" i="97"/>
  <c r="AE55" i="97"/>
  <c r="AE61" i="97"/>
  <c r="AE70" i="97"/>
  <c r="AE67" i="97"/>
  <c r="AE83" i="97"/>
  <c r="AE89" i="97"/>
  <c r="AF97" i="97"/>
  <c r="AF89" i="97"/>
  <c r="AF95" i="97"/>
  <c r="AF83" i="97"/>
  <c r="AF78" i="97"/>
  <c r="AF81" i="97"/>
  <c r="AF77" i="97"/>
  <c r="AF57" i="97"/>
  <c r="AF68" i="97"/>
  <c r="AF64" i="97"/>
  <c r="AF63" i="97"/>
  <c r="AF52" i="97"/>
  <c r="AF34" i="97"/>
  <c r="AF85" i="97"/>
  <c r="AF40" i="97"/>
  <c r="AF70" i="97"/>
  <c r="AF61" i="97"/>
  <c r="AF51" i="97"/>
  <c r="AF45" i="97"/>
  <c r="AF37" i="97"/>
  <c r="AG7" i="97"/>
  <c r="AF26" i="97"/>
  <c r="AF56" i="97"/>
  <c r="AF38" i="97"/>
  <c r="AF15" i="97"/>
  <c r="AF35" i="97"/>
  <c r="AF30" i="97"/>
  <c r="AF29" i="97"/>
  <c r="AF24" i="97"/>
  <c r="AF18" i="97"/>
  <c r="AF58" i="97"/>
  <c r="AF39" i="97"/>
  <c r="AF8" i="97"/>
  <c r="AF96" i="97" s="1"/>
  <c r="AF17" i="97"/>
  <c r="AF27" i="97"/>
  <c r="AF66" i="97"/>
  <c r="AF42" i="97"/>
  <c r="AE44" i="97"/>
  <c r="AE36" i="97"/>
  <c r="AE31" i="97"/>
  <c r="AE37" i="97"/>
  <c r="AE63" i="97"/>
  <c r="AE73" i="97"/>
  <c r="AE71" i="97"/>
  <c r="AE80" i="97"/>
  <c r="AE97" i="97"/>
  <c r="AE22" i="97"/>
  <c r="AE12" i="97"/>
  <c r="AE38" i="97"/>
  <c r="AE11" i="97"/>
  <c r="AE42" i="97"/>
  <c r="AE47" i="97"/>
  <c r="AE82" i="97"/>
  <c r="AE81" i="97"/>
  <c r="AE68" i="97"/>
  <c r="AE94" i="97"/>
  <c r="AE29" i="97"/>
  <c r="AE17" i="97"/>
  <c r="AE19" i="97"/>
  <c r="AE48" i="97"/>
  <c r="AE60" i="97"/>
  <c r="AE57" i="97"/>
  <c r="AE69" i="97"/>
  <c r="AE77" i="97"/>
  <c r="AG90" i="95"/>
  <c r="AG41" i="95"/>
  <c r="AG79" i="95"/>
  <c r="AG35" i="95"/>
  <c r="AG37" i="95"/>
  <c r="AG80" i="95"/>
  <c r="AG17" i="95"/>
  <c r="AG27" i="95"/>
  <c r="AG48" i="95"/>
  <c r="AG69" i="95"/>
  <c r="AG53" i="95"/>
  <c r="AG61" i="95"/>
  <c r="AG97" i="95"/>
  <c r="AG74" i="95"/>
  <c r="AG28" i="95"/>
  <c r="AG73" i="95"/>
  <c r="AG42" i="95"/>
  <c r="AG59" i="95"/>
  <c r="AG68" i="95"/>
  <c r="AG25" i="95"/>
  <c r="AG19" i="95"/>
  <c r="AG14" i="95"/>
  <c r="AG49" i="95"/>
  <c r="AG93" i="95"/>
  <c r="AG86" i="95"/>
  <c r="AG75" i="95"/>
  <c r="AG67" i="95"/>
  <c r="AG85" i="95"/>
  <c r="AG13" i="95"/>
  <c r="AG30" i="95"/>
  <c r="AG24" i="95"/>
  <c r="AG52" i="95"/>
  <c r="AG34" i="95"/>
  <c r="AG78" i="95"/>
  <c r="AG82" i="95"/>
  <c r="AG56" i="95"/>
  <c r="AG88" i="95"/>
  <c r="AG20" i="95"/>
  <c r="AG50" i="95"/>
  <c r="AG51" i="95"/>
  <c r="AG12" i="95"/>
  <c r="AG29" i="95"/>
  <c r="AG60" i="95"/>
  <c r="AG26" i="95"/>
  <c r="AG40" i="95"/>
  <c r="AG36" i="95"/>
  <c r="AG95" i="95"/>
  <c r="AG84" i="95"/>
  <c r="AG62" i="95"/>
  <c r="AG94" i="95"/>
  <c r="AG11" i="95"/>
  <c r="AG16" i="95"/>
  <c r="AG31" i="95"/>
  <c r="AG55" i="95"/>
  <c r="AG44" i="95"/>
  <c r="AG38" i="95"/>
  <c r="AG71" i="95"/>
  <c r="AG77" i="95"/>
  <c r="AG96" i="95"/>
  <c r="AG23" i="95"/>
  <c r="AG18" i="95"/>
  <c r="AG15" i="95"/>
  <c r="AG70" i="95"/>
  <c r="AG47" i="95"/>
  <c r="AG45" i="95"/>
  <c r="AG72" i="95"/>
  <c r="AG91" i="95"/>
  <c r="AG92" i="95"/>
  <c r="J20" i="104"/>
  <c r="H20" i="2" s="1"/>
  <c r="AH8" i="95"/>
  <c r="AH97" i="95" s="1"/>
  <c r="AI7" i="95"/>
  <c r="AG63" i="95"/>
  <c r="AG33" i="95"/>
  <c r="AG22" i="95"/>
  <c r="AG39" i="95"/>
  <c r="AG58" i="95"/>
  <c r="AG46" i="95"/>
  <c r="AG66" i="95"/>
  <c r="AG57" i="95"/>
  <c r="AG81" i="95"/>
  <c r="AG64" i="95"/>
  <c r="AG89" i="95"/>
  <c r="J22" i="104"/>
  <c r="B11" i="104"/>
  <c r="J24" i="96"/>
  <c r="D24" i="2" s="1"/>
  <c r="J17" i="100"/>
  <c r="F17" i="2" s="1"/>
  <c r="F30" i="2" s="1"/>
  <c r="F32" i="2" s="1"/>
  <c r="H19" i="100"/>
  <c r="H22" i="100"/>
  <c r="J21" i="96"/>
  <c r="D21" i="2" s="1"/>
  <c r="D18" i="2"/>
  <c r="D31" i="2" s="1"/>
  <c r="D32" i="2" s="1"/>
  <c r="B11" i="96"/>
  <c r="J21" i="104"/>
  <c r="H21" i="2" s="1"/>
  <c r="H18" i="2"/>
  <c r="H31" i="2" s="1"/>
  <c r="H32" i="2" s="1"/>
  <c r="J21" i="94"/>
  <c r="C21" i="2" s="1"/>
  <c r="C18" i="2"/>
  <c r="C31" i="2" s="1"/>
  <c r="J22" i="2"/>
  <c r="K17" i="2"/>
  <c r="K30" i="2" s="1"/>
  <c r="K32" i="2" s="1"/>
  <c r="J22" i="110"/>
  <c r="J20" i="110"/>
  <c r="K20" i="2" s="1"/>
  <c r="I17" i="2"/>
  <c r="I30" i="2" s="1"/>
  <c r="I32" i="2" s="1"/>
  <c r="J20" i="106"/>
  <c r="I20" i="2" s="1"/>
  <c r="J19" i="110"/>
  <c r="K19" i="2" s="1"/>
  <c r="J25" i="100"/>
  <c r="F25" i="2" s="1"/>
  <c r="F26" i="2" s="1"/>
  <c r="J26" i="100"/>
  <c r="J19" i="104"/>
  <c r="H19" i="2" s="1"/>
  <c r="C19" i="100"/>
  <c r="C22" i="100"/>
  <c r="B9" i="100"/>
  <c r="B11" i="100" s="1"/>
  <c r="J19" i="102"/>
  <c r="G19" i="2" s="1"/>
  <c r="B11" i="94"/>
  <c r="G22" i="2"/>
  <c r="J20" i="102"/>
  <c r="G20" i="2" s="1"/>
  <c r="J22" i="102"/>
  <c r="H19" i="98"/>
  <c r="J19" i="98" s="1"/>
  <c r="E19" i="2" s="1"/>
  <c r="H22" i="98"/>
  <c r="B9" i="98"/>
  <c r="B11" i="98" s="1"/>
  <c r="J22" i="98"/>
  <c r="J20" i="98"/>
  <c r="E20" i="2" s="1"/>
  <c r="J26" i="96"/>
  <c r="J19" i="96"/>
  <c r="D19" i="2" s="1"/>
  <c r="J22" i="96"/>
  <c r="J20" i="96"/>
  <c r="D20" i="2" s="1"/>
  <c r="J22" i="94"/>
  <c r="J20" i="94"/>
  <c r="C20" i="2" s="1"/>
  <c r="J19" i="94"/>
  <c r="C19" i="2" s="1"/>
  <c r="U97" i="59"/>
  <c r="M97" i="59"/>
  <c r="L97" i="59"/>
  <c r="U96" i="59"/>
  <c r="M96" i="59"/>
  <c r="L96" i="59"/>
  <c r="U95" i="59"/>
  <c r="M95" i="59"/>
  <c r="L95" i="59"/>
  <c r="U94" i="59"/>
  <c r="M94" i="59"/>
  <c r="L94" i="59"/>
  <c r="U93" i="59"/>
  <c r="M93" i="59"/>
  <c r="L93" i="59"/>
  <c r="U92" i="59"/>
  <c r="M92" i="59"/>
  <c r="L92" i="59"/>
  <c r="U91" i="59"/>
  <c r="M91" i="59"/>
  <c r="L91" i="59"/>
  <c r="U90" i="59"/>
  <c r="M90" i="59"/>
  <c r="L90" i="59"/>
  <c r="U89" i="59"/>
  <c r="M89" i="59"/>
  <c r="L89" i="59"/>
  <c r="U88" i="59"/>
  <c r="M88" i="59"/>
  <c r="L88" i="59"/>
  <c r="U87" i="59"/>
  <c r="S87" i="59"/>
  <c r="R87" i="59"/>
  <c r="Q87" i="59"/>
  <c r="P87" i="59"/>
  <c r="V87" i="59" s="1"/>
  <c r="I87" i="59"/>
  <c r="H87" i="59"/>
  <c r="B87" i="59"/>
  <c r="U86" i="59"/>
  <c r="M86" i="59"/>
  <c r="L86" i="59"/>
  <c r="U85" i="59"/>
  <c r="M85" i="59"/>
  <c r="L85" i="59"/>
  <c r="U84" i="59"/>
  <c r="M84" i="59"/>
  <c r="L84" i="59"/>
  <c r="U83" i="59"/>
  <c r="M83" i="59"/>
  <c r="L83" i="59"/>
  <c r="U82" i="59"/>
  <c r="M82" i="59"/>
  <c r="L82" i="59"/>
  <c r="U81" i="59"/>
  <c r="M81" i="59"/>
  <c r="L81" i="59"/>
  <c r="U80" i="59"/>
  <c r="M80" i="59"/>
  <c r="L80" i="59"/>
  <c r="U79" i="59"/>
  <c r="M79" i="59"/>
  <c r="L79" i="59"/>
  <c r="U78" i="59"/>
  <c r="M78" i="59"/>
  <c r="L78" i="59"/>
  <c r="U77" i="59"/>
  <c r="M77" i="59"/>
  <c r="L77" i="59"/>
  <c r="U76" i="59"/>
  <c r="S76" i="59"/>
  <c r="R76" i="59"/>
  <c r="Q76" i="59"/>
  <c r="P76" i="59"/>
  <c r="I76" i="59"/>
  <c r="H76" i="59"/>
  <c r="B76" i="59"/>
  <c r="U75" i="59"/>
  <c r="M75" i="59"/>
  <c r="L75" i="59"/>
  <c r="U74" i="59"/>
  <c r="M74" i="59"/>
  <c r="L74" i="59"/>
  <c r="U73" i="59"/>
  <c r="M73" i="59"/>
  <c r="L73" i="59"/>
  <c r="U72" i="59"/>
  <c r="M72" i="59"/>
  <c r="L72" i="59"/>
  <c r="U71" i="59"/>
  <c r="M71" i="59"/>
  <c r="L71" i="59"/>
  <c r="U70" i="59"/>
  <c r="M70" i="59"/>
  <c r="L70" i="59"/>
  <c r="U69" i="59"/>
  <c r="M69" i="59"/>
  <c r="L69" i="59"/>
  <c r="U68" i="59"/>
  <c r="M68" i="59"/>
  <c r="L68" i="59"/>
  <c r="U67" i="59"/>
  <c r="M67" i="59"/>
  <c r="L67" i="59"/>
  <c r="U66" i="59"/>
  <c r="M66" i="59"/>
  <c r="L66" i="59"/>
  <c r="U65" i="59"/>
  <c r="S65" i="59"/>
  <c r="R65" i="59"/>
  <c r="Q65" i="59"/>
  <c r="P65" i="59"/>
  <c r="I65" i="59"/>
  <c r="H65" i="59"/>
  <c r="B65" i="59"/>
  <c r="U64" i="59"/>
  <c r="M64" i="59"/>
  <c r="L64" i="59"/>
  <c r="U63" i="59"/>
  <c r="M63" i="59"/>
  <c r="L63" i="59"/>
  <c r="U62" i="59"/>
  <c r="M62" i="59"/>
  <c r="L62" i="59"/>
  <c r="U61" i="59"/>
  <c r="M61" i="59"/>
  <c r="L61" i="59"/>
  <c r="U60" i="59"/>
  <c r="M60" i="59"/>
  <c r="L60" i="59"/>
  <c r="U59" i="59"/>
  <c r="M59" i="59"/>
  <c r="L59" i="59"/>
  <c r="U58" i="59"/>
  <c r="M58" i="59"/>
  <c r="L58" i="59"/>
  <c r="U57" i="59"/>
  <c r="M57" i="59"/>
  <c r="L57" i="59"/>
  <c r="U56" i="59"/>
  <c r="M56" i="59"/>
  <c r="L56" i="59"/>
  <c r="U55" i="59"/>
  <c r="M55" i="59"/>
  <c r="L55" i="59"/>
  <c r="U54" i="59"/>
  <c r="S54" i="59"/>
  <c r="R54" i="59"/>
  <c r="Q54" i="59"/>
  <c r="P54" i="59"/>
  <c r="V54" i="59" s="1"/>
  <c r="I54" i="59"/>
  <c r="H54" i="59"/>
  <c r="B54" i="59"/>
  <c r="U53" i="59"/>
  <c r="M53" i="59"/>
  <c r="L53" i="59"/>
  <c r="U52" i="59"/>
  <c r="M52" i="59"/>
  <c r="L52" i="59"/>
  <c r="U51" i="59"/>
  <c r="M51" i="59"/>
  <c r="L51" i="59"/>
  <c r="U50" i="59"/>
  <c r="M50" i="59"/>
  <c r="L50" i="59"/>
  <c r="U49" i="59"/>
  <c r="M49" i="59"/>
  <c r="L49" i="59"/>
  <c r="U48" i="59"/>
  <c r="M48" i="59"/>
  <c r="L48" i="59"/>
  <c r="U47" i="59"/>
  <c r="M47" i="59"/>
  <c r="L47" i="59"/>
  <c r="U46" i="59"/>
  <c r="M46" i="59"/>
  <c r="L46" i="59"/>
  <c r="U45" i="59"/>
  <c r="M45" i="59"/>
  <c r="L45" i="59"/>
  <c r="U44" i="59"/>
  <c r="M44" i="59"/>
  <c r="L44" i="59"/>
  <c r="U43" i="59"/>
  <c r="S43" i="59"/>
  <c r="R43" i="59"/>
  <c r="Q43" i="59"/>
  <c r="P43" i="59"/>
  <c r="V43" i="59" s="1"/>
  <c r="I43" i="59"/>
  <c r="H43" i="59"/>
  <c r="B43" i="59"/>
  <c r="U42" i="59"/>
  <c r="M42" i="59"/>
  <c r="L42" i="59"/>
  <c r="U41" i="59"/>
  <c r="M41" i="59"/>
  <c r="L41" i="59"/>
  <c r="U40" i="59"/>
  <c r="M40" i="59"/>
  <c r="L40" i="59"/>
  <c r="U39" i="59"/>
  <c r="M39" i="59"/>
  <c r="L39" i="59"/>
  <c r="U38" i="59"/>
  <c r="M38" i="59"/>
  <c r="L38" i="59"/>
  <c r="U37" i="59"/>
  <c r="M37" i="59"/>
  <c r="L37" i="59"/>
  <c r="U36" i="59"/>
  <c r="M36" i="59"/>
  <c r="L36" i="59"/>
  <c r="U35" i="59"/>
  <c r="M35" i="59"/>
  <c r="L35" i="59"/>
  <c r="U34" i="59"/>
  <c r="M34" i="59"/>
  <c r="L34" i="59"/>
  <c r="U33" i="59"/>
  <c r="M33" i="59"/>
  <c r="L33" i="59"/>
  <c r="U32" i="59"/>
  <c r="S32" i="59"/>
  <c r="R32" i="59"/>
  <c r="Q32" i="59"/>
  <c r="P32" i="59"/>
  <c r="I32" i="59"/>
  <c r="H32" i="59"/>
  <c r="B32" i="59"/>
  <c r="U31" i="59"/>
  <c r="M31" i="59"/>
  <c r="L31" i="59"/>
  <c r="U30" i="59"/>
  <c r="M30" i="59"/>
  <c r="L30" i="59"/>
  <c r="U29" i="59"/>
  <c r="M29" i="59"/>
  <c r="L29" i="59"/>
  <c r="U28" i="59"/>
  <c r="M28" i="59"/>
  <c r="L28" i="59"/>
  <c r="U27" i="59"/>
  <c r="M27" i="59"/>
  <c r="L27" i="59"/>
  <c r="U26" i="59"/>
  <c r="M26" i="59"/>
  <c r="L26" i="59"/>
  <c r="U25" i="59"/>
  <c r="M25" i="59"/>
  <c r="L25" i="59"/>
  <c r="U24" i="59"/>
  <c r="M24" i="59"/>
  <c r="L24" i="59"/>
  <c r="U23" i="59"/>
  <c r="M23" i="59"/>
  <c r="L23" i="59"/>
  <c r="U22" i="59"/>
  <c r="M22" i="59"/>
  <c r="L22" i="59"/>
  <c r="U21" i="59"/>
  <c r="S21" i="59"/>
  <c r="R21" i="59"/>
  <c r="Q21" i="59"/>
  <c r="P21" i="59"/>
  <c r="V21" i="59" s="1"/>
  <c r="I21" i="59"/>
  <c r="H21" i="59"/>
  <c r="B21" i="59"/>
  <c r="U20" i="59"/>
  <c r="M20" i="59"/>
  <c r="L20" i="59"/>
  <c r="U11" i="59"/>
  <c r="M11" i="59"/>
  <c r="L11" i="59"/>
  <c r="U10" i="59"/>
  <c r="S10" i="59"/>
  <c r="R10" i="59"/>
  <c r="Q10" i="59"/>
  <c r="P10" i="59"/>
  <c r="V10" i="59" s="1"/>
  <c r="I10" i="59"/>
  <c r="H10" i="59"/>
  <c r="B10" i="59"/>
  <c r="U9" i="59"/>
  <c r="I29" i="58"/>
  <c r="H29" i="58"/>
  <c r="G29" i="58"/>
  <c r="F29" i="58"/>
  <c r="E29" i="58"/>
  <c r="D29" i="58"/>
  <c r="C29" i="58"/>
  <c r="B29" i="58"/>
  <c r="J28" i="58"/>
  <c r="J27" i="58"/>
  <c r="J29" i="58" s="1"/>
  <c r="J16" i="58"/>
  <c r="J21" i="59" l="1"/>
  <c r="J10" i="59"/>
  <c r="B20" i="58" s="1"/>
  <c r="J43" i="59"/>
  <c r="J76" i="59"/>
  <c r="H20" i="58" s="1"/>
  <c r="J54" i="59"/>
  <c r="F20" i="58" s="1"/>
  <c r="J87" i="59"/>
  <c r="I20" i="58" s="1"/>
  <c r="J65" i="59"/>
  <c r="G20" i="58" s="1"/>
  <c r="J32" i="59"/>
  <c r="D20" i="58" s="1"/>
  <c r="D26" i="2"/>
  <c r="V76" i="59"/>
  <c r="V32" i="59"/>
  <c r="V65" i="59"/>
  <c r="M24" i="2"/>
  <c r="M31" i="2"/>
  <c r="C32" i="2"/>
  <c r="M30" i="2"/>
  <c r="M26" i="2"/>
  <c r="M25" i="2"/>
  <c r="AF26" i="59"/>
  <c r="AF58" i="59"/>
  <c r="AF35" i="59"/>
  <c r="AF33" i="59"/>
  <c r="AF17" i="59"/>
  <c r="AF19" i="59"/>
  <c r="AF37" i="59"/>
  <c r="AF53" i="59"/>
  <c r="AF52" i="59"/>
  <c r="AF55" i="59"/>
  <c r="AF77" i="59"/>
  <c r="AF89" i="59"/>
  <c r="AF22" i="59"/>
  <c r="AG94" i="59"/>
  <c r="AG68" i="59"/>
  <c r="AG15" i="59"/>
  <c r="AG8" i="59"/>
  <c r="AG89" i="59" s="1"/>
  <c r="AG18" i="59"/>
  <c r="AH7" i="59"/>
  <c r="AF28" i="59"/>
  <c r="AF39" i="59"/>
  <c r="AF34" i="59"/>
  <c r="AF69" i="59"/>
  <c r="AF74" i="59"/>
  <c r="AF63" i="59"/>
  <c r="AF67" i="59"/>
  <c r="AF94" i="59"/>
  <c r="AF82" i="59"/>
  <c r="AF29" i="59"/>
  <c r="AF14" i="59"/>
  <c r="AF36" i="59"/>
  <c r="AF64" i="59"/>
  <c r="AF42" i="59"/>
  <c r="AF45" i="59"/>
  <c r="AF93" i="59"/>
  <c r="AF79" i="59"/>
  <c r="AF84" i="59"/>
  <c r="AF91" i="59"/>
  <c r="AF60" i="59"/>
  <c r="AF25" i="59"/>
  <c r="AF46" i="59"/>
  <c r="AF20" i="59"/>
  <c r="AF44" i="59"/>
  <c r="AF83" i="59"/>
  <c r="AF56" i="59"/>
  <c r="AF75" i="59"/>
  <c r="AF57" i="59"/>
  <c r="AF86" i="59"/>
  <c r="AF81" i="59"/>
  <c r="AF88" i="59"/>
  <c r="AF12" i="59"/>
  <c r="AF27" i="59"/>
  <c r="AF97" i="59"/>
  <c r="AF13" i="59"/>
  <c r="AF24" i="59"/>
  <c r="AF41" i="59"/>
  <c r="AF23" i="59"/>
  <c r="AF31" i="59"/>
  <c r="AF62" i="59"/>
  <c r="AF59" i="59"/>
  <c r="AF72" i="59"/>
  <c r="AF51" i="59"/>
  <c r="AF90" i="59"/>
  <c r="AF96" i="59"/>
  <c r="AF11" i="59"/>
  <c r="AF16" i="59"/>
  <c r="AF18" i="59"/>
  <c r="AF30" i="59"/>
  <c r="AF40" i="59"/>
  <c r="AF48" i="59"/>
  <c r="AF68" i="59"/>
  <c r="AF78" i="59"/>
  <c r="AF70" i="59"/>
  <c r="AF95" i="59"/>
  <c r="AF66" i="59"/>
  <c r="AF71" i="59"/>
  <c r="AF15" i="59"/>
  <c r="AF38" i="59"/>
  <c r="AF61" i="59"/>
  <c r="AF49" i="59"/>
  <c r="AF50" i="59"/>
  <c r="AF47" i="59"/>
  <c r="AF80" i="59"/>
  <c r="AF73" i="59"/>
  <c r="AF20" i="113"/>
  <c r="AF46" i="113"/>
  <c r="AF33" i="113"/>
  <c r="AF38" i="113"/>
  <c r="AF49" i="113"/>
  <c r="AF74" i="113"/>
  <c r="AF90" i="113"/>
  <c r="AF73" i="113"/>
  <c r="AF92" i="113"/>
  <c r="AF12" i="113"/>
  <c r="AF13" i="113"/>
  <c r="AF41" i="113"/>
  <c r="AF27" i="113"/>
  <c r="AF70" i="113"/>
  <c r="AF59" i="113"/>
  <c r="AF63" i="113"/>
  <c r="AF66" i="113"/>
  <c r="AF79" i="113"/>
  <c r="AF97" i="113"/>
  <c r="AF17" i="113"/>
  <c r="AF24" i="113"/>
  <c r="AF29" i="113"/>
  <c r="AF45" i="113"/>
  <c r="AF35" i="113"/>
  <c r="AF61" i="113"/>
  <c r="AF81" i="113"/>
  <c r="AF71" i="113"/>
  <c r="AF75" i="113"/>
  <c r="AG8" i="113"/>
  <c r="AG92" i="113" s="1"/>
  <c r="AH7" i="113"/>
  <c r="AG89" i="111"/>
  <c r="AG80" i="111"/>
  <c r="AG44" i="111"/>
  <c r="AG48" i="111"/>
  <c r="AG70" i="111"/>
  <c r="AG73" i="111"/>
  <c r="AG93" i="111"/>
  <c r="AG94" i="111"/>
  <c r="AG96" i="111"/>
  <c r="AG51" i="111"/>
  <c r="AG72" i="111"/>
  <c r="AG38" i="111"/>
  <c r="AG81" i="111"/>
  <c r="AG91" i="111"/>
  <c r="AH97" i="111"/>
  <c r="AH83" i="111"/>
  <c r="AH91" i="111"/>
  <c r="AH77" i="111"/>
  <c r="AH61" i="111"/>
  <c r="AH57" i="111"/>
  <c r="AH22" i="111"/>
  <c r="AH31" i="111"/>
  <c r="AH11" i="111"/>
  <c r="AH53" i="111"/>
  <c r="AH38" i="111"/>
  <c r="AH46" i="111"/>
  <c r="AH8" i="111"/>
  <c r="AH89" i="111" s="1"/>
  <c r="AH28" i="111"/>
  <c r="AH39" i="111"/>
  <c r="AH14" i="111"/>
  <c r="AI7" i="111"/>
  <c r="AH15" i="111"/>
  <c r="AG92" i="111"/>
  <c r="AG69" i="111"/>
  <c r="AG12" i="111"/>
  <c r="AG31" i="111"/>
  <c r="AG45" i="111"/>
  <c r="AG42" i="111"/>
  <c r="AG49" i="111"/>
  <c r="AG58" i="111"/>
  <c r="AG68" i="111"/>
  <c r="AG56" i="111"/>
  <c r="AF18" i="109"/>
  <c r="AF53" i="109"/>
  <c r="AF58" i="109"/>
  <c r="AF49" i="109"/>
  <c r="AF17" i="109"/>
  <c r="AF14" i="109"/>
  <c r="AF66" i="109"/>
  <c r="AF78" i="109"/>
  <c r="AF90" i="109"/>
  <c r="AF97" i="109"/>
  <c r="AF46" i="109"/>
  <c r="AF67" i="109"/>
  <c r="AF28" i="109"/>
  <c r="AF37" i="109"/>
  <c r="AF26" i="109"/>
  <c r="AF23" i="109"/>
  <c r="AF75" i="109"/>
  <c r="AF61" i="109"/>
  <c r="AF82" i="109"/>
  <c r="AF94" i="109"/>
  <c r="AF20" i="109"/>
  <c r="AF11" i="109"/>
  <c r="AF50" i="109"/>
  <c r="AF48" i="109"/>
  <c r="AF24" i="109"/>
  <c r="AF44" i="109"/>
  <c r="AF40" i="109"/>
  <c r="AF63" i="109"/>
  <c r="AF64" i="109"/>
  <c r="AF95" i="109"/>
  <c r="AF88" i="109"/>
  <c r="AF15" i="109"/>
  <c r="AF31" i="109"/>
  <c r="AF77" i="109"/>
  <c r="AF91" i="109"/>
  <c r="AF45" i="109"/>
  <c r="AG94" i="109"/>
  <c r="AG97" i="109"/>
  <c r="AG89" i="109"/>
  <c r="AG82" i="109"/>
  <c r="AG85" i="109"/>
  <c r="AG81" i="109"/>
  <c r="AG66" i="109"/>
  <c r="AG88" i="109"/>
  <c r="AG80" i="109"/>
  <c r="AG62" i="109"/>
  <c r="AG56" i="109"/>
  <c r="AG59" i="109"/>
  <c r="AG47" i="109"/>
  <c r="AG44" i="109"/>
  <c r="AG35" i="109"/>
  <c r="AG38" i="109"/>
  <c r="AG29" i="109"/>
  <c r="AG20" i="109"/>
  <c r="AG84" i="109"/>
  <c r="AG71" i="109"/>
  <c r="AG42" i="109"/>
  <c r="AG79" i="109"/>
  <c r="AG67" i="109"/>
  <c r="AG55" i="109"/>
  <c r="AG41" i="109"/>
  <c r="AG40" i="109"/>
  <c r="AG37" i="109"/>
  <c r="AH7" i="109"/>
  <c r="AG45" i="109"/>
  <c r="AG24" i="109"/>
  <c r="AG11" i="109"/>
  <c r="AG8" i="109"/>
  <c r="AG92" i="109" s="1"/>
  <c r="AG16" i="109"/>
  <c r="AF51" i="109"/>
  <c r="AF29" i="109"/>
  <c r="AF33" i="109"/>
  <c r="AF57" i="109"/>
  <c r="AF52" i="109"/>
  <c r="AF70" i="109"/>
  <c r="AF73" i="109"/>
  <c r="AF79" i="109"/>
  <c r="AF96" i="109"/>
  <c r="AF12" i="109"/>
  <c r="AF13" i="109"/>
  <c r="AF16" i="109"/>
  <c r="AF34" i="109"/>
  <c r="AF41" i="109"/>
  <c r="AF60" i="109"/>
  <c r="AF56" i="109"/>
  <c r="AF71" i="109"/>
  <c r="AF81" i="109"/>
  <c r="AF93" i="109"/>
  <c r="AF22" i="109"/>
  <c r="AF47" i="109"/>
  <c r="AF35" i="109"/>
  <c r="AF62" i="109"/>
  <c r="AF86" i="109"/>
  <c r="AF30" i="109"/>
  <c r="AF25" i="109"/>
  <c r="AF36" i="109"/>
  <c r="AF38" i="109"/>
  <c r="AF55" i="109"/>
  <c r="AF69" i="109"/>
  <c r="AF59" i="109"/>
  <c r="AF72" i="109"/>
  <c r="AF85" i="109"/>
  <c r="AG97" i="107"/>
  <c r="AG28" i="107"/>
  <c r="AG26" i="107"/>
  <c r="AG66" i="107"/>
  <c r="AG80" i="107"/>
  <c r="AG79" i="107"/>
  <c r="AG61" i="107"/>
  <c r="AG77" i="107"/>
  <c r="AG93" i="107"/>
  <c r="AG91" i="107"/>
  <c r="AH95" i="107"/>
  <c r="AH77" i="107"/>
  <c r="AH91" i="107"/>
  <c r="AH70" i="107"/>
  <c r="AH69" i="107"/>
  <c r="AH51" i="107"/>
  <c r="AH68" i="107"/>
  <c r="AH73" i="107"/>
  <c r="AH47" i="107"/>
  <c r="AH37" i="107"/>
  <c r="AH42" i="107"/>
  <c r="AH35" i="107"/>
  <c r="AH34" i="107"/>
  <c r="AH67" i="107"/>
  <c r="AH46" i="107"/>
  <c r="AH27" i="107"/>
  <c r="AH25" i="107"/>
  <c r="AH18" i="107"/>
  <c r="AH41" i="107"/>
  <c r="AH29" i="107"/>
  <c r="AH8" i="107"/>
  <c r="AH90" i="107" s="1"/>
  <c r="AH23" i="107"/>
  <c r="AH14" i="107"/>
  <c r="AI7" i="107"/>
  <c r="AH19" i="107"/>
  <c r="AH16" i="107"/>
  <c r="AH12" i="107"/>
  <c r="AG27" i="107"/>
  <c r="AG53" i="107"/>
  <c r="AG60" i="107"/>
  <c r="AG52" i="107"/>
  <c r="AG44" i="107"/>
  <c r="AG55" i="107"/>
  <c r="AG50" i="107"/>
  <c r="AG69" i="107"/>
  <c r="AG85" i="107"/>
  <c r="AH90" i="105"/>
  <c r="AH93" i="105"/>
  <c r="AH88" i="105"/>
  <c r="AH85" i="105"/>
  <c r="AH71" i="105"/>
  <c r="AH62" i="105"/>
  <c r="AH55" i="105"/>
  <c r="AH78" i="105"/>
  <c r="AH61" i="105"/>
  <c r="AH52" i="105"/>
  <c r="AH47" i="105"/>
  <c r="AH38" i="105"/>
  <c r="AH40" i="105"/>
  <c r="AH30" i="105"/>
  <c r="AH29" i="105"/>
  <c r="AH24" i="105"/>
  <c r="AH8" i="105"/>
  <c r="AH94" i="105" s="1"/>
  <c r="AH41" i="105"/>
  <c r="AH22" i="105"/>
  <c r="AH13" i="105"/>
  <c r="AH14" i="105"/>
  <c r="AI7" i="105"/>
  <c r="AH51" i="105"/>
  <c r="AH37" i="105"/>
  <c r="AH27" i="105"/>
  <c r="AH48" i="105"/>
  <c r="AH11" i="105"/>
  <c r="AH25" i="105"/>
  <c r="AH17" i="105"/>
  <c r="AH19" i="105"/>
  <c r="AG51" i="105"/>
  <c r="AG63" i="105"/>
  <c r="AG75" i="105"/>
  <c r="AG73" i="105"/>
  <c r="AG96" i="105"/>
  <c r="AG95" i="105"/>
  <c r="AG29" i="105"/>
  <c r="AG33" i="105"/>
  <c r="AG53" i="105"/>
  <c r="AG70" i="105"/>
  <c r="AG57" i="105"/>
  <c r="AG64" i="105"/>
  <c r="AG84" i="105"/>
  <c r="AG92" i="105"/>
  <c r="AG38" i="105"/>
  <c r="AG18" i="105"/>
  <c r="AG13" i="105"/>
  <c r="AG42" i="105"/>
  <c r="AG25" i="105"/>
  <c r="AG56" i="105"/>
  <c r="AG66" i="105"/>
  <c r="AG80" i="105"/>
  <c r="AG72" i="105"/>
  <c r="AG89" i="105"/>
  <c r="AG45" i="105"/>
  <c r="AG26" i="105"/>
  <c r="AG12" i="105"/>
  <c r="AG48" i="105"/>
  <c r="AG50" i="105"/>
  <c r="AG67" i="105"/>
  <c r="AG74" i="105"/>
  <c r="AG77" i="105"/>
  <c r="AG81" i="105"/>
  <c r="AG97" i="105"/>
  <c r="AG14" i="105"/>
  <c r="AG23" i="105"/>
  <c r="AG22" i="105"/>
  <c r="AG20" i="105"/>
  <c r="AG58" i="105"/>
  <c r="AG44" i="105"/>
  <c r="AG55" i="105"/>
  <c r="AG83" i="105"/>
  <c r="AG85" i="105"/>
  <c r="AG78" i="105"/>
  <c r="AG94" i="105"/>
  <c r="AG28" i="105"/>
  <c r="AG34" i="105"/>
  <c r="AG35" i="105"/>
  <c r="AG27" i="105"/>
  <c r="AG31" i="105"/>
  <c r="AG40" i="105"/>
  <c r="AG62" i="105"/>
  <c r="AG71" i="105"/>
  <c r="AG88" i="105"/>
  <c r="AG93" i="105"/>
  <c r="AH93" i="103"/>
  <c r="AH83" i="103"/>
  <c r="AH81" i="103"/>
  <c r="AH77" i="103"/>
  <c r="AH38" i="103"/>
  <c r="AH51" i="103"/>
  <c r="AH30" i="103"/>
  <c r="AH39" i="103"/>
  <c r="AI7" i="103"/>
  <c r="AH31" i="103"/>
  <c r="AH8" i="103"/>
  <c r="AH94" i="103" s="1"/>
  <c r="AH24" i="103"/>
  <c r="AG82" i="103"/>
  <c r="AG89" i="103"/>
  <c r="AG73" i="103"/>
  <c r="AG88" i="103"/>
  <c r="AG97" i="103"/>
  <c r="AG13" i="103"/>
  <c r="AG22" i="103"/>
  <c r="AG35" i="103"/>
  <c r="AG25" i="103"/>
  <c r="AG53" i="103"/>
  <c r="AG52" i="103"/>
  <c r="AG81" i="103"/>
  <c r="AG75" i="103"/>
  <c r="AG61" i="103"/>
  <c r="AG86" i="103"/>
  <c r="AG94" i="103"/>
  <c r="AG26" i="103"/>
  <c r="AG11" i="103"/>
  <c r="AG57" i="103"/>
  <c r="AG39" i="103"/>
  <c r="AG56" i="103"/>
  <c r="AG55" i="103"/>
  <c r="AG69" i="103"/>
  <c r="AG70" i="103"/>
  <c r="AG84" i="103"/>
  <c r="AF94" i="101"/>
  <c r="AF45" i="101"/>
  <c r="AF72" i="101"/>
  <c r="AF40" i="101"/>
  <c r="AF77" i="101"/>
  <c r="AF73" i="101"/>
  <c r="AF84" i="101"/>
  <c r="AF91" i="101"/>
  <c r="AG86" i="101"/>
  <c r="AG93" i="101"/>
  <c r="AG63" i="101"/>
  <c r="AG84" i="101"/>
  <c r="AG58" i="101"/>
  <c r="AG31" i="101"/>
  <c r="AG72" i="101"/>
  <c r="AG20" i="101"/>
  <c r="AG14" i="101"/>
  <c r="AH7" i="101"/>
  <c r="AG8" i="101"/>
  <c r="AG91" i="101" s="1"/>
  <c r="AG15" i="101"/>
  <c r="AF51" i="101"/>
  <c r="AF50" i="101"/>
  <c r="AF49" i="101"/>
  <c r="AF58" i="101"/>
  <c r="AF80" i="101"/>
  <c r="AF93" i="101"/>
  <c r="AF88" i="101"/>
  <c r="AF14" i="101"/>
  <c r="AF20" i="101"/>
  <c r="AF29" i="101"/>
  <c r="AF30" i="101"/>
  <c r="AF38" i="101"/>
  <c r="AF53" i="101"/>
  <c r="AF67" i="101"/>
  <c r="AF81" i="101"/>
  <c r="AF86" i="101"/>
  <c r="AF48" i="99"/>
  <c r="AF64" i="99"/>
  <c r="AF84" i="99"/>
  <c r="AF83" i="99"/>
  <c r="AF97" i="99"/>
  <c r="AF46" i="99"/>
  <c r="AF53" i="99"/>
  <c r="AF82" i="99"/>
  <c r="AF60" i="99"/>
  <c r="AF81" i="99"/>
  <c r="AF90" i="99"/>
  <c r="AF88" i="99"/>
  <c r="AF13" i="99"/>
  <c r="AF25" i="99"/>
  <c r="AF29" i="99"/>
  <c r="AF26" i="99"/>
  <c r="AF36" i="99"/>
  <c r="AF62" i="99"/>
  <c r="AF49" i="99"/>
  <c r="AF70" i="99"/>
  <c r="AF69" i="99"/>
  <c r="AF86" i="99"/>
  <c r="AF96" i="99"/>
  <c r="AF38" i="99"/>
  <c r="AF16" i="99"/>
  <c r="AF50" i="99"/>
  <c r="AF45" i="99"/>
  <c r="AF73" i="99"/>
  <c r="AF58" i="99"/>
  <c r="AF79" i="99"/>
  <c r="AF78" i="99"/>
  <c r="AF95" i="99"/>
  <c r="AF12" i="99"/>
  <c r="AF17" i="99"/>
  <c r="AF22" i="99"/>
  <c r="AF23" i="99"/>
  <c r="AF85" i="99"/>
  <c r="AF35" i="99"/>
  <c r="AF68" i="99"/>
  <c r="AF67" i="99"/>
  <c r="AF66" i="99"/>
  <c r="AG86" i="99"/>
  <c r="AG88" i="99"/>
  <c r="AG96" i="99"/>
  <c r="AG58" i="99"/>
  <c r="AG38" i="99"/>
  <c r="AG60" i="99"/>
  <c r="AG42" i="99"/>
  <c r="AG11" i="99"/>
  <c r="AH7" i="99"/>
  <c r="AG24" i="99"/>
  <c r="AG8" i="99"/>
  <c r="AG90" i="99" s="1"/>
  <c r="AG22" i="99"/>
  <c r="AG15" i="99"/>
  <c r="AF55" i="97"/>
  <c r="AF82" i="97"/>
  <c r="AF69" i="97"/>
  <c r="AF92" i="97"/>
  <c r="AG89" i="97"/>
  <c r="AG66" i="97"/>
  <c r="AG67" i="97"/>
  <c r="AG71" i="97"/>
  <c r="AG85" i="97"/>
  <c r="AG42" i="97"/>
  <c r="AG35" i="97"/>
  <c r="AG38" i="97"/>
  <c r="AG25" i="97"/>
  <c r="AG16" i="97"/>
  <c r="AH7" i="97"/>
  <c r="AG8" i="97"/>
  <c r="AG92" i="97" s="1"/>
  <c r="AG22" i="97"/>
  <c r="AG20" i="97"/>
  <c r="AG41" i="97"/>
  <c r="AF22" i="97"/>
  <c r="AF59" i="97"/>
  <c r="AF25" i="97"/>
  <c r="AF14" i="97"/>
  <c r="AF41" i="97"/>
  <c r="AF75" i="97"/>
  <c r="AF49" i="97"/>
  <c r="AF53" i="97"/>
  <c r="AF71" i="97"/>
  <c r="AF94" i="97"/>
  <c r="AF73" i="97"/>
  <c r="AF67" i="97"/>
  <c r="AF23" i="97"/>
  <c r="AF46" i="97"/>
  <c r="AF50" i="97"/>
  <c r="AF74" i="97"/>
  <c r="AF62" i="97"/>
  <c r="AF80" i="97"/>
  <c r="AF91" i="97"/>
  <c r="AF11" i="97"/>
  <c r="AF36" i="97"/>
  <c r="AF13" i="97"/>
  <c r="AF12" i="97"/>
  <c r="AF28" i="97"/>
  <c r="AF47" i="97"/>
  <c r="AF84" i="97"/>
  <c r="AF79" i="97"/>
  <c r="AF93" i="97"/>
  <c r="AF90" i="97"/>
  <c r="AF88" i="97"/>
  <c r="AF33" i="97"/>
  <c r="AF16" i="97"/>
  <c r="AF19" i="97"/>
  <c r="AF20" i="97"/>
  <c r="AF31" i="97"/>
  <c r="AF48" i="97"/>
  <c r="AF44" i="97"/>
  <c r="AF60" i="97"/>
  <c r="AF72" i="97"/>
  <c r="AF86" i="97"/>
  <c r="AH15" i="95"/>
  <c r="AH26" i="95"/>
  <c r="AH79" i="95"/>
  <c r="AH81" i="95"/>
  <c r="AH64" i="95"/>
  <c r="AH39" i="95"/>
  <c r="AH73" i="95"/>
  <c r="AH13" i="95"/>
  <c r="AH18" i="95"/>
  <c r="AH34" i="95"/>
  <c r="AH45" i="95"/>
  <c r="AH37" i="95"/>
  <c r="AH96" i="95"/>
  <c r="AH93" i="95"/>
  <c r="AH58" i="95"/>
  <c r="AJ7" i="95"/>
  <c r="AI8" i="95"/>
  <c r="AI90" i="95" s="1"/>
  <c r="AH24" i="95"/>
  <c r="AH38" i="95"/>
  <c r="AH16" i="95"/>
  <c r="AH14" i="95"/>
  <c r="AH57" i="95"/>
  <c r="AH53" i="95"/>
  <c r="AH36" i="95"/>
  <c r="AH77" i="95"/>
  <c r="AH72" i="95"/>
  <c r="AH70" i="95"/>
  <c r="AH84" i="95"/>
  <c r="AH94" i="95"/>
  <c r="AH35" i="95"/>
  <c r="AH19" i="95"/>
  <c r="AH31" i="95"/>
  <c r="AH29" i="95"/>
  <c r="AH12" i="95"/>
  <c r="AH27" i="95"/>
  <c r="AH68" i="95"/>
  <c r="AH42" i="95"/>
  <c r="AH41" i="95"/>
  <c r="AH60" i="95"/>
  <c r="AH80" i="95"/>
  <c r="AH83" i="95"/>
  <c r="AH88" i="95"/>
  <c r="AH82" i="95"/>
  <c r="AH30" i="95"/>
  <c r="AH11" i="95"/>
  <c r="AH23" i="95"/>
  <c r="AH49" i="95"/>
  <c r="AH51" i="95"/>
  <c r="AH46" i="95"/>
  <c r="AH67" i="95"/>
  <c r="AH44" i="95"/>
  <c r="AH92" i="95"/>
  <c r="AH55" i="95"/>
  <c r="AH86" i="95"/>
  <c r="AH91" i="95"/>
  <c r="AH63" i="95"/>
  <c r="AH20" i="95"/>
  <c r="AH33" i="95"/>
  <c r="AH78" i="95"/>
  <c r="AH85" i="95"/>
  <c r="AH17" i="95"/>
  <c r="AH48" i="95"/>
  <c r="AH28" i="95"/>
  <c r="AH59" i="95"/>
  <c r="AH66" i="95"/>
  <c r="AH90" i="95"/>
  <c r="AH89" i="95"/>
  <c r="AH74" i="95"/>
  <c r="AH62" i="95"/>
  <c r="AH22" i="95"/>
  <c r="AH25" i="95"/>
  <c r="AH52" i="95"/>
  <c r="AH56" i="95"/>
  <c r="AH47" i="95"/>
  <c r="AH40" i="95"/>
  <c r="AH71" i="95"/>
  <c r="AH75" i="95"/>
  <c r="AH50" i="95"/>
  <c r="AH69" i="95"/>
  <c r="AH61" i="95"/>
  <c r="AH95" i="95"/>
  <c r="J19" i="100"/>
  <c r="F19" i="2" s="1"/>
  <c r="J20" i="100"/>
  <c r="F20" i="2" s="1"/>
  <c r="J22" i="100"/>
  <c r="H22" i="2"/>
  <c r="K22" i="2"/>
  <c r="I22" i="2"/>
  <c r="N23" i="59"/>
  <c r="O23" i="59" s="1"/>
  <c r="N27" i="59"/>
  <c r="O27" i="59" s="1"/>
  <c r="N31" i="59"/>
  <c r="O31" i="59" s="1"/>
  <c r="N36" i="59"/>
  <c r="O36" i="59" s="1"/>
  <c r="N40" i="59"/>
  <c r="O40" i="59" s="1"/>
  <c r="N45" i="59"/>
  <c r="O45" i="59" s="1"/>
  <c r="N49" i="59"/>
  <c r="O49" i="59" s="1"/>
  <c r="N53" i="59"/>
  <c r="O53" i="59" s="1"/>
  <c r="N58" i="59"/>
  <c r="O58" i="59" s="1"/>
  <c r="N62" i="59"/>
  <c r="O62" i="59" s="1"/>
  <c r="N67" i="59"/>
  <c r="O67" i="59" s="1"/>
  <c r="N71" i="59"/>
  <c r="O71" i="59" s="1"/>
  <c r="N75" i="59"/>
  <c r="O75" i="59" s="1"/>
  <c r="N84" i="59"/>
  <c r="O84" i="59" s="1"/>
  <c r="N91" i="59"/>
  <c r="O91" i="59" s="1"/>
  <c r="P9" i="59"/>
  <c r="M87" i="59"/>
  <c r="I18" i="58" s="1"/>
  <c r="N94" i="59"/>
  <c r="O94" i="59" s="1"/>
  <c r="K87" i="59"/>
  <c r="I21" i="58" s="1"/>
  <c r="K32" i="59"/>
  <c r="D21" i="58" s="1"/>
  <c r="K76" i="59"/>
  <c r="H21" i="58" s="1"/>
  <c r="K21" i="59"/>
  <c r="C21" i="58" s="1"/>
  <c r="K65" i="59"/>
  <c r="G21" i="58" s="1"/>
  <c r="M21" i="59"/>
  <c r="C18" i="58" s="1"/>
  <c r="M65" i="59"/>
  <c r="G18" i="58" s="1"/>
  <c r="N34" i="59"/>
  <c r="O34" i="59" s="1"/>
  <c r="N42" i="59"/>
  <c r="O42" i="59" s="1"/>
  <c r="K43" i="59"/>
  <c r="E21" i="58" s="1"/>
  <c r="N51" i="59"/>
  <c r="O51" i="59" s="1"/>
  <c r="N60" i="59"/>
  <c r="O60" i="59" s="1"/>
  <c r="N69" i="59"/>
  <c r="O69" i="59" s="1"/>
  <c r="N85" i="59"/>
  <c r="O85" i="59" s="1"/>
  <c r="N95" i="59"/>
  <c r="O95" i="59" s="1"/>
  <c r="N22" i="59"/>
  <c r="O22" i="59" s="1"/>
  <c r="N30" i="59"/>
  <c r="O30" i="59" s="1"/>
  <c r="N39" i="59"/>
  <c r="O39" i="59" s="1"/>
  <c r="N48" i="59"/>
  <c r="O48" i="59" s="1"/>
  <c r="N57" i="59"/>
  <c r="O57" i="59" s="1"/>
  <c r="N66" i="59"/>
  <c r="O66" i="59" s="1"/>
  <c r="N74" i="59"/>
  <c r="O74" i="59" s="1"/>
  <c r="M76" i="59"/>
  <c r="H18" i="58" s="1"/>
  <c r="N38" i="59"/>
  <c r="O38" i="59" s="1"/>
  <c r="N47" i="59"/>
  <c r="O47" i="59" s="1"/>
  <c r="N92" i="59"/>
  <c r="O92" i="59" s="1"/>
  <c r="K10" i="59"/>
  <c r="B21" i="58" s="1"/>
  <c r="K54" i="59"/>
  <c r="F21" i="58" s="1"/>
  <c r="N26" i="59"/>
  <c r="O26" i="59" s="1"/>
  <c r="N79" i="59"/>
  <c r="O79" i="59" s="1"/>
  <c r="N89" i="59"/>
  <c r="O89" i="59" s="1"/>
  <c r="N29" i="59"/>
  <c r="O29" i="59" s="1"/>
  <c r="N56" i="59"/>
  <c r="O56" i="59" s="1"/>
  <c r="N73" i="59"/>
  <c r="O73" i="59" s="1"/>
  <c r="N83" i="59"/>
  <c r="O83" i="59" s="1"/>
  <c r="N93" i="59"/>
  <c r="O93" i="59" s="1"/>
  <c r="N28" i="59"/>
  <c r="O28" i="59" s="1"/>
  <c r="N37" i="59"/>
  <c r="O37" i="59" s="1"/>
  <c r="N46" i="59"/>
  <c r="O46" i="59" s="1"/>
  <c r="N63" i="59"/>
  <c r="O63" i="59" s="1"/>
  <c r="N72" i="59"/>
  <c r="O72" i="59" s="1"/>
  <c r="N82" i="59"/>
  <c r="O82" i="59" s="1"/>
  <c r="N81" i="59"/>
  <c r="O81" i="59" s="1"/>
  <c r="M10" i="59"/>
  <c r="B18" i="58" s="1"/>
  <c r="N35" i="59"/>
  <c r="O35" i="59" s="1"/>
  <c r="N44" i="59"/>
  <c r="O44" i="59" s="1"/>
  <c r="N52" i="59"/>
  <c r="O52" i="59" s="1"/>
  <c r="M54" i="59"/>
  <c r="F18" i="58" s="1"/>
  <c r="N61" i="59"/>
  <c r="O61" i="59" s="1"/>
  <c r="N70" i="59"/>
  <c r="O70" i="59" s="1"/>
  <c r="N80" i="59"/>
  <c r="O80" i="59" s="1"/>
  <c r="N90" i="59"/>
  <c r="O90" i="59" s="1"/>
  <c r="N25" i="59"/>
  <c r="O25" i="59" s="1"/>
  <c r="N24" i="59"/>
  <c r="O24" i="59" s="1"/>
  <c r="N41" i="59"/>
  <c r="O41" i="59" s="1"/>
  <c r="M43" i="59"/>
  <c r="E18" i="58" s="1"/>
  <c r="N50" i="59"/>
  <c r="O50" i="59" s="1"/>
  <c r="N59" i="59"/>
  <c r="O59" i="59" s="1"/>
  <c r="N68" i="59"/>
  <c r="O68" i="59" s="1"/>
  <c r="N78" i="59"/>
  <c r="O78" i="59" s="1"/>
  <c r="N86" i="59"/>
  <c r="O86" i="59" s="1"/>
  <c r="N88" i="59"/>
  <c r="O88" i="59" s="1"/>
  <c r="N96" i="59"/>
  <c r="O96" i="59" s="1"/>
  <c r="M32" i="59"/>
  <c r="D18" i="58" s="1"/>
  <c r="I9" i="59"/>
  <c r="Q9" i="59"/>
  <c r="N64" i="59"/>
  <c r="O64" i="59" s="1"/>
  <c r="N20" i="59"/>
  <c r="O20" i="59" s="1"/>
  <c r="H23" i="58"/>
  <c r="D23" i="58"/>
  <c r="B23" i="58"/>
  <c r="F23" i="58"/>
  <c r="C23" i="58"/>
  <c r="E23" i="58"/>
  <c r="G23" i="58"/>
  <c r="I23" i="58"/>
  <c r="N11" i="59"/>
  <c r="O11" i="59" s="1"/>
  <c r="L10" i="59"/>
  <c r="B17" i="58" s="1"/>
  <c r="N33" i="59"/>
  <c r="O33" i="59" s="1"/>
  <c r="L32" i="59"/>
  <c r="D17" i="58" s="1"/>
  <c r="N55" i="59"/>
  <c r="O55" i="59" s="1"/>
  <c r="L54" i="59"/>
  <c r="F17" i="58" s="1"/>
  <c r="N77" i="59"/>
  <c r="O77" i="59" s="1"/>
  <c r="L76" i="59"/>
  <c r="H17" i="58" s="1"/>
  <c r="E20" i="58"/>
  <c r="L43" i="59"/>
  <c r="E17" i="58" s="1"/>
  <c r="L65" i="59"/>
  <c r="G17" i="58" s="1"/>
  <c r="C20" i="58"/>
  <c r="L21" i="59"/>
  <c r="C17" i="58" s="1"/>
  <c r="N97" i="59"/>
  <c r="O97" i="59" s="1"/>
  <c r="L87" i="59"/>
  <c r="I17" i="58" s="1"/>
  <c r="AI24" i="95" l="1"/>
  <c r="AG38" i="59"/>
  <c r="AG84" i="59"/>
  <c r="AG14" i="59"/>
  <c r="AG26" i="59"/>
  <c r="AG27" i="59"/>
  <c r="AG31" i="59"/>
  <c r="AG85" i="59"/>
  <c r="AG25" i="59"/>
  <c r="AG52" i="59"/>
  <c r="AG61" i="59"/>
  <c r="AG56" i="59"/>
  <c r="AI23" i="95"/>
  <c r="M32" i="2"/>
  <c r="AG35" i="59"/>
  <c r="AG51" i="59"/>
  <c r="AG64" i="59"/>
  <c r="AG83" i="59"/>
  <c r="AG77" i="59"/>
  <c r="AG96" i="59"/>
  <c r="AG97" i="59"/>
  <c r="AG33" i="59"/>
  <c r="AG36" i="59"/>
  <c r="AG40" i="59"/>
  <c r="AG48" i="59"/>
  <c r="AG71" i="59"/>
  <c r="AG55" i="59"/>
  <c r="AG70" i="59"/>
  <c r="AG93" i="59"/>
  <c r="AG91" i="59"/>
  <c r="AG34" i="59"/>
  <c r="AG16" i="59"/>
  <c r="AG22" i="59"/>
  <c r="AG23" i="59"/>
  <c r="AG62" i="59"/>
  <c r="AG50" i="59"/>
  <c r="AG82" i="59"/>
  <c r="AG60" i="59"/>
  <c r="AG74" i="59"/>
  <c r="AG90" i="59"/>
  <c r="AH85" i="59"/>
  <c r="AH77" i="59"/>
  <c r="AH45" i="59"/>
  <c r="AH63" i="59"/>
  <c r="AH40" i="59"/>
  <c r="AH36" i="59"/>
  <c r="AH33" i="59"/>
  <c r="AH15" i="59"/>
  <c r="AH22" i="59"/>
  <c r="AH55" i="59"/>
  <c r="AH8" i="59"/>
  <c r="AH93" i="59" s="1"/>
  <c r="AH13" i="59"/>
  <c r="AH39" i="59"/>
  <c r="AH27" i="59"/>
  <c r="AH19" i="59"/>
  <c r="AI7" i="59"/>
  <c r="AG39" i="59"/>
  <c r="AG13" i="59"/>
  <c r="AG29" i="59"/>
  <c r="AG30" i="59"/>
  <c r="AG66" i="59"/>
  <c r="AG53" i="59"/>
  <c r="AG57" i="59"/>
  <c r="AG63" i="59"/>
  <c r="AG88" i="59"/>
  <c r="AG86" i="59"/>
  <c r="AG17" i="59"/>
  <c r="AG42" i="59"/>
  <c r="AG47" i="59"/>
  <c r="AG28" i="59"/>
  <c r="AG69" i="59"/>
  <c r="AG72" i="59"/>
  <c r="AG67" i="59"/>
  <c r="AG75" i="59"/>
  <c r="AG95" i="59"/>
  <c r="AG19" i="59"/>
  <c r="AG24" i="59"/>
  <c r="AG20" i="59"/>
  <c r="AG44" i="59"/>
  <c r="AG37" i="59"/>
  <c r="AG45" i="59"/>
  <c r="AG80" i="59"/>
  <c r="AG79" i="59"/>
  <c r="AG78" i="59"/>
  <c r="AG92" i="59"/>
  <c r="AG11" i="59"/>
  <c r="AG12" i="59"/>
  <c r="AG41" i="59"/>
  <c r="AG46" i="59"/>
  <c r="AG49" i="59"/>
  <c r="AG59" i="59"/>
  <c r="AG58" i="59"/>
  <c r="AG73" i="59"/>
  <c r="AG81" i="59"/>
  <c r="AG75" i="113"/>
  <c r="AG46" i="113"/>
  <c r="AG28" i="113"/>
  <c r="AG31" i="113"/>
  <c r="AG22" i="113"/>
  <c r="AG83" i="113"/>
  <c r="AG47" i="113"/>
  <c r="AG57" i="113"/>
  <c r="AG69" i="113"/>
  <c r="AG73" i="113"/>
  <c r="AG89" i="113"/>
  <c r="AG14" i="113"/>
  <c r="AG23" i="113"/>
  <c r="AG51" i="113"/>
  <c r="AG19" i="113"/>
  <c r="AG30" i="113"/>
  <c r="AG50" i="113"/>
  <c r="AG52" i="113"/>
  <c r="AG68" i="113"/>
  <c r="AG84" i="113"/>
  <c r="AG79" i="113"/>
  <c r="AG94" i="113"/>
  <c r="AH94" i="113"/>
  <c r="AH97" i="113"/>
  <c r="AH73" i="113"/>
  <c r="AH85" i="113"/>
  <c r="AH63" i="113"/>
  <c r="AH81" i="113"/>
  <c r="AH56" i="113"/>
  <c r="AH78" i="113"/>
  <c r="AH66" i="113"/>
  <c r="AH84" i="113"/>
  <c r="AH62" i="113"/>
  <c r="AH58" i="113"/>
  <c r="AH55" i="113"/>
  <c r="AH50" i="113"/>
  <c r="AH41" i="113"/>
  <c r="AH33" i="113"/>
  <c r="AH57" i="113"/>
  <c r="AH48" i="113"/>
  <c r="AH51" i="113"/>
  <c r="AH42" i="113"/>
  <c r="AH34" i="113"/>
  <c r="AH25" i="113"/>
  <c r="AH40" i="113"/>
  <c r="AH44" i="113"/>
  <c r="AH30" i="113"/>
  <c r="AH23" i="113"/>
  <c r="AH46" i="113"/>
  <c r="AH28" i="113"/>
  <c r="AH24" i="113"/>
  <c r="AH13" i="113"/>
  <c r="AH68" i="113"/>
  <c r="AH19" i="113"/>
  <c r="AH20" i="113"/>
  <c r="AH18" i="113"/>
  <c r="AH39" i="113"/>
  <c r="AH37" i="113"/>
  <c r="AH27" i="113"/>
  <c r="AH8" i="113"/>
  <c r="AH89" i="113" s="1"/>
  <c r="AH11" i="113"/>
  <c r="AI7" i="113"/>
  <c r="AH15" i="113"/>
  <c r="AH14" i="113"/>
  <c r="AH12" i="113"/>
  <c r="AG35" i="113"/>
  <c r="AG16" i="113"/>
  <c r="AG26" i="113"/>
  <c r="AG39" i="113"/>
  <c r="AG55" i="113"/>
  <c r="AG58" i="113"/>
  <c r="AG74" i="113"/>
  <c r="AG88" i="113"/>
  <c r="AG93" i="113"/>
  <c r="AG91" i="113"/>
  <c r="AG64" i="113"/>
  <c r="AG13" i="113"/>
  <c r="AG15" i="113"/>
  <c r="AG33" i="113"/>
  <c r="AG40" i="113"/>
  <c r="AG48" i="113"/>
  <c r="AG62" i="113"/>
  <c r="AG49" i="113"/>
  <c r="AG61" i="113"/>
  <c r="AG80" i="113"/>
  <c r="AG90" i="113"/>
  <c r="AG36" i="113"/>
  <c r="AG97" i="113"/>
  <c r="AG12" i="113"/>
  <c r="AG18" i="113"/>
  <c r="AG42" i="113"/>
  <c r="AG34" i="113"/>
  <c r="AG56" i="113"/>
  <c r="AG63" i="113"/>
  <c r="AG53" i="113"/>
  <c r="AG70" i="113"/>
  <c r="AG96" i="113"/>
  <c r="AG86" i="113"/>
  <c r="AG11" i="113"/>
  <c r="AG25" i="113"/>
  <c r="AG24" i="113"/>
  <c r="AG59" i="113"/>
  <c r="AG71" i="113"/>
  <c r="AG29" i="113"/>
  <c r="AG66" i="113"/>
  <c r="AG81" i="113"/>
  <c r="AG77" i="113"/>
  <c r="AG95" i="113"/>
  <c r="AG72" i="113"/>
  <c r="AG37" i="113"/>
  <c r="AG41" i="113"/>
  <c r="AG44" i="113"/>
  <c r="AG82" i="113"/>
  <c r="AG17" i="113"/>
  <c r="AG27" i="113"/>
  <c r="AG20" i="113"/>
  <c r="AG67" i="113"/>
  <c r="AG45" i="113"/>
  <c r="AG38" i="113"/>
  <c r="AG78" i="113"/>
  <c r="AG60" i="113"/>
  <c r="AG85" i="113"/>
  <c r="AH36" i="111"/>
  <c r="AH12" i="111"/>
  <c r="AH19" i="111"/>
  <c r="AH56" i="111"/>
  <c r="AH25" i="111"/>
  <c r="AH47" i="111"/>
  <c r="AH86" i="111"/>
  <c r="AH78" i="111"/>
  <c r="AH96" i="111"/>
  <c r="AH70" i="111"/>
  <c r="AH94" i="111"/>
  <c r="AH18" i="111"/>
  <c r="AH24" i="111"/>
  <c r="AH27" i="111"/>
  <c r="AH37" i="111"/>
  <c r="AH34" i="111"/>
  <c r="AH51" i="111"/>
  <c r="AH95" i="111"/>
  <c r="AH85" i="111"/>
  <c r="AH41" i="111"/>
  <c r="AH79" i="111"/>
  <c r="AI92" i="111"/>
  <c r="AI88" i="111"/>
  <c r="AI73" i="111"/>
  <c r="AI74" i="111"/>
  <c r="AI85" i="111"/>
  <c r="AI69" i="111"/>
  <c r="AI63" i="111"/>
  <c r="AI60" i="111"/>
  <c r="AI64" i="111"/>
  <c r="AI91" i="111"/>
  <c r="AI67" i="111"/>
  <c r="AI90" i="111"/>
  <c r="AI57" i="111"/>
  <c r="AI52" i="111"/>
  <c r="AI41" i="111"/>
  <c r="AI38" i="111"/>
  <c r="AI42" i="111"/>
  <c r="AI48" i="111"/>
  <c r="AI61" i="111"/>
  <c r="AI49" i="111"/>
  <c r="AI25" i="111"/>
  <c r="AI35" i="111"/>
  <c r="AI28" i="111"/>
  <c r="AI26" i="111"/>
  <c r="AI31" i="111"/>
  <c r="AI14" i="111"/>
  <c r="AJ7" i="111"/>
  <c r="AI51" i="111"/>
  <c r="AI19" i="111"/>
  <c r="AI44" i="111"/>
  <c r="AI24" i="111"/>
  <c r="AI12" i="111"/>
  <c r="AI8" i="111"/>
  <c r="AI95" i="111" s="1"/>
  <c r="AI29" i="111"/>
  <c r="AI17" i="111"/>
  <c r="AI36" i="111"/>
  <c r="AI30" i="111"/>
  <c r="AI13" i="111"/>
  <c r="AI18" i="111"/>
  <c r="AI15" i="111"/>
  <c r="AH80" i="111"/>
  <c r="AH73" i="111"/>
  <c r="AH68" i="111"/>
  <c r="AH50" i="111"/>
  <c r="AH84" i="111"/>
  <c r="AH88" i="111"/>
  <c r="AH48" i="111"/>
  <c r="AH40" i="111"/>
  <c r="AH35" i="111"/>
  <c r="AH30" i="111"/>
  <c r="AH71" i="111"/>
  <c r="AH55" i="111"/>
  <c r="AH74" i="111"/>
  <c r="AH59" i="111"/>
  <c r="AH93" i="111"/>
  <c r="AH16" i="111"/>
  <c r="AH13" i="111"/>
  <c r="AH42" i="111"/>
  <c r="AH82" i="111"/>
  <c r="AH58" i="111"/>
  <c r="AH62" i="111"/>
  <c r="AH69" i="111"/>
  <c r="AH90" i="111"/>
  <c r="AH17" i="111"/>
  <c r="AH29" i="111"/>
  <c r="AH20" i="111"/>
  <c r="AH81" i="111"/>
  <c r="AH44" i="111"/>
  <c r="AH45" i="111"/>
  <c r="AH63" i="111"/>
  <c r="AH66" i="111"/>
  <c r="AH72" i="111"/>
  <c r="AH92" i="111"/>
  <c r="AH26" i="111"/>
  <c r="AH33" i="111"/>
  <c r="AH49" i="111"/>
  <c r="AH23" i="111"/>
  <c r="AH52" i="111"/>
  <c r="AH60" i="111"/>
  <c r="AH64" i="111"/>
  <c r="AH67" i="111"/>
  <c r="AH75" i="111"/>
  <c r="AH85" i="109"/>
  <c r="AH77" i="109"/>
  <c r="AH59" i="109"/>
  <c r="AH52" i="109"/>
  <c r="AH96" i="109"/>
  <c r="AH49" i="109"/>
  <c r="AH46" i="109"/>
  <c r="AH53" i="109"/>
  <c r="AH41" i="109"/>
  <c r="AH39" i="109"/>
  <c r="AH30" i="109"/>
  <c r="AH44" i="109"/>
  <c r="AH58" i="109"/>
  <c r="AH37" i="109"/>
  <c r="AH26" i="109"/>
  <c r="AH19" i="109"/>
  <c r="AH63" i="109"/>
  <c r="AH8" i="109"/>
  <c r="AH94" i="109" s="1"/>
  <c r="AH16" i="109"/>
  <c r="AH28" i="109"/>
  <c r="AI7" i="109"/>
  <c r="AG30" i="109"/>
  <c r="AG19" i="109"/>
  <c r="AG22" i="109"/>
  <c r="AG25" i="109"/>
  <c r="AG18" i="109"/>
  <c r="AG46" i="109"/>
  <c r="AG53" i="109"/>
  <c r="AG63" i="109"/>
  <c r="AG69" i="109"/>
  <c r="AG86" i="109"/>
  <c r="AG91" i="109"/>
  <c r="AG33" i="109"/>
  <c r="AG31" i="109"/>
  <c r="AG39" i="109"/>
  <c r="AG27" i="109"/>
  <c r="AG49" i="109"/>
  <c r="AG64" i="109"/>
  <c r="AG70" i="109"/>
  <c r="AG72" i="109"/>
  <c r="AG93" i="109"/>
  <c r="AG12" i="109"/>
  <c r="AG51" i="109"/>
  <c r="AG48" i="109"/>
  <c r="AG36" i="109"/>
  <c r="AG78" i="109"/>
  <c r="AG75" i="109"/>
  <c r="AG90" i="109"/>
  <c r="AG83" i="109"/>
  <c r="AG96" i="109"/>
  <c r="AG15" i="109"/>
  <c r="AG14" i="109"/>
  <c r="AG61" i="109"/>
  <c r="AG34" i="109"/>
  <c r="AG50" i="109"/>
  <c r="AG17" i="109"/>
  <c r="AG57" i="109"/>
  <c r="AG73" i="109"/>
  <c r="AG68" i="109"/>
  <c r="AG95" i="109"/>
  <c r="AG23" i="109"/>
  <c r="AG13" i="109"/>
  <c r="AG58" i="109"/>
  <c r="AG28" i="109"/>
  <c r="AG52" i="109"/>
  <c r="AG26" i="109"/>
  <c r="AG60" i="109"/>
  <c r="AG74" i="109"/>
  <c r="AG77" i="109"/>
  <c r="AI96" i="107"/>
  <c r="AI60" i="107"/>
  <c r="AI75" i="107"/>
  <c r="AI52" i="107"/>
  <c r="AI63" i="107"/>
  <c r="AI37" i="107"/>
  <c r="AI58" i="107"/>
  <c r="AI50" i="107"/>
  <c r="AI8" i="107"/>
  <c r="AI97" i="107" s="1"/>
  <c r="AI31" i="107"/>
  <c r="AI12" i="107"/>
  <c r="AI15" i="107"/>
  <c r="AJ7" i="107"/>
  <c r="AH15" i="107"/>
  <c r="AH63" i="107"/>
  <c r="AH38" i="107"/>
  <c r="AH40" i="107"/>
  <c r="AH83" i="107"/>
  <c r="AH55" i="107"/>
  <c r="AH80" i="107"/>
  <c r="AH78" i="107"/>
  <c r="AH86" i="107"/>
  <c r="AH13" i="107"/>
  <c r="AH22" i="107"/>
  <c r="AH24" i="107"/>
  <c r="AH49" i="107"/>
  <c r="AH44" i="107"/>
  <c r="AH52" i="107"/>
  <c r="AH36" i="107"/>
  <c r="AH71" i="107"/>
  <c r="AH85" i="107"/>
  <c r="AH92" i="107"/>
  <c r="AH20" i="107"/>
  <c r="AH60" i="107"/>
  <c r="AH50" i="107"/>
  <c r="AH75" i="107"/>
  <c r="AH45" i="107"/>
  <c r="AH81" i="107"/>
  <c r="AH84" i="107"/>
  <c r="AH89" i="107"/>
  <c r="AH31" i="107"/>
  <c r="AH17" i="107"/>
  <c r="AH62" i="107"/>
  <c r="AH57" i="107"/>
  <c r="AH82" i="107"/>
  <c r="AH58" i="107"/>
  <c r="AH72" i="107"/>
  <c r="AH88" i="107"/>
  <c r="AH97" i="107"/>
  <c r="AH11" i="107"/>
  <c r="AH28" i="107"/>
  <c r="AH53" i="107"/>
  <c r="AH26" i="107"/>
  <c r="AH33" i="107"/>
  <c r="AH61" i="107"/>
  <c r="AH30" i="107"/>
  <c r="AH59" i="107"/>
  <c r="AH79" i="107"/>
  <c r="AH96" i="107"/>
  <c r="AH94" i="107"/>
  <c r="AH64" i="107"/>
  <c r="AH39" i="107"/>
  <c r="AH56" i="107"/>
  <c r="AH66" i="107"/>
  <c r="AH93" i="107"/>
  <c r="AH48" i="107"/>
  <c r="AH74" i="107"/>
  <c r="AH70" i="105"/>
  <c r="AH63" i="105"/>
  <c r="AH59" i="105"/>
  <c r="AH82" i="105"/>
  <c r="AH86" i="105"/>
  <c r="AI92" i="105"/>
  <c r="AI75" i="105"/>
  <c r="AI81" i="105"/>
  <c r="AI78" i="105"/>
  <c r="AI47" i="105"/>
  <c r="AI51" i="105"/>
  <c r="AI59" i="105"/>
  <c r="AI8" i="105"/>
  <c r="AI95" i="105" s="1"/>
  <c r="AI68" i="105"/>
  <c r="AI19" i="105"/>
  <c r="AI46" i="105"/>
  <c r="AI27" i="105"/>
  <c r="AI25" i="105"/>
  <c r="AJ7" i="105"/>
  <c r="AI14" i="105"/>
  <c r="AH45" i="105"/>
  <c r="AH36" i="105"/>
  <c r="AH35" i="105"/>
  <c r="AH79" i="105"/>
  <c r="AH60" i="105"/>
  <c r="AH68" i="105"/>
  <c r="AH96" i="105"/>
  <c r="AH95" i="105"/>
  <c r="AH39" i="105"/>
  <c r="AH44" i="105"/>
  <c r="AH53" i="105"/>
  <c r="AH69" i="105"/>
  <c r="AH73" i="105"/>
  <c r="AH75" i="105"/>
  <c r="AH92" i="105"/>
  <c r="AH31" i="105"/>
  <c r="AH23" i="105"/>
  <c r="AH18" i="105"/>
  <c r="AH46" i="105"/>
  <c r="AH57" i="105"/>
  <c r="AH58" i="105"/>
  <c r="AH66" i="105"/>
  <c r="AH91" i="105"/>
  <c r="AH84" i="105"/>
  <c r="AH89" i="105"/>
  <c r="AH20" i="105"/>
  <c r="AH33" i="105"/>
  <c r="AH50" i="105"/>
  <c r="AH26" i="105"/>
  <c r="AH28" i="105"/>
  <c r="AH49" i="105"/>
  <c r="AH67" i="105"/>
  <c r="AH74" i="105"/>
  <c r="AH80" i="105"/>
  <c r="AH72" i="105"/>
  <c r="AH97" i="105"/>
  <c r="AH12" i="105"/>
  <c r="AH42" i="105"/>
  <c r="AH16" i="105"/>
  <c r="AH15" i="105"/>
  <c r="AH34" i="105"/>
  <c r="AH56" i="105"/>
  <c r="AH64" i="105"/>
  <c r="AH83" i="105"/>
  <c r="AH77" i="105"/>
  <c r="AH81" i="105"/>
  <c r="AH37" i="103"/>
  <c r="AH25" i="103"/>
  <c r="AH41" i="103"/>
  <c r="AH34" i="103"/>
  <c r="AH35" i="103"/>
  <c r="AH47" i="103"/>
  <c r="AH59" i="103"/>
  <c r="AH66" i="103"/>
  <c r="AH80" i="103"/>
  <c r="AH90" i="103"/>
  <c r="AI86" i="103"/>
  <c r="AI93" i="103"/>
  <c r="AI80" i="103"/>
  <c r="AI94" i="103"/>
  <c r="AI66" i="103"/>
  <c r="AI69" i="103"/>
  <c r="AI81" i="103"/>
  <c r="AI64" i="103"/>
  <c r="AI67" i="103"/>
  <c r="AI47" i="103"/>
  <c r="AI73" i="103"/>
  <c r="AI50" i="103"/>
  <c r="AI41" i="103"/>
  <c r="AI51" i="103"/>
  <c r="AI45" i="103"/>
  <c r="AI39" i="103"/>
  <c r="AI79" i="103"/>
  <c r="AI38" i="103"/>
  <c r="AI49" i="103"/>
  <c r="AI34" i="103"/>
  <c r="AI30" i="103"/>
  <c r="AI23" i="103"/>
  <c r="AI42" i="103"/>
  <c r="AI37" i="103"/>
  <c r="AI29" i="103"/>
  <c r="AJ7" i="103"/>
  <c r="AI12" i="103"/>
  <c r="AI24" i="103"/>
  <c r="AI26" i="103"/>
  <c r="AI22" i="103"/>
  <c r="AI8" i="103"/>
  <c r="AI96" i="103" s="1"/>
  <c r="AI27" i="103"/>
  <c r="AI19" i="103"/>
  <c r="AI13" i="103"/>
  <c r="AI28" i="103"/>
  <c r="AI16" i="103"/>
  <c r="AH26" i="103"/>
  <c r="AH46" i="103"/>
  <c r="AH42" i="103"/>
  <c r="AH55" i="103"/>
  <c r="AH62" i="103"/>
  <c r="AH74" i="103"/>
  <c r="AH91" i="103"/>
  <c r="AH86" i="103"/>
  <c r="AH23" i="103"/>
  <c r="AH14" i="103"/>
  <c r="AH60" i="103"/>
  <c r="AH27" i="103"/>
  <c r="AH45" i="103"/>
  <c r="AH52" i="103"/>
  <c r="AH63" i="103"/>
  <c r="AH84" i="103"/>
  <c r="AH85" i="103"/>
  <c r="AH95" i="103"/>
  <c r="AH33" i="103"/>
  <c r="AH20" i="103"/>
  <c r="AH19" i="103"/>
  <c r="AH48" i="103"/>
  <c r="AH53" i="103"/>
  <c r="AH56" i="103"/>
  <c r="AH68" i="103"/>
  <c r="AH71" i="103"/>
  <c r="AH82" i="103"/>
  <c r="AH92" i="103"/>
  <c r="AH15" i="103"/>
  <c r="AH11" i="103"/>
  <c r="AH28" i="103"/>
  <c r="AH57" i="103"/>
  <c r="AH61" i="103"/>
  <c r="AH40" i="103"/>
  <c r="AH70" i="103"/>
  <c r="AH78" i="103"/>
  <c r="AH79" i="103"/>
  <c r="AH89" i="103"/>
  <c r="AH16" i="103"/>
  <c r="AH12" i="103"/>
  <c r="AH17" i="103"/>
  <c r="AH36" i="103"/>
  <c r="AH44" i="103"/>
  <c r="AH50" i="103"/>
  <c r="AH49" i="103"/>
  <c r="AH69" i="103"/>
  <c r="AH64" i="103"/>
  <c r="AH88" i="103"/>
  <c r="AH97" i="103"/>
  <c r="AH13" i="103"/>
  <c r="AH18" i="103"/>
  <c r="AH29" i="103"/>
  <c r="AH22" i="103"/>
  <c r="AH58" i="103"/>
  <c r="AH67" i="103"/>
  <c r="AH75" i="103"/>
  <c r="AH72" i="103"/>
  <c r="AH73" i="103"/>
  <c r="AH96" i="103"/>
  <c r="AG18" i="101"/>
  <c r="AH86" i="101"/>
  <c r="AH83" i="101"/>
  <c r="AH77" i="101"/>
  <c r="AH58" i="101"/>
  <c r="AH61" i="101"/>
  <c r="AH63" i="101"/>
  <c r="AH38" i="101"/>
  <c r="AH36" i="101"/>
  <c r="AH72" i="101"/>
  <c r="AH46" i="101"/>
  <c r="AH51" i="101"/>
  <c r="AH37" i="101"/>
  <c r="AH52" i="101"/>
  <c r="AH30" i="101"/>
  <c r="AH33" i="101"/>
  <c r="AH19" i="101"/>
  <c r="AH12" i="101"/>
  <c r="AH8" i="101"/>
  <c r="AH93" i="101" s="1"/>
  <c r="AH13" i="101"/>
  <c r="AH20" i="101"/>
  <c r="AI7" i="101"/>
  <c r="AG39" i="101"/>
  <c r="AG69" i="101"/>
  <c r="AG53" i="101"/>
  <c r="AG51" i="101"/>
  <c r="AG68" i="101"/>
  <c r="AG55" i="101"/>
  <c r="AG81" i="101"/>
  <c r="AG90" i="101"/>
  <c r="AG12" i="101"/>
  <c r="AG22" i="101"/>
  <c r="AG30" i="101"/>
  <c r="AG33" i="101"/>
  <c r="AG28" i="101"/>
  <c r="AG56" i="101"/>
  <c r="AG64" i="101"/>
  <c r="AG78" i="101"/>
  <c r="AG77" i="101"/>
  <c r="AG95" i="101"/>
  <c r="AG25" i="101"/>
  <c r="AG49" i="101"/>
  <c r="AG38" i="101"/>
  <c r="AG59" i="101"/>
  <c r="AG41" i="101"/>
  <c r="AG71" i="101"/>
  <c r="AG74" i="101"/>
  <c r="AG85" i="101"/>
  <c r="AG92" i="101"/>
  <c r="AG17" i="101"/>
  <c r="AG24" i="101"/>
  <c r="AG26" i="101"/>
  <c r="AG48" i="101"/>
  <c r="AG34" i="101"/>
  <c r="AG50" i="101"/>
  <c r="AG52" i="101"/>
  <c r="AG83" i="101"/>
  <c r="AG82" i="101"/>
  <c r="AG89" i="101"/>
  <c r="AG19" i="101"/>
  <c r="AG27" i="101"/>
  <c r="AG35" i="101"/>
  <c r="AG62" i="101"/>
  <c r="AG36" i="101"/>
  <c r="AG47" i="101"/>
  <c r="AG61" i="101"/>
  <c r="AG73" i="101"/>
  <c r="AG79" i="101"/>
  <c r="AG97" i="101"/>
  <c r="AG11" i="101"/>
  <c r="AG23" i="101"/>
  <c r="AG60" i="101"/>
  <c r="AG29" i="101"/>
  <c r="AG40" i="101"/>
  <c r="AG45" i="101"/>
  <c r="AG44" i="101"/>
  <c r="AG70" i="101"/>
  <c r="AG75" i="101"/>
  <c r="AG88" i="101"/>
  <c r="AG94" i="101"/>
  <c r="AG16" i="101"/>
  <c r="AG13" i="101"/>
  <c r="AG37" i="101"/>
  <c r="AG57" i="101"/>
  <c r="AG46" i="101"/>
  <c r="AG42" i="101"/>
  <c r="AG66" i="101"/>
  <c r="AG67" i="101"/>
  <c r="AG80" i="101"/>
  <c r="AG96" i="101"/>
  <c r="AG28" i="99"/>
  <c r="AG17" i="99"/>
  <c r="AG19" i="99"/>
  <c r="AG20" i="99"/>
  <c r="AG39" i="99"/>
  <c r="AG53" i="99"/>
  <c r="AG68" i="99"/>
  <c r="AG70" i="99"/>
  <c r="AG69" i="99"/>
  <c r="AG95" i="99"/>
  <c r="AG23" i="99"/>
  <c r="AG34" i="99"/>
  <c r="AG29" i="99"/>
  <c r="AG36" i="99"/>
  <c r="AG62" i="99"/>
  <c r="AG55" i="99"/>
  <c r="AG79" i="99"/>
  <c r="AG78" i="99"/>
  <c r="AG92" i="99"/>
  <c r="AG18" i="99"/>
  <c r="AG25" i="99"/>
  <c r="AG33" i="99"/>
  <c r="AG47" i="99"/>
  <c r="AG45" i="99"/>
  <c r="AG71" i="99"/>
  <c r="AG67" i="99"/>
  <c r="AG75" i="99"/>
  <c r="AG66" i="99"/>
  <c r="AG89" i="99"/>
  <c r="AG35" i="99"/>
  <c r="AG31" i="99"/>
  <c r="AG44" i="99"/>
  <c r="AG26" i="99"/>
  <c r="AG49" i="99"/>
  <c r="AG59" i="99"/>
  <c r="AG77" i="99"/>
  <c r="AG84" i="99"/>
  <c r="AG74" i="99"/>
  <c r="AG97" i="99"/>
  <c r="AG16" i="99"/>
  <c r="AG46" i="99"/>
  <c r="AG12" i="99"/>
  <c r="AG30" i="99"/>
  <c r="AG50" i="99"/>
  <c r="AG85" i="99"/>
  <c r="AG80" i="99"/>
  <c r="AG64" i="99"/>
  <c r="AG63" i="99"/>
  <c r="AG83" i="99"/>
  <c r="AG94" i="99"/>
  <c r="AG48" i="99"/>
  <c r="AH89" i="99"/>
  <c r="AH92" i="99"/>
  <c r="AH86" i="99"/>
  <c r="AH90" i="99"/>
  <c r="AH93" i="99"/>
  <c r="AH78" i="99"/>
  <c r="AH69" i="99"/>
  <c r="AH81" i="99"/>
  <c r="AH72" i="99"/>
  <c r="AH84" i="99"/>
  <c r="AH75" i="99"/>
  <c r="AH79" i="99"/>
  <c r="AH82" i="99"/>
  <c r="AH73" i="99"/>
  <c r="AH64" i="99"/>
  <c r="AH85" i="99"/>
  <c r="AH77" i="99"/>
  <c r="AH49" i="99"/>
  <c r="AH61" i="99"/>
  <c r="AH80" i="99"/>
  <c r="AH56" i="99"/>
  <c r="AH71" i="99"/>
  <c r="AH62" i="99"/>
  <c r="AH57" i="99"/>
  <c r="AH52" i="99"/>
  <c r="AH41" i="99"/>
  <c r="AH45" i="99"/>
  <c r="AH66" i="99"/>
  <c r="AH39" i="99"/>
  <c r="AH70" i="99"/>
  <c r="AH59" i="99"/>
  <c r="AH50" i="99"/>
  <c r="AH47" i="99"/>
  <c r="AH42" i="99"/>
  <c r="AH83" i="99"/>
  <c r="AH55" i="99"/>
  <c r="AH51" i="99"/>
  <c r="AH44" i="99"/>
  <c r="AH74" i="99"/>
  <c r="AH29" i="99"/>
  <c r="AH20" i="99"/>
  <c r="AH60" i="99"/>
  <c r="AH40" i="99"/>
  <c r="AH36" i="99"/>
  <c r="AH37" i="99"/>
  <c r="AH30" i="99"/>
  <c r="AH33" i="99"/>
  <c r="AH25" i="99"/>
  <c r="AH38" i="99"/>
  <c r="AH35" i="99"/>
  <c r="AH14" i="99"/>
  <c r="AI7" i="99"/>
  <c r="AH31" i="99"/>
  <c r="AH23" i="99"/>
  <c r="AH17" i="99"/>
  <c r="AH15" i="99"/>
  <c r="AH12" i="99"/>
  <c r="AH46" i="99"/>
  <c r="AH27" i="99"/>
  <c r="AH28" i="99"/>
  <c r="AH34" i="99"/>
  <c r="AH19" i="99"/>
  <c r="AH11" i="99"/>
  <c r="AH22" i="99"/>
  <c r="AH26" i="99"/>
  <c r="AH16" i="99"/>
  <c r="AH8" i="99"/>
  <c r="AH94" i="99" s="1"/>
  <c r="AH18" i="99"/>
  <c r="AG37" i="99"/>
  <c r="AG51" i="99"/>
  <c r="AG41" i="99"/>
  <c r="AG52" i="99"/>
  <c r="AG73" i="99"/>
  <c r="AG72" i="99"/>
  <c r="AG93" i="99"/>
  <c r="AG91" i="99"/>
  <c r="AG13" i="99"/>
  <c r="AG56" i="99"/>
  <c r="AG14" i="99"/>
  <c r="AG27" i="99"/>
  <c r="AG40" i="99"/>
  <c r="AG57" i="99"/>
  <c r="AG61" i="99"/>
  <c r="AG82" i="99"/>
  <c r="AG81" i="99"/>
  <c r="AG18" i="97"/>
  <c r="AG46" i="97"/>
  <c r="AG31" i="97"/>
  <c r="AG17" i="97"/>
  <c r="AG70" i="97"/>
  <c r="AG56" i="97"/>
  <c r="AG96" i="97"/>
  <c r="AG75" i="97"/>
  <c r="AG74" i="97"/>
  <c r="AG97" i="97"/>
  <c r="AG11" i="97"/>
  <c r="AG13" i="97"/>
  <c r="AG50" i="97"/>
  <c r="AG15" i="97"/>
  <c r="AG26" i="97"/>
  <c r="AG28" i="97"/>
  <c r="AG47" i="97"/>
  <c r="AG73" i="97"/>
  <c r="AG84" i="97"/>
  <c r="AG83" i="97"/>
  <c r="AG94" i="97"/>
  <c r="AG36" i="97"/>
  <c r="AG12" i="97"/>
  <c r="AG79" i="97"/>
  <c r="AG24" i="97"/>
  <c r="AG53" i="97"/>
  <c r="AG37" i="97"/>
  <c r="AG59" i="97"/>
  <c r="AG60" i="97"/>
  <c r="AG63" i="97"/>
  <c r="AG93" i="97"/>
  <c r="AG91" i="97"/>
  <c r="AG69" i="97"/>
  <c r="AG29" i="97"/>
  <c r="AG45" i="97"/>
  <c r="AG44" i="97"/>
  <c r="AG68" i="97"/>
  <c r="AG72" i="97"/>
  <c r="AG90" i="97"/>
  <c r="AG14" i="97"/>
  <c r="AG27" i="97"/>
  <c r="AG23" i="97"/>
  <c r="AG33" i="97"/>
  <c r="AG51" i="97"/>
  <c r="AG48" i="97"/>
  <c r="AG52" i="97"/>
  <c r="AG82" i="97"/>
  <c r="AG81" i="97"/>
  <c r="AG86" i="97"/>
  <c r="AG58" i="97"/>
  <c r="AG30" i="97"/>
  <c r="AG39" i="97"/>
  <c r="AG61" i="97"/>
  <c r="AG62" i="97"/>
  <c r="AG55" i="97"/>
  <c r="AG57" i="97"/>
  <c r="AG88" i="97"/>
  <c r="AG95" i="97"/>
  <c r="AG19" i="97"/>
  <c r="AH92" i="97"/>
  <c r="AH69" i="97"/>
  <c r="AH82" i="97"/>
  <c r="AH59" i="97"/>
  <c r="AH50" i="97"/>
  <c r="AH52" i="97"/>
  <c r="AH64" i="97"/>
  <c r="AH24" i="97"/>
  <c r="AH8" i="97"/>
  <c r="AH86" i="97" s="1"/>
  <c r="AH30" i="97"/>
  <c r="AH36" i="97"/>
  <c r="AH22" i="97"/>
  <c r="AH15" i="97"/>
  <c r="AH45" i="97"/>
  <c r="AI7" i="97"/>
  <c r="AG40" i="97"/>
  <c r="AG34" i="97"/>
  <c r="AG49" i="97"/>
  <c r="AG80" i="97"/>
  <c r="AG64" i="97"/>
  <c r="AG77" i="97"/>
  <c r="AG78" i="97"/>
  <c r="AI35" i="95"/>
  <c r="AI64" i="95"/>
  <c r="AI22" i="95"/>
  <c r="AI84" i="95"/>
  <c r="AI30" i="95"/>
  <c r="AI45" i="95"/>
  <c r="AI82" i="95"/>
  <c r="AI14" i="95"/>
  <c r="AI56" i="95"/>
  <c r="AI83" i="95"/>
  <c r="AI63" i="95"/>
  <c r="AI28" i="95"/>
  <c r="AI46" i="95"/>
  <c r="AI70" i="95"/>
  <c r="AI29" i="95"/>
  <c r="AI61" i="95"/>
  <c r="AI20" i="95"/>
  <c r="AI73" i="95"/>
  <c r="AI93" i="95"/>
  <c r="AI37" i="95"/>
  <c r="AI79" i="95"/>
  <c r="AI36" i="95"/>
  <c r="AI58" i="95"/>
  <c r="AI18" i="95"/>
  <c r="AI74" i="95"/>
  <c r="AI42" i="95"/>
  <c r="AI95" i="95"/>
  <c r="AI40" i="95"/>
  <c r="AI77" i="95"/>
  <c r="AI97" i="95"/>
  <c r="AI57" i="95"/>
  <c r="AI26" i="95"/>
  <c r="AI41" i="95"/>
  <c r="AI92" i="95"/>
  <c r="AI15" i="95"/>
  <c r="AI47" i="95"/>
  <c r="AI34" i="95"/>
  <c r="AI16" i="95"/>
  <c r="AI33" i="95"/>
  <c r="AI62" i="95"/>
  <c r="AI31" i="95"/>
  <c r="AI48" i="95"/>
  <c r="AI59" i="95"/>
  <c r="AI85" i="95"/>
  <c r="AI78" i="95"/>
  <c r="AI71" i="95"/>
  <c r="AI86" i="95"/>
  <c r="AI96" i="95"/>
  <c r="AK7" i="95"/>
  <c r="AJ8" i="95"/>
  <c r="AJ80" i="95" s="1"/>
  <c r="AI11" i="95"/>
  <c r="AI25" i="95"/>
  <c r="AI13" i="95"/>
  <c r="AI75" i="95"/>
  <c r="AI39" i="95"/>
  <c r="AI53" i="95"/>
  <c r="AI50" i="95"/>
  <c r="AI49" i="95"/>
  <c r="AI68" i="95"/>
  <c r="AI60" i="95"/>
  <c r="AI91" i="95"/>
  <c r="AI81" i="95"/>
  <c r="AI17" i="95"/>
  <c r="AI12" i="95"/>
  <c r="AI27" i="95"/>
  <c r="AI38" i="95"/>
  <c r="AI19" i="95"/>
  <c r="AI51" i="95"/>
  <c r="AI55" i="95"/>
  <c r="AI44" i="95"/>
  <c r="AI52" i="95"/>
  <c r="AI66" i="95"/>
  <c r="AI89" i="95"/>
  <c r="AI67" i="95"/>
  <c r="AI72" i="95"/>
  <c r="AI88" i="95"/>
  <c r="AI94" i="95"/>
  <c r="AI69" i="95"/>
  <c r="AI80" i="95"/>
  <c r="I22" i="58"/>
  <c r="G19" i="58"/>
  <c r="V9" i="59"/>
  <c r="C19" i="58"/>
  <c r="H22" i="58"/>
  <c r="B26" i="58"/>
  <c r="B22" i="58"/>
  <c r="F22" i="58"/>
  <c r="D22" i="58"/>
  <c r="C24" i="58"/>
  <c r="E19" i="58"/>
  <c r="E26" i="58"/>
  <c r="G26" i="58"/>
  <c r="C25" i="58"/>
  <c r="G24" i="58"/>
  <c r="G25" i="58"/>
  <c r="B24" i="58"/>
  <c r="E25" i="58"/>
  <c r="C26" i="58"/>
  <c r="E24" i="58"/>
  <c r="B25" i="58"/>
  <c r="F19" i="58"/>
  <c r="E22" i="58"/>
  <c r="N54" i="59"/>
  <c r="G22" i="58"/>
  <c r="N76" i="59"/>
  <c r="N32" i="59"/>
  <c r="J23" i="58"/>
  <c r="N87" i="59"/>
  <c r="N65" i="59"/>
  <c r="F26" i="58"/>
  <c r="F25" i="58"/>
  <c r="F24" i="58"/>
  <c r="H19" i="58"/>
  <c r="D19" i="58"/>
  <c r="N10" i="59"/>
  <c r="N43" i="59"/>
  <c r="H26" i="58"/>
  <c r="H25" i="58"/>
  <c r="H24" i="58"/>
  <c r="D26" i="58"/>
  <c r="D25" i="58"/>
  <c r="D24" i="58"/>
  <c r="I25" i="58"/>
  <c r="I24" i="58"/>
  <c r="I26" i="58"/>
  <c r="N21" i="59"/>
  <c r="C22" i="58"/>
  <c r="B9" i="58"/>
  <c r="J17" i="58"/>
  <c r="I19" i="58"/>
  <c r="J18" i="58"/>
  <c r="J21" i="58" s="1"/>
  <c r="B10" i="58"/>
  <c r="B19" i="58"/>
  <c r="AH52" i="59" l="1"/>
  <c r="AH79" i="59"/>
  <c r="AH37" i="59"/>
  <c r="AH18" i="59"/>
  <c r="AH24" i="59"/>
  <c r="AH41" i="59"/>
  <c r="AH59" i="59"/>
  <c r="AH60" i="59"/>
  <c r="AH78" i="59"/>
  <c r="AH11" i="59"/>
  <c r="AH47" i="59"/>
  <c r="AH42" i="59"/>
  <c r="AH20" i="59"/>
  <c r="AH29" i="59"/>
  <c r="AH48" i="59"/>
  <c r="AH57" i="59"/>
  <c r="AH95" i="59"/>
  <c r="AH25" i="59"/>
  <c r="AH56" i="59"/>
  <c r="AH49" i="59"/>
  <c r="AH50" i="59"/>
  <c r="AH80" i="59"/>
  <c r="AH97" i="59"/>
  <c r="AH30" i="59"/>
  <c r="AH16" i="59"/>
  <c r="AH51" i="59"/>
  <c r="AH26" i="59"/>
  <c r="AH31" i="59"/>
  <c r="AH53" i="59"/>
  <c r="AH58" i="59"/>
  <c r="AI93" i="59"/>
  <c r="AI96" i="59"/>
  <c r="AI61" i="59"/>
  <c r="AI77" i="59"/>
  <c r="AI58" i="59"/>
  <c r="AI48" i="59"/>
  <c r="AI69" i="59"/>
  <c r="AI44" i="59"/>
  <c r="AI28" i="59"/>
  <c r="AI20" i="59"/>
  <c r="AI27" i="59"/>
  <c r="AI19" i="59"/>
  <c r="AI8" i="59"/>
  <c r="AI97" i="59" s="1"/>
  <c r="AI14" i="59"/>
  <c r="AI47" i="59"/>
  <c r="AI34" i="59"/>
  <c r="AI36" i="59"/>
  <c r="AI12" i="59"/>
  <c r="AI26" i="59"/>
  <c r="AJ7" i="59"/>
  <c r="AH69" i="59"/>
  <c r="AH91" i="59"/>
  <c r="AH75" i="59"/>
  <c r="AH90" i="59"/>
  <c r="AH74" i="59"/>
  <c r="AH83" i="59"/>
  <c r="AH81" i="59"/>
  <c r="AH92" i="59"/>
  <c r="AH82" i="59"/>
  <c r="AH84" i="59"/>
  <c r="AH89" i="59"/>
  <c r="AH14" i="59"/>
  <c r="AH23" i="59"/>
  <c r="AH12" i="59"/>
  <c r="AH28" i="59"/>
  <c r="AH38" i="59"/>
  <c r="AH46" i="59"/>
  <c r="AH67" i="59"/>
  <c r="AH72" i="59"/>
  <c r="AH86" i="59"/>
  <c r="AH88" i="59"/>
  <c r="AH94" i="59"/>
  <c r="AH44" i="59"/>
  <c r="AH61" i="59"/>
  <c r="AH62" i="59"/>
  <c r="AH68" i="59"/>
  <c r="AH64" i="59"/>
  <c r="AH96" i="59"/>
  <c r="AH34" i="59"/>
  <c r="AH17" i="59"/>
  <c r="AH35" i="59"/>
  <c r="AH70" i="59"/>
  <c r="AH66" i="59"/>
  <c r="AH71" i="59"/>
  <c r="AH73" i="59"/>
  <c r="AH70" i="113"/>
  <c r="AH60" i="113"/>
  <c r="AH72" i="113"/>
  <c r="AH82" i="113"/>
  <c r="AI95" i="113"/>
  <c r="AI90" i="113"/>
  <c r="AI96" i="113"/>
  <c r="AI94" i="113"/>
  <c r="AI83" i="113"/>
  <c r="AI78" i="113"/>
  <c r="AI67" i="113"/>
  <c r="AI81" i="113"/>
  <c r="AI68" i="113"/>
  <c r="AI57" i="113"/>
  <c r="AI61" i="113"/>
  <c r="AI70" i="113"/>
  <c r="AI55" i="113"/>
  <c r="AI41" i="113"/>
  <c r="AI45" i="113"/>
  <c r="AI48" i="113"/>
  <c r="AI56" i="113"/>
  <c r="AI46" i="113"/>
  <c r="AI34" i="113"/>
  <c r="AI26" i="113"/>
  <c r="AI19" i="113"/>
  <c r="AI30" i="113"/>
  <c r="AI42" i="113"/>
  <c r="AI31" i="113"/>
  <c r="AI47" i="113"/>
  <c r="AI24" i="113"/>
  <c r="AI18" i="113"/>
  <c r="AI14" i="113"/>
  <c r="AI22" i="113"/>
  <c r="AI25" i="113"/>
  <c r="AJ7" i="113"/>
  <c r="AI13" i="113"/>
  <c r="AI52" i="113"/>
  <c r="AI15" i="113"/>
  <c r="AI8" i="113"/>
  <c r="AI86" i="113" s="1"/>
  <c r="AH86" i="113"/>
  <c r="AH79" i="113"/>
  <c r="AH93" i="113"/>
  <c r="AH88" i="113"/>
  <c r="AH83" i="113"/>
  <c r="AH90" i="113"/>
  <c r="AH17" i="113"/>
  <c r="AH26" i="113"/>
  <c r="AH36" i="113"/>
  <c r="AH29" i="113"/>
  <c r="AH71" i="113"/>
  <c r="AH38" i="113"/>
  <c r="AH53" i="113"/>
  <c r="AH91" i="113"/>
  <c r="AH80" i="113"/>
  <c r="AH95" i="113"/>
  <c r="AH31" i="113"/>
  <c r="AH49" i="113"/>
  <c r="AH59" i="113"/>
  <c r="AH75" i="113"/>
  <c r="AH47" i="113"/>
  <c r="AH61" i="113"/>
  <c r="AH64" i="113"/>
  <c r="AH96" i="113"/>
  <c r="AH92" i="113"/>
  <c r="AH22" i="113"/>
  <c r="AH16" i="113"/>
  <c r="AH35" i="113"/>
  <c r="AH67" i="113"/>
  <c r="AH45" i="113"/>
  <c r="AH52" i="113"/>
  <c r="AH69" i="113"/>
  <c r="AH74" i="113"/>
  <c r="AH77" i="113"/>
  <c r="AI23" i="111"/>
  <c r="AI47" i="111"/>
  <c r="AI34" i="111"/>
  <c r="AI46" i="111"/>
  <c r="AI81" i="111"/>
  <c r="AI70" i="111"/>
  <c r="AI59" i="111"/>
  <c r="AI82" i="111"/>
  <c r="AI89" i="111"/>
  <c r="AI27" i="111"/>
  <c r="AI83" i="111"/>
  <c r="AI72" i="111"/>
  <c r="AI94" i="111"/>
  <c r="AI84" i="111"/>
  <c r="AI78" i="111"/>
  <c r="AI68" i="111"/>
  <c r="AI79" i="111"/>
  <c r="AI97" i="111"/>
  <c r="AJ86" i="111"/>
  <c r="AJ88" i="111"/>
  <c r="AJ91" i="111"/>
  <c r="AJ93" i="111"/>
  <c r="AJ85" i="111"/>
  <c r="AJ66" i="111"/>
  <c r="AJ57" i="111"/>
  <c r="AJ48" i="111"/>
  <c r="AJ69" i="111"/>
  <c r="AJ84" i="111"/>
  <c r="AJ83" i="111"/>
  <c r="AJ81" i="111"/>
  <c r="AJ70" i="111"/>
  <c r="AJ73" i="111"/>
  <c r="AJ71" i="111"/>
  <c r="AJ56" i="111"/>
  <c r="AJ53" i="111"/>
  <c r="AJ89" i="111"/>
  <c r="AJ72" i="111"/>
  <c r="AJ35" i="111"/>
  <c r="AJ55" i="111"/>
  <c r="AJ58" i="111"/>
  <c r="AJ40" i="111"/>
  <c r="AJ37" i="111"/>
  <c r="AJ51" i="111"/>
  <c r="AJ23" i="111"/>
  <c r="AJ41" i="111"/>
  <c r="AJ36" i="111"/>
  <c r="AJ19" i="111"/>
  <c r="AK7" i="111"/>
  <c r="AJ33" i="111"/>
  <c r="AJ14" i="111"/>
  <c r="AJ24" i="111"/>
  <c r="AJ45" i="111"/>
  <c r="AJ44" i="111"/>
  <c r="AJ20" i="111"/>
  <c r="AJ26" i="111"/>
  <c r="AJ30" i="111"/>
  <c r="AJ8" i="111"/>
  <c r="AJ92" i="111" s="1"/>
  <c r="AJ34" i="111"/>
  <c r="AJ15" i="111"/>
  <c r="AJ42" i="111"/>
  <c r="AI45" i="111"/>
  <c r="AI96" i="111"/>
  <c r="AI53" i="111"/>
  <c r="AI93" i="111"/>
  <c r="AI50" i="111"/>
  <c r="AI33" i="111"/>
  <c r="AI16" i="111"/>
  <c r="AI37" i="111"/>
  <c r="AI66" i="111"/>
  <c r="AI56" i="111"/>
  <c r="AI55" i="111"/>
  <c r="AI75" i="111"/>
  <c r="AI62" i="111"/>
  <c r="AI86" i="111"/>
  <c r="AI22" i="111"/>
  <c r="AI11" i="111"/>
  <c r="AI20" i="111"/>
  <c r="AI40" i="111"/>
  <c r="AI39" i="111"/>
  <c r="AI71" i="111"/>
  <c r="AI58" i="111"/>
  <c r="AI77" i="111"/>
  <c r="AI80" i="111"/>
  <c r="AH91" i="109"/>
  <c r="AH18" i="109"/>
  <c r="AH73" i="109"/>
  <c r="AH40" i="109"/>
  <c r="AH56" i="109"/>
  <c r="AH47" i="109"/>
  <c r="AH55" i="109"/>
  <c r="AH57" i="109"/>
  <c r="AH68" i="109"/>
  <c r="AH74" i="109"/>
  <c r="AH90" i="109"/>
  <c r="AH17" i="109"/>
  <c r="AH72" i="109"/>
  <c r="AH70" i="109"/>
  <c r="AH61" i="109"/>
  <c r="AH84" i="109"/>
  <c r="AH60" i="109"/>
  <c r="AH67" i="109"/>
  <c r="AH82" i="109"/>
  <c r="AH95" i="109"/>
  <c r="AH11" i="109"/>
  <c r="AH25" i="109"/>
  <c r="AH31" i="109"/>
  <c r="AH48" i="109"/>
  <c r="AH81" i="109"/>
  <c r="AH86" i="109"/>
  <c r="AH69" i="109"/>
  <c r="AH83" i="109"/>
  <c r="AH88" i="109"/>
  <c r="AH92" i="109"/>
  <c r="AH23" i="109"/>
  <c r="AH27" i="109"/>
  <c r="AH35" i="109"/>
  <c r="AH62" i="109"/>
  <c r="AH15" i="109"/>
  <c r="AH20" i="109"/>
  <c r="AH78" i="109"/>
  <c r="AH64" i="109"/>
  <c r="AH71" i="109"/>
  <c r="AH89" i="109"/>
  <c r="AH12" i="109"/>
  <c r="AH14" i="109"/>
  <c r="AH42" i="109"/>
  <c r="AH36" i="109"/>
  <c r="AH34" i="109"/>
  <c r="AH24" i="109"/>
  <c r="AH29" i="109"/>
  <c r="AH50" i="109"/>
  <c r="AH75" i="109"/>
  <c r="AH93" i="109"/>
  <c r="AH97" i="109"/>
  <c r="AI8" i="109"/>
  <c r="AI90" i="109" s="1"/>
  <c r="AJ7" i="109"/>
  <c r="AH45" i="109"/>
  <c r="AH13" i="109"/>
  <c r="AH51" i="109"/>
  <c r="AH22" i="109"/>
  <c r="AH33" i="109"/>
  <c r="AH38" i="109"/>
  <c r="AH66" i="109"/>
  <c r="AH79" i="109"/>
  <c r="AH80" i="109"/>
  <c r="AJ85" i="107"/>
  <c r="AK7" i="107"/>
  <c r="AJ8" i="107"/>
  <c r="AJ92" i="107" s="1"/>
  <c r="AI23" i="107"/>
  <c r="AI33" i="107"/>
  <c r="AI46" i="107"/>
  <c r="AI61" i="107"/>
  <c r="AI86" i="107"/>
  <c r="AI51" i="107"/>
  <c r="AI66" i="107"/>
  <c r="AI83" i="107"/>
  <c r="AI88" i="107"/>
  <c r="AI17" i="107"/>
  <c r="AI25" i="107"/>
  <c r="AI57" i="107"/>
  <c r="AI24" i="107"/>
  <c r="AI47" i="107"/>
  <c r="AI67" i="107"/>
  <c r="AI30" i="107"/>
  <c r="AI59" i="107"/>
  <c r="AI69" i="107"/>
  <c r="AI93" i="107"/>
  <c r="AI22" i="107"/>
  <c r="AI44" i="107"/>
  <c r="AI36" i="107"/>
  <c r="AI70" i="107"/>
  <c r="AI39" i="107"/>
  <c r="AI71" i="107"/>
  <c r="AI82" i="107"/>
  <c r="AI90" i="107"/>
  <c r="AI16" i="107"/>
  <c r="AI29" i="107"/>
  <c r="AI28" i="107"/>
  <c r="AI20" i="107"/>
  <c r="AI40" i="107"/>
  <c r="AI81" i="107"/>
  <c r="AI48" i="107"/>
  <c r="AI72" i="107"/>
  <c r="AI94" i="107"/>
  <c r="AI95" i="107"/>
  <c r="AI26" i="107"/>
  <c r="AI41" i="107"/>
  <c r="AI38" i="107"/>
  <c r="AI35" i="107"/>
  <c r="AI68" i="107"/>
  <c r="AI85" i="107"/>
  <c r="AI55" i="107"/>
  <c r="AI74" i="107"/>
  <c r="AI80" i="107"/>
  <c r="AI92" i="107"/>
  <c r="AI11" i="107"/>
  <c r="AI56" i="107"/>
  <c r="AI49" i="107"/>
  <c r="AI18" i="107"/>
  <c r="AI64" i="107"/>
  <c r="AI73" i="107"/>
  <c r="AI34" i="107"/>
  <c r="AI53" i="107"/>
  <c r="AI77" i="107"/>
  <c r="AI79" i="107"/>
  <c r="AI89" i="107"/>
  <c r="AI14" i="107"/>
  <c r="AI13" i="107"/>
  <c r="AI19" i="107"/>
  <c r="AI27" i="107"/>
  <c r="AI45" i="107"/>
  <c r="AI78" i="107"/>
  <c r="AI42" i="107"/>
  <c r="AI62" i="107"/>
  <c r="AI84" i="107"/>
  <c r="AI91" i="107"/>
  <c r="AI29" i="105"/>
  <c r="AI64" i="105"/>
  <c r="AI44" i="105"/>
  <c r="AI63" i="105"/>
  <c r="AI91" i="105"/>
  <c r="AI84" i="105"/>
  <c r="AI89" i="105"/>
  <c r="AJ92" i="105"/>
  <c r="AJ91" i="105"/>
  <c r="AJ94" i="105"/>
  <c r="AJ83" i="105"/>
  <c r="AJ89" i="105"/>
  <c r="AJ57" i="105"/>
  <c r="AJ60" i="105"/>
  <c r="AJ84" i="105"/>
  <c r="AJ58" i="105"/>
  <c r="AJ61" i="105"/>
  <c r="AJ77" i="105"/>
  <c r="AJ72" i="105"/>
  <c r="AJ71" i="105"/>
  <c r="AJ64" i="105"/>
  <c r="AJ50" i="105"/>
  <c r="AJ41" i="105"/>
  <c r="AJ55" i="105"/>
  <c r="AJ51" i="105"/>
  <c r="AJ53" i="105"/>
  <c r="AJ26" i="105"/>
  <c r="AJ56" i="105"/>
  <c r="AJ62" i="105"/>
  <c r="AJ33" i="105"/>
  <c r="AJ49" i="105"/>
  <c r="AJ34" i="105"/>
  <c r="AJ28" i="105"/>
  <c r="AJ22" i="105"/>
  <c r="AJ30" i="105"/>
  <c r="AJ16" i="105"/>
  <c r="AJ48" i="105"/>
  <c r="AJ23" i="105"/>
  <c r="AJ35" i="105"/>
  <c r="AJ19" i="105"/>
  <c r="AJ14" i="105"/>
  <c r="AJ37" i="105"/>
  <c r="AJ27" i="105"/>
  <c r="AJ20" i="105"/>
  <c r="AJ12" i="105"/>
  <c r="AJ44" i="105"/>
  <c r="AJ15" i="105"/>
  <c r="AJ17" i="105"/>
  <c r="AJ39" i="105"/>
  <c r="AK7" i="105"/>
  <c r="AJ36" i="105"/>
  <c r="AJ29" i="105"/>
  <c r="AJ18" i="105"/>
  <c r="AJ8" i="105"/>
  <c r="AJ95" i="105" s="1"/>
  <c r="AI28" i="105"/>
  <c r="AI33" i="105"/>
  <c r="AI18" i="105"/>
  <c r="AI35" i="105"/>
  <c r="AI48" i="105"/>
  <c r="AI52" i="105"/>
  <c r="AI69" i="105"/>
  <c r="AI74" i="105"/>
  <c r="AI88" i="105"/>
  <c r="AI97" i="105"/>
  <c r="AI12" i="105"/>
  <c r="AI17" i="105"/>
  <c r="AI42" i="105"/>
  <c r="AI26" i="105"/>
  <c r="AI45" i="105"/>
  <c r="AI41" i="105"/>
  <c r="AI61" i="105"/>
  <c r="AI57" i="105"/>
  <c r="AI83" i="105"/>
  <c r="AI96" i="105"/>
  <c r="AI15" i="105"/>
  <c r="AI34" i="105"/>
  <c r="AI13" i="105"/>
  <c r="AI36" i="105"/>
  <c r="AI56" i="105"/>
  <c r="AI50" i="105"/>
  <c r="AI73" i="105"/>
  <c r="AI66" i="105"/>
  <c r="AI80" i="105"/>
  <c r="AI93" i="105"/>
  <c r="AI24" i="105"/>
  <c r="AI11" i="105"/>
  <c r="AI22" i="105"/>
  <c r="AI39" i="105"/>
  <c r="AI53" i="105"/>
  <c r="AI70" i="105"/>
  <c r="AI77" i="105"/>
  <c r="AI82" i="105"/>
  <c r="AI85" i="105"/>
  <c r="AI90" i="105"/>
  <c r="AI23" i="105"/>
  <c r="AI16" i="105"/>
  <c r="AI40" i="105"/>
  <c r="AI49" i="105"/>
  <c r="AI31" i="105"/>
  <c r="AI72" i="105"/>
  <c r="AI58" i="105"/>
  <c r="AI62" i="105"/>
  <c r="AI79" i="105"/>
  <c r="AI86" i="105"/>
  <c r="AI20" i="105"/>
  <c r="AI30" i="105"/>
  <c r="AI55" i="105"/>
  <c r="AI60" i="105"/>
  <c r="AI37" i="105"/>
  <c r="AI38" i="105"/>
  <c r="AI67" i="105"/>
  <c r="AI71" i="105"/>
  <c r="AI94" i="105"/>
  <c r="AI77" i="103"/>
  <c r="AI83" i="103"/>
  <c r="AI90" i="103"/>
  <c r="AI71" i="103"/>
  <c r="AI74" i="103"/>
  <c r="AI85" i="103"/>
  <c r="AI95" i="103"/>
  <c r="AI18" i="103"/>
  <c r="AI31" i="103"/>
  <c r="AI40" i="103"/>
  <c r="AI48" i="103"/>
  <c r="AI55" i="103"/>
  <c r="AI72" i="103"/>
  <c r="AI84" i="103"/>
  <c r="AI82" i="103"/>
  <c r="AI92" i="103"/>
  <c r="AI33" i="103"/>
  <c r="AJ96" i="103"/>
  <c r="AJ88" i="103"/>
  <c r="AJ77" i="103"/>
  <c r="AJ83" i="103"/>
  <c r="AJ81" i="103"/>
  <c r="AJ62" i="103"/>
  <c r="AJ82" i="103"/>
  <c r="AJ74" i="103"/>
  <c r="AJ69" i="103"/>
  <c r="AJ70" i="103"/>
  <c r="AJ68" i="103"/>
  <c r="AJ64" i="103"/>
  <c r="AJ73" i="103"/>
  <c r="AJ61" i="103"/>
  <c r="AJ66" i="103"/>
  <c r="AJ55" i="103"/>
  <c r="AJ47" i="103"/>
  <c r="AJ38" i="103"/>
  <c r="AJ45" i="103"/>
  <c r="AJ48" i="103"/>
  <c r="AJ75" i="103"/>
  <c r="AJ58" i="103"/>
  <c r="AJ51" i="103"/>
  <c r="AJ40" i="103"/>
  <c r="AJ49" i="103"/>
  <c r="AJ42" i="103"/>
  <c r="AJ35" i="103"/>
  <c r="AJ25" i="103"/>
  <c r="AJ17" i="103"/>
  <c r="AJ41" i="103"/>
  <c r="AJ39" i="103"/>
  <c r="AJ33" i="103"/>
  <c r="AJ24" i="103"/>
  <c r="AJ34" i="103"/>
  <c r="AJ18" i="103"/>
  <c r="AJ12" i="103"/>
  <c r="AJ31" i="103"/>
  <c r="AJ22" i="103"/>
  <c r="AJ15" i="103"/>
  <c r="AJ8" i="103"/>
  <c r="AJ91" i="103" s="1"/>
  <c r="AJ37" i="103"/>
  <c r="AJ23" i="103"/>
  <c r="AJ19" i="103"/>
  <c r="AJ13" i="103"/>
  <c r="AJ16" i="103"/>
  <c r="AJ29" i="103"/>
  <c r="AJ11" i="103"/>
  <c r="AK7" i="103"/>
  <c r="AJ14" i="103"/>
  <c r="AI25" i="103"/>
  <c r="AI46" i="103"/>
  <c r="AI63" i="103"/>
  <c r="AI44" i="103"/>
  <c r="AI62" i="103"/>
  <c r="AI59" i="103"/>
  <c r="AI91" i="103"/>
  <c r="AI89" i="103"/>
  <c r="AI11" i="103"/>
  <c r="AI60" i="103"/>
  <c r="AI14" i="103"/>
  <c r="AI35" i="103"/>
  <c r="AI36" i="103"/>
  <c r="AI53" i="103"/>
  <c r="AI52" i="103"/>
  <c r="AI70" i="103"/>
  <c r="AI68" i="103"/>
  <c r="AI88" i="103"/>
  <c r="AI97" i="103"/>
  <c r="AI17" i="103"/>
  <c r="AI15" i="103"/>
  <c r="AI20" i="103"/>
  <c r="AI57" i="103"/>
  <c r="AI58" i="103"/>
  <c r="AI61" i="103"/>
  <c r="AI56" i="103"/>
  <c r="AI75" i="103"/>
  <c r="AI78" i="103"/>
  <c r="AH29" i="101"/>
  <c r="AH17" i="101"/>
  <c r="AH44" i="101"/>
  <c r="AH26" i="101"/>
  <c r="AH66" i="101"/>
  <c r="AH73" i="101"/>
  <c r="AH47" i="101"/>
  <c r="AH70" i="101"/>
  <c r="AH96" i="101"/>
  <c r="AH90" i="101"/>
  <c r="AH24" i="101"/>
  <c r="AH23" i="101"/>
  <c r="AH39" i="101"/>
  <c r="AH40" i="101"/>
  <c r="AH57" i="101"/>
  <c r="AH45" i="101"/>
  <c r="AH59" i="101"/>
  <c r="AH67" i="101"/>
  <c r="AH80" i="101"/>
  <c r="AH95" i="101"/>
  <c r="AH14" i="101"/>
  <c r="AH49" i="101"/>
  <c r="AH53" i="101"/>
  <c r="AH62" i="101"/>
  <c r="AH41" i="101"/>
  <c r="AH68" i="101"/>
  <c r="AH81" i="101"/>
  <c r="AH88" i="101"/>
  <c r="AH92" i="101"/>
  <c r="AH15" i="101"/>
  <c r="AH22" i="101"/>
  <c r="AH27" i="101"/>
  <c r="AH74" i="101"/>
  <c r="AH48" i="101"/>
  <c r="AH50" i="101"/>
  <c r="AH56" i="101"/>
  <c r="AH84" i="101"/>
  <c r="AH85" i="101"/>
  <c r="AH89" i="101"/>
  <c r="AI97" i="101"/>
  <c r="AI86" i="101"/>
  <c r="AI90" i="101"/>
  <c r="AI93" i="101"/>
  <c r="AI96" i="101"/>
  <c r="AI88" i="101"/>
  <c r="AI80" i="101"/>
  <c r="AI83" i="101"/>
  <c r="AI91" i="101"/>
  <c r="AI82" i="101"/>
  <c r="AI74" i="101"/>
  <c r="AI52" i="101"/>
  <c r="AI75" i="101"/>
  <c r="AI64" i="101"/>
  <c r="AI71" i="101"/>
  <c r="AI68" i="101"/>
  <c r="AI81" i="101"/>
  <c r="AI62" i="101"/>
  <c r="AI72" i="101"/>
  <c r="AI66" i="101"/>
  <c r="AI79" i="101"/>
  <c r="AI55" i="101"/>
  <c r="AI41" i="101"/>
  <c r="AI45" i="101"/>
  <c r="AI73" i="101"/>
  <c r="AI69" i="101"/>
  <c r="AI60" i="101"/>
  <c r="AI56" i="101"/>
  <c r="AI39" i="101"/>
  <c r="AI53" i="101"/>
  <c r="AI49" i="101"/>
  <c r="AI40" i="101"/>
  <c r="AI31" i="101"/>
  <c r="AI37" i="101"/>
  <c r="AI63" i="101"/>
  <c r="AI29" i="101"/>
  <c r="AI30" i="101"/>
  <c r="AI57" i="101"/>
  <c r="AI44" i="101"/>
  <c r="AI35" i="101"/>
  <c r="AI18" i="101"/>
  <c r="AI22" i="101"/>
  <c r="AI58" i="101"/>
  <c r="AI38" i="101"/>
  <c r="AI27" i="101"/>
  <c r="AI47" i="101"/>
  <c r="AI36" i="101"/>
  <c r="AI23" i="101"/>
  <c r="AI19" i="101"/>
  <c r="AI17" i="101"/>
  <c r="AI12" i="101"/>
  <c r="AI15" i="101"/>
  <c r="AI11" i="101"/>
  <c r="AI8" i="101"/>
  <c r="AI89" i="101" s="1"/>
  <c r="AI24" i="101"/>
  <c r="AI13" i="101"/>
  <c r="AI16" i="101"/>
  <c r="AI25" i="101"/>
  <c r="AI14" i="101"/>
  <c r="AJ7" i="101"/>
  <c r="AH16" i="101"/>
  <c r="AH25" i="101"/>
  <c r="AH35" i="101"/>
  <c r="AH31" i="101"/>
  <c r="AH60" i="101"/>
  <c r="AH55" i="101"/>
  <c r="AH64" i="101"/>
  <c r="AH78" i="101"/>
  <c r="AH82" i="101"/>
  <c r="AH97" i="101"/>
  <c r="AH11" i="101"/>
  <c r="AH18" i="101"/>
  <c r="AH34" i="101"/>
  <c r="AH42" i="101"/>
  <c r="AH28" i="101"/>
  <c r="AH69" i="101"/>
  <c r="AH79" i="101"/>
  <c r="AH75" i="101"/>
  <c r="AH71" i="101"/>
  <c r="AH91" i="101"/>
  <c r="AH94" i="101"/>
  <c r="AH95" i="99"/>
  <c r="AH58" i="99"/>
  <c r="AH91" i="99"/>
  <c r="AH88" i="99"/>
  <c r="AH97" i="99"/>
  <c r="AH13" i="99"/>
  <c r="AI89" i="99"/>
  <c r="AI93" i="99"/>
  <c r="AI91" i="99"/>
  <c r="AI67" i="99"/>
  <c r="AI82" i="99"/>
  <c r="AI68" i="99"/>
  <c r="AI64" i="99"/>
  <c r="AI69" i="99"/>
  <c r="AI50" i="99"/>
  <c r="AI66" i="99"/>
  <c r="AI58" i="99"/>
  <c r="AI46" i="99"/>
  <c r="AI60" i="99"/>
  <c r="AI33" i="99"/>
  <c r="AI35" i="99"/>
  <c r="AI29" i="99"/>
  <c r="AI51" i="99"/>
  <c r="AI8" i="99"/>
  <c r="AI92" i="99" s="1"/>
  <c r="AI18" i="99"/>
  <c r="AI22" i="99"/>
  <c r="AI13" i="99"/>
  <c r="AI19" i="99"/>
  <c r="AJ7" i="99"/>
  <c r="AI11" i="99"/>
  <c r="AH24" i="99"/>
  <c r="AH48" i="99"/>
  <c r="AH63" i="99"/>
  <c r="AH53" i="99"/>
  <c r="AH68" i="99"/>
  <c r="AH67" i="99"/>
  <c r="AH96" i="99"/>
  <c r="AH96" i="97"/>
  <c r="AH46" i="97"/>
  <c r="AH60" i="97"/>
  <c r="AH57" i="97"/>
  <c r="AH17" i="97"/>
  <c r="AH23" i="97"/>
  <c r="AH62" i="97"/>
  <c r="AH53" i="97"/>
  <c r="AH40" i="97"/>
  <c r="AH47" i="97"/>
  <c r="AH72" i="97"/>
  <c r="AH81" i="97"/>
  <c r="AH95" i="97"/>
  <c r="AH29" i="97"/>
  <c r="AH66" i="97"/>
  <c r="AH77" i="97"/>
  <c r="AH63" i="97"/>
  <c r="AH70" i="97"/>
  <c r="AH78" i="97"/>
  <c r="AH89" i="97"/>
  <c r="AH42" i="97"/>
  <c r="AH14" i="97"/>
  <c r="AH13" i="97"/>
  <c r="AH18" i="97"/>
  <c r="AH33" i="97"/>
  <c r="AH74" i="97"/>
  <c r="AH85" i="97"/>
  <c r="AH83" i="97"/>
  <c r="AH79" i="97"/>
  <c r="AH88" i="97"/>
  <c r="AH97" i="97"/>
  <c r="AI97" i="97"/>
  <c r="AI88" i="97"/>
  <c r="AI73" i="97"/>
  <c r="AI74" i="97"/>
  <c r="AI85" i="97"/>
  <c r="AI44" i="97"/>
  <c r="AI24" i="97"/>
  <c r="AI37" i="97"/>
  <c r="AI42" i="97"/>
  <c r="AJ7" i="97"/>
  <c r="AI47" i="97"/>
  <c r="AI8" i="97"/>
  <c r="AI89" i="97" s="1"/>
  <c r="AI60" i="97"/>
  <c r="AH26" i="97"/>
  <c r="AH12" i="97"/>
  <c r="AH38" i="97"/>
  <c r="AH48" i="97"/>
  <c r="AH91" i="97"/>
  <c r="AH94" i="97"/>
  <c r="AH25" i="97"/>
  <c r="AH35" i="97"/>
  <c r="AH58" i="97"/>
  <c r="AH11" i="97"/>
  <c r="AH16" i="97"/>
  <c r="AH37" i="97"/>
  <c r="AH71" i="97"/>
  <c r="AH20" i="97"/>
  <c r="AH49" i="97"/>
  <c r="AH61" i="97"/>
  <c r="AH73" i="97"/>
  <c r="AH67" i="97"/>
  <c r="AH93" i="97"/>
  <c r="AH90" i="97"/>
  <c r="AH27" i="97"/>
  <c r="AH28" i="97"/>
  <c r="AH39" i="97"/>
  <c r="AH34" i="97"/>
  <c r="AH55" i="97"/>
  <c r="AH75" i="97"/>
  <c r="AH41" i="97"/>
  <c r="AH51" i="97"/>
  <c r="AH19" i="97"/>
  <c r="AH56" i="97"/>
  <c r="AH44" i="97"/>
  <c r="AH31" i="97"/>
  <c r="AH80" i="97"/>
  <c r="AH68" i="97"/>
  <c r="AH84" i="97"/>
  <c r="AJ19" i="95"/>
  <c r="AJ92" i="95"/>
  <c r="AJ31" i="95"/>
  <c r="AJ30" i="95"/>
  <c r="AJ93" i="95"/>
  <c r="AJ15" i="95"/>
  <c r="AJ58" i="95"/>
  <c r="AJ51" i="95"/>
  <c r="AJ91" i="95"/>
  <c r="AJ14" i="95"/>
  <c r="AJ17" i="95"/>
  <c r="AJ69" i="95"/>
  <c r="AJ34" i="95"/>
  <c r="AJ59" i="95"/>
  <c r="AJ52" i="95"/>
  <c r="AJ25" i="95"/>
  <c r="AJ66" i="95"/>
  <c r="AJ22" i="95"/>
  <c r="AJ29" i="95"/>
  <c r="AJ50" i="95"/>
  <c r="AJ90" i="95"/>
  <c r="AJ23" i="95"/>
  <c r="AJ83" i="95"/>
  <c r="AJ97" i="95"/>
  <c r="AJ28" i="95"/>
  <c r="AJ33" i="95"/>
  <c r="AJ57" i="95"/>
  <c r="AJ89" i="95"/>
  <c r="AJ11" i="95"/>
  <c r="AJ26" i="95"/>
  <c r="AJ24" i="95"/>
  <c r="AJ13" i="95"/>
  <c r="AJ27" i="95"/>
  <c r="AJ20" i="95"/>
  <c r="AJ18" i="95"/>
  <c r="AJ53" i="95"/>
  <c r="AJ74" i="95"/>
  <c r="AJ70" i="95"/>
  <c r="AJ56" i="95"/>
  <c r="AJ77" i="95"/>
  <c r="AJ81" i="95"/>
  <c r="AJ84" i="95"/>
  <c r="AJ86" i="95"/>
  <c r="AJ16" i="95"/>
  <c r="AJ35" i="95"/>
  <c r="AJ46" i="95"/>
  <c r="AJ36" i="95"/>
  <c r="AJ40" i="95"/>
  <c r="AJ38" i="95"/>
  <c r="AJ60" i="95"/>
  <c r="AJ62" i="95"/>
  <c r="AJ88" i="95"/>
  <c r="AJ73" i="95"/>
  <c r="AJ71" i="95"/>
  <c r="AJ94" i="95"/>
  <c r="AJ95" i="95"/>
  <c r="AL7" i="95"/>
  <c r="AK8" i="95"/>
  <c r="AK95" i="95" s="1"/>
  <c r="AJ37" i="95"/>
  <c r="AJ45" i="95"/>
  <c r="AJ64" i="95"/>
  <c r="AJ49" i="95"/>
  <c r="AJ42" i="95"/>
  <c r="AJ39" i="95"/>
  <c r="AJ61" i="95"/>
  <c r="AJ41" i="95"/>
  <c r="AJ67" i="95"/>
  <c r="AJ75" i="95"/>
  <c r="AJ78" i="95"/>
  <c r="AJ96" i="95"/>
  <c r="AJ47" i="95"/>
  <c r="AJ72" i="95"/>
  <c r="AJ68" i="95"/>
  <c r="AJ12" i="95"/>
  <c r="AJ44" i="95"/>
  <c r="AJ55" i="95"/>
  <c r="AJ85" i="95"/>
  <c r="AJ48" i="95"/>
  <c r="AJ63" i="95"/>
  <c r="AJ79" i="95"/>
  <c r="AJ82" i="95"/>
  <c r="J26" i="58"/>
  <c r="J25" i="58"/>
  <c r="J24" i="58"/>
  <c r="E22" i="2"/>
  <c r="J22" i="58"/>
  <c r="J20" i="58"/>
  <c r="J19" i="58"/>
  <c r="B11" i="58"/>
  <c r="AI35" i="59" l="1"/>
  <c r="AI80" i="59"/>
  <c r="AI23" i="59"/>
  <c r="AI39" i="59"/>
  <c r="AI66" i="59"/>
  <c r="AI56" i="59"/>
  <c r="AI40" i="59"/>
  <c r="AI50" i="59"/>
  <c r="AI83" i="59"/>
  <c r="AI73" i="59"/>
  <c r="AI94" i="59"/>
  <c r="AI79" i="59"/>
  <c r="AI88" i="59"/>
  <c r="AI15" i="59"/>
  <c r="AI25" i="59"/>
  <c r="AI60" i="59"/>
  <c r="AI33" i="59"/>
  <c r="AI55" i="59"/>
  <c r="AI53" i="59"/>
  <c r="AI78" i="59"/>
  <c r="AI64" i="59"/>
  <c r="AI59" i="59"/>
  <c r="AI90" i="59"/>
  <c r="AI18" i="59"/>
  <c r="AI41" i="59"/>
  <c r="AI49" i="59"/>
  <c r="AI57" i="59"/>
  <c r="AI72" i="59"/>
  <c r="AI52" i="59"/>
  <c r="AI68" i="59"/>
  <c r="AI95" i="59"/>
  <c r="AI11" i="59"/>
  <c r="AI16" i="59"/>
  <c r="AI37" i="59"/>
  <c r="AI45" i="59"/>
  <c r="AI51" i="59"/>
  <c r="AI63" i="59"/>
  <c r="AI74" i="59"/>
  <c r="AI71" i="59"/>
  <c r="AI85" i="59"/>
  <c r="AI92" i="59"/>
  <c r="AJ51" i="59"/>
  <c r="AJ41" i="59"/>
  <c r="AJ8" i="59"/>
  <c r="AJ92" i="59" s="1"/>
  <c r="AJ25" i="59"/>
  <c r="AK7" i="59"/>
  <c r="AJ20" i="59"/>
  <c r="AI17" i="59"/>
  <c r="AI22" i="59"/>
  <c r="AI24" i="59"/>
  <c r="AI29" i="59"/>
  <c r="AI62" i="59"/>
  <c r="AI67" i="59"/>
  <c r="AI75" i="59"/>
  <c r="AI86" i="59"/>
  <c r="AI82" i="59"/>
  <c r="AI89" i="59"/>
  <c r="AI30" i="59"/>
  <c r="AI13" i="59"/>
  <c r="AI42" i="59"/>
  <c r="AI31" i="59"/>
  <c r="AI38" i="59"/>
  <c r="AI46" i="59"/>
  <c r="AI70" i="59"/>
  <c r="AI81" i="59"/>
  <c r="AI84" i="59"/>
  <c r="AI91" i="59"/>
  <c r="AI11" i="113"/>
  <c r="AI20" i="113"/>
  <c r="AI53" i="113"/>
  <c r="AI40" i="113"/>
  <c r="AI75" i="113"/>
  <c r="AI73" i="113"/>
  <c r="AI64" i="113"/>
  <c r="AI72" i="113"/>
  <c r="AI77" i="113"/>
  <c r="AI92" i="113"/>
  <c r="AJ96" i="113"/>
  <c r="AJ88" i="113"/>
  <c r="AJ91" i="113"/>
  <c r="AJ97" i="113"/>
  <c r="AJ81" i="113"/>
  <c r="AJ89" i="113"/>
  <c r="AJ82" i="113"/>
  <c r="AJ71" i="113"/>
  <c r="AJ62" i="113"/>
  <c r="AJ53" i="113"/>
  <c r="AJ58" i="113"/>
  <c r="AJ73" i="113"/>
  <c r="AJ67" i="113"/>
  <c r="AJ63" i="113"/>
  <c r="AJ57" i="113"/>
  <c r="AJ48" i="113"/>
  <c r="AJ39" i="113"/>
  <c r="AJ42" i="113"/>
  <c r="AJ68" i="113"/>
  <c r="AJ59" i="113"/>
  <c r="AJ49" i="113"/>
  <c r="AJ23" i="113"/>
  <c r="AJ60" i="113"/>
  <c r="AJ41" i="113"/>
  <c r="AJ27" i="113"/>
  <c r="AJ25" i="113"/>
  <c r="AJ34" i="113"/>
  <c r="AJ19" i="113"/>
  <c r="AJ26" i="113"/>
  <c r="AJ37" i="113"/>
  <c r="AJ36" i="113"/>
  <c r="AJ28" i="113"/>
  <c r="AJ52" i="113"/>
  <c r="AK7" i="113"/>
  <c r="AJ24" i="113"/>
  <c r="AJ12" i="113"/>
  <c r="AJ15" i="113"/>
  <c r="AJ8" i="113"/>
  <c r="AJ92" i="113" s="1"/>
  <c r="AI17" i="113"/>
  <c r="AI33" i="113"/>
  <c r="AI60" i="113"/>
  <c r="AI28" i="113"/>
  <c r="AI27" i="113"/>
  <c r="AI71" i="113"/>
  <c r="AI82" i="113"/>
  <c r="AI79" i="113"/>
  <c r="AI85" i="113"/>
  <c r="AI89" i="113"/>
  <c r="AI49" i="113"/>
  <c r="AI23" i="113"/>
  <c r="AI16" i="113"/>
  <c r="AI35" i="113"/>
  <c r="AI37" i="113"/>
  <c r="AI36" i="113"/>
  <c r="AI62" i="113"/>
  <c r="AI59" i="113"/>
  <c r="AI84" i="113"/>
  <c r="AI88" i="113"/>
  <c r="AI97" i="113"/>
  <c r="AI12" i="113"/>
  <c r="AI29" i="113"/>
  <c r="AI38" i="113"/>
  <c r="AI44" i="113"/>
  <c r="AI51" i="113"/>
  <c r="AI63" i="113"/>
  <c r="AI66" i="113"/>
  <c r="AI91" i="113"/>
  <c r="AI74" i="113"/>
  <c r="AI93" i="113"/>
  <c r="AI39" i="113"/>
  <c r="AI50" i="113"/>
  <c r="AI69" i="113"/>
  <c r="AI58" i="113"/>
  <c r="AI80" i="113"/>
  <c r="AJ46" i="111"/>
  <c r="AK96" i="111"/>
  <c r="AK94" i="111"/>
  <c r="AK73" i="111"/>
  <c r="AK67" i="111"/>
  <c r="AK69" i="111"/>
  <c r="AK83" i="111"/>
  <c r="AK56" i="111"/>
  <c r="AK89" i="111"/>
  <c r="AK64" i="111"/>
  <c r="AK59" i="111"/>
  <c r="AK31" i="111"/>
  <c r="AK26" i="111"/>
  <c r="AK53" i="111"/>
  <c r="AK49" i="111"/>
  <c r="AK14" i="111"/>
  <c r="AL7" i="111"/>
  <c r="AK22" i="111"/>
  <c r="AK17" i="111"/>
  <c r="AK37" i="111"/>
  <c r="AK28" i="111"/>
  <c r="AK15" i="111"/>
  <c r="AK11" i="111"/>
  <c r="AK41" i="111"/>
  <c r="AK16" i="111"/>
  <c r="AK88" i="111"/>
  <c r="AK36" i="111"/>
  <c r="AK20" i="111"/>
  <c r="AK45" i="111"/>
  <c r="AK8" i="111"/>
  <c r="AK85" i="111" s="1"/>
  <c r="AJ31" i="111"/>
  <c r="AJ64" i="111"/>
  <c r="AJ47" i="111"/>
  <c r="AJ97" i="111"/>
  <c r="AJ60" i="111"/>
  <c r="AJ68" i="111"/>
  <c r="AJ96" i="111"/>
  <c r="AJ13" i="111"/>
  <c r="AJ16" i="111"/>
  <c r="AJ11" i="111"/>
  <c r="AJ38" i="111"/>
  <c r="AJ59" i="111"/>
  <c r="AJ50" i="111"/>
  <c r="AJ67" i="111"/>
  <c r="AJ63" i="111"/>
  <c r="AJ77" i="111"/>
  <c r="AJ90" i="111"/>
  <c r="AJ12" i="111"/>
  <c r="AJ61" i="111"/>
  <c r="AJ17" i="111"/>
  <c r="AJ27" i="111"/>
  <c r="AJ79" i="111"/>
  <c r="AJ62" i="111"/>
  <c r="AJ49" i="111"/>
  <c r="AJ78" i="111"/>
  <c r="AJ75" i="111"/>
  <c r="AJ94" i="111"/>
  <c r="AJ95" i="111"/>
  <c r="AJ18" i="111"/>
  <c r="AJ25" i="111"/>
  <c r="AJ22" i="111"/>
  <c r="AJ29" i="111"/>
  <c r="AJ28" i="111"/>
  <c r="AJ74" i="111"/>
  <c r="AJ52" i="111"/>
  <c r="AJ80" i="111"/>
  <c r="AJ39" i="111"/>
  <c r="AJ82" i="111"/>
  <c r="AI23" i="109"/>
  <c r="AI39" i="109"/>
  <c r="AI15" i="109"/>
  <c r="AI91" i="109"/>
  <c r="AI86" i="109"/>
  <c r="AI19" i="109"/>
  <c r="AI17" i="109"/>
  <c r="AI72" i="109"/>
  <c r="AI44" i="109"/>
  <c r="AI42" i="109"/>
  <c r="AI24" i="109"/>
  <c r="AI77" i="109"/>
  <c r="AI84" i="109"/>
  <c r="AI85" i="109"/>
  <c r="AI95" i="109"/>
  <c r="AI22" i="109"/>
  <c r="AI29" i="109"/>
  <c r="AI31" i="109"/>
  <c r="AI70" i="109"/>
  <c r="AI58" i="109"/>
  <c r="AI33" i="109"/>
  <c r="AI68" i="109"/>
  <c r="AI62" i="109"/>
  <c r="AI83" i="109"/>
  <c r="AI92" i="109"/>
  <c r="AJ97" i="109"/>
  <c r="AJ81" i="109"/>
  <c r="AJ60" i="109"/>
  <c r="AJ64" i="109"/>
  <c r="AJ56" i="109"/>
  <c r="AJ30" i="109"/>
  <c r="AJ35" i="109"/>
  <c r="AJ41" i="109"/>
  <c r="AJ33" i="109"/>
  <c r="AJ8" i="109"/>
  <c r="AJ94" i="109" s="1"/>
  <c r="AK7" i="109"/>
  <c r="AJ24" i="109"/>
  <c r="AJ20" i="109"/>
  <c r="AI71" i="109"/>
  <c r="AI50" i="109"/>
  <c r="AI51" i="109"/>
  <c r="AI38" i="109"/>
  <c r="AI63" i="109"/>
  <c r="AI41" i="109"/>
  <c r="AI57" i="109"/>
  <c r="AI78" i="109"/>
  <c r="AI96" i="109"/>
  <c r="AI89" i="109"/>
  <c r="AI14" i="109"/>
  <c r="AI81" i="109"/>
  <c r="AI26" i="109"/>
  <c r="AI30" i="109"/>
  <c r="AI48" i="109"/>
  <c r="AI18" i="109"/>
  <c r="AI55" i="109"/>
  <c r="AI60" i="109"/>
  <c r="AI79" i="109"/>
  <c r="AI80" i="109"/>
  <c r="AI97" i="109"/>
  <c r="AI20" i="109"/>
  <c r="AI12" i="109"/>
  <c r="AI37" i="109"/>
  <c r="AI35" i="109"/>
  <c r="AI49" i="109"/>
  <c r="AI27" i="109"/>
  <c r="AI59" i="109"/>
  <c r="AI53" i="109"/>
  <c r="AI66" i="109"/>
  <c r="AI94" i="109"/>
  <c r="AI61" i="109"/>
  <c r="AI34" i="109"/>
  <c r="AI73" i="109"/>
  <c r="AI88" i="109"/>
  <c r="AI28" i="109"/>
  <c r="AI46" i="109"/>
  <c r="AI40" i="109"/>
  <c r="AI47" i="109"/>
  <c r="AI16" i="109"/>
  <c r="AI36" i="109"/>
  <c r="AI45" i="109"/>
  <c r="AI64" i="109"/>
  <c r="AI74" i="109"/>
  <c r="AI93" i="109"/>
  <c r="AI13" i="109"/>
  <c r="AI11" i="109"/>
  <c r="AI52" i="109"/>
  <c r="AI67" i="109"/>
  <c r="AI25" i="109"/>
  <c r="AI56" i="109"/>
  <c r="AI69" i="109"/>
  <c r="AI75" i="109"/>
  <c r="AI82" i="109"/>
  <c r="AJ26" i="107"/>
  <c r="AJ19" i="107"/>
  <c r="AJ23" i="107"/>
  <c r="AJ48" i="107"/>
  <c r="AJ45" i="107"/>
  <c r="AJ68" i="107"/>
  <c r="AJ59" i="107"/>
  <c r="AJ53" i="107"/>
  <c r="AJ75" i="107"/>
  <c r="AJ94" i="107"/>
  <c r="AJ29" i="107"/>
  <c r="AJ55" i="107"/>
  <c r="AJ91" i="107"/>
  <c r="AJ14" i="107"/>
  <c r="AJ33" i="107"/>
  <c r="AJ40" i="107"/>
  <c r="AJ27" i="107"/>
  <c r="AJ47" i="107"/>
  <c r="AJ56" i="107"/>
  <c r="AJ34" i="107"/>
  <c r="AJ66" i="107"/>
  <c r="AJ63" i="107"/>
  <c r="AJ88" i="107"/>
  <c r="AJ11" i="107"/>
  <c r="AJ18" i="107"/>
  <c r="AJ49" i="107"/>
  <c r="AJ86" i="107"/>
  <c r="AK86" i="107"/>
  <c r="AK93" i="107"/>
  <c r="AK96" i="107"/>
  <c r="AK88" i="107"/>
  <c r="AK89" i="107"/>
  <c r="AK77" i="107"/>
  <c r="AK78" i="107"/>
  <c r="AK79" i="107"/>
  <c r="AK84" i="107"/>
  <c r="AK75" i="107"/>
  <c r="AK57" i="107"/>
  <c r="AK92" i="107"/>
  <c r="AK37" i="107"/>
  <c r="AK28" i="107"/>
  <c r="AK82" i="107"/>
  <c r="AK70" i="107"/>
  <c r="AK56" i="107"/>
  <c r="AK83" i="107"/>
  <c r="AK68" i="107"/>
  <c r="AK64" i="107"/>
  <c r="AK63" i="107"/>
  <c r="AK61" i="107"/>
  <c r="AK62" i="107"/>
  <c r="AK55" i="107"/>
  <c r="AK51" i="107"/>
  <c r="AK45" i="107"/>
  <c r="AK41" i="107"/>
  <c r="AK38" i="107"/>
  <c r="AK34" i="107"/>
  <c r="AK53" i="107"/>
  <c r="AK52" i="107"/>
  <c r="AK50" i="107"/>
  <c r="AK27" i="107"/>
  <c r="AK18" i="107"/>
  <c r="AK22" i="107"/>
  <c r="AK25" i="107"/>
  <c r="AK33" i="107"/>
  <c r="AK26" i="107"/>
  <c r="AK17" i="107"/>
  <c r="AK42" i="107"/>
  <c r="AK23" i="107"/>
  <c r="AK35" i="107"/>
  <c r="AL7" i="107"/>
  <c r="AK15" i="107"/>
  <c r="AK13" i="107"/>
  <c r="AK71" i="107"/>
  <c r="AK20" i="107"/>
  <c r="AK8" i="107"/>
  <c r="AK91" i="107" s="1"/>
  <c r="AK12" i="107"/>
  <c r="AJ39" i="107"/>
  <c r="AJ25" i="107"/>
  <c r="AJ36" i="107"/>
  <c r="AJ71" i="107"/>
  <c r="AJ67" i="107"/>
  <c r="AJ42" i="107"/>
  <c r="AJ77" i="107"/>
  <c r="AJ72" i="107"/>
  <c r="AJ96" i="107"/>
  <c r="AJ20" i="107"/>
  <c r="AJ74" i="107"/>
  <c r="AJ31" i="107"/>
  <c r="AJ24" i="107"/>
  <c r="AJ73" i="107"/>
  <c r="AJ70" i="107"/>
  <c r="AJ51" i="107"/>
  <c r="AJ69" i="107"/>
  <c r="AJ83" i="107"/>
  <c r="AJ93" i="107"/>
  <c r="AJ62" i="107"/>
  <c r="AJ15" i="107"/>
  <c r="AJ13" i="107"/>
  <c r="AJ78" i="107"/>
  <c r="AJ44" i="107"/>
  <c r="AJ60" i="107"/>
  <c r="AJ28" i="107"/>
  <c r="AJ52" i="107"/>
  <c r="AJ84" i="107"/>
  <c r="AJ97" i="107"/>
  <c r="AJ90" i="107"/>
  <c r="AJ35" i="107"/>
  <c r="AJ17" i="107"/>
  <c r="AJ30" i="107"/>
  <c r="AJ22" i="107"/>
  <c r="AJ58" i="107"/>
  <c r="AJ61" i="107"/>
  <c r="AJ37" i="107"/>
  <c r="AJ79" i="107"/>
  <c r="AJ80" i="107"/>
  <c r="AJ82" i="107"/>
  <c r="AJ95" i="107"/>
  <c r="AJ16" i="107"/>
  <c r="AJ12" i="107"/>
  <c r="AJ50" i="107"/>
  <c r="AJ38" i="107"/>
  <c r="AJ41" i="107"/>
  <c r="AJ64" i="107"/>
  <c r="AJ46" i="107"/>
  <c r="AJ57" i="107"/>
  <c r="AJ81" i="107"/>
  <c r="AJ89" i="107"/>
  <c r="AJ69" i="105"/>
  <c r="AJ80" i="105"/>
  <c r="AJ88" i="105"/>
  <c r="AK96" i="105"/>
  <c r="AK97" i="105"/>
  <c r="AK60" i="105"/>
  <c r="AK92" i="105"/>
  <c r="AK62" i="105"/>
  <c r="AK46" i="105"/>
  <c r="AK34" i="105"/>
  <c r="AK17" i="105"/>
  <c r="AL7" i="105"/>
  <c r="AK28" i="105"/>
  <c r="AK24" i="105"/>
  <c r="AK52" i="105"/>
  <c r="AK26" i="105"/>
  <c r="AK8" i="105"/>
  <c r="AK88" i="105" s="1"/>
  <c r="AJ25" i="105"/>
  <c r="AJ31" i="105"/>
  <c r="AJ40" i="105"/>
  <c r="AJ46" i="105"/>
  <c r="AJ47" i="105"/>
  <c r="AJ70" i="105"/>
  <c r="AJ74" i="105"/>
  <c r="AJ97" i="105"/>
  <c r="AJ96" i="105"/>
  <c r="AJ85" i="105"/>
  <c r="AJ93" i="105"/>
  <c r="AJ67" i="105"/>
  <c r="AJ66" i="105"/>
  <c r="AJ73" i="105"/>
  <c r="AJ90" i="105"/>
  <c r="AJ38" i="105"/>
  <c r="AJ52" i="105"/>
  <c r="AJ59" i="105"/>
  <c r="AJ75" i="105"/>
  <c r="AJ81" i="105"/>
  <c r="AJ82" i="105"/>
  <c r="AJ86" i="105"/>
  <c r="AJ24" i="105"/>
  <c r="AJ11" i="105"/>
  <c r="AJ13" i="105"/>
  <c r="AJ42" i="105"/>
  <c r="AJ45" i="105"/>
  <c r="AJ68" i="105"/>
  <c r="AJ63" i="105"/>
  <c r="AJ78" i="105"/>
  <c r="AJ79" i="105"/>
  <c r="AJ59" i="103"/>
  <c r="AJ78" i="103"/>
  <c r="AJ89" i="103"/>
  <c r="AJ93" i="103"/>
  <c r="AJ80" i="103"/>
  <c r="AJ90" i="103"/>
  <c r="AJ86" i="103"/>
  <c r="AJ27" i="103"/>
  <c r="AJ30" i="103"/>
  <c r="AJ26" i="103"/>
  <c r="AJ46" i="103"/>
  <c r="AJ53" i="103"/>
  <c r="AJ56" i="103"/>
  <c r="AJ63" i="103"/>
  <c r="AJ71" i="103"/>
  <c r="AJ85" i="103"/>
  <c r="AJ95" i="103"/>
  <c r="AK95" i="103"/>
  <c r="AK93" i="103"/>
  <c r="AK94" i="103"/>
  <c r="AK89" i="103"/>
  <c r="AK80" i="103"/>
  <c r="AK81" i="103"/>
  <c r="AK82" i="103"/>
  <c r="AK66" i="103"/>
  <c r="AK72" i="103"/>
  <c r="AK85" i="103"/>
  <c r="AK67" i="103"/>
  <c r="AK71" i="103"/>
  <c r="AK60" i="103"/>
  <c r="AK69" i="103"/>
  <c r="AK41" i="103"/>
  <c r="AK45" i="103"/>
  <c r="AK48" i="103"/>
  <c r="AK46" i="103"/>
  <c r="AK36" i="103"/>
  <c r="AK40" i="103"/>
  <c r="AK28" i="103"/>
  <c r="AK23" i="103"/>
  <c r="AK20" i="103"/>
  <c r="AK30" i="103"/>
  <c r="AK12" i="103"/>
  <c r="AK25" i="103"/>
  <c r="AK26" i="103"/>
  <c r="AK8" i="103"/>
  <c r="AK97" i="103" s="1"/>
  <c r="AK33" i="103"/>
  <c r="AK13" i="103"/>
  <c r="AK11" i="103"/>
  <c r="AL7" i="103"/>
  <c r="AK14" i="103"/>
  <c r="AJ36" i="103"/>
  <c r="AJ52" i="103"/>
  <c r="AJ67" i="103"/>
  <c r="AJ57" i="103"/>
  <c r="AJ72" i="103"/>
  <c r="AJ84" i="103"/>
  <c r="AJ94" i="103"/>
  <c r="AJ92" i="103"/>
  <c r="AJ20" i="103"/>
  <c r="AJ28" i="103"/>
  <c r="AJ44" i="103"/>
  <c r="AJ50" i="103"/>
  <c r="AJ60" i="103"/>
  <c r="AJ79" i="103"/>
  <c r="AJ97" i="103"/>
  <c r="AI28" i="101"/>
  <c r="AI33" i="101"/>
  <c r="AI46" i="101"/>
  <c r="AI51" i="101"/>
  <c r="AI67" i="101"/>
  <c r="AI78" i="101"/>
  <c r="AI61" i="101"/>
  <c r="AI77" i="101"/>
  <c r="AI95" i="101"/>
  <c r="AI70" i="101"/>
  <c r="AI85" i="101"/>
  <c r="AI92" i="101"/>
  <c r="AJ92" i="101"/>
  <c r="AJ86" i="101"/>
  <c r="AJ90" i="101"/>
  <c r="AJ93" i="101"/>
  <c r="AJ91" i="101"/>
  <c r="AJ97" i="101"/>
  <c r="AJ89" i="101"/>
  <c r="AJ80" i="101"/>
  <c r="AJ83" i="101"/>
  <c r="AJ78" i="101"/>
  <c r="AJ82" i="101"/>
  <c r="AJ77" i="101"/>
  <c r="AJ74" i="101"/>
  <c r="AJ84" i="101"/>
  <c r="AJ75" i="101"/>
  <c r="AJ64" i="101"/>
  <c r="AJ68" i="101"/>
  <c r="AJ62" i="101"/>
  <c r="AJ53" i="101"/>
  <c r="AJ72" i="101"/>
  <c r="AJ66" i="101"/>
  <c r="AJ85" i="101"/>
  <c r="AJ67" i="101"/>
  <c r="AJ45" i="101"/>
  <c r="AJ73" i="101"/>
  <c r="AJ60" i="101"/>
  <c r="AJ48" i="101"/>
  <c r="AJ51" i="101"/>
  <c r="AJ57" i="101"/>
  <c r="AJ52" i="101"/>
  <c r="AJ46" i="101"/>
  <c r="AJ59" i="101"/>
  <c r="AJ44" i="101"/>
  <c r="AJ61" i="101"/>
  <c r="AJ63" i="101"/>
  <c r="AJ55" i="101"/>
  <c r="AJ40" i="101"/>
  <c r="AJ29" i="101"/>
  <c r="AJ33" i="101"/>
  <c r="AJ24" i="101"/>
  <c r="AJ70" i="101"/>
  <c r="AJ49" i="101"/>
  <c r="AJ39" i="101"/>
  <c r="AJ34" i="101"/>
  <c r="AJ30" i="101"/>
  <c r="AJ31" i="101"/>
  <c r="AJ27" i="101"/>
  <c r="AJ50" i="101"/>
  <c r="AJ36" i="101"/>
  <c r="AJ28" i="101"/>
  <c r="AJ23" i="101"/>
  <c r="AJ15" i="101"/>
  <c r="AJ8" i="101"/>
  <c r="AJ96" i="101" s="1"/>
  <c r="AJ13" i="101"/>
  <c r="AJ35" i="101"/>
  <c r="AJ16" i="101"/>
  <c r="AJ20" i="101"/>
  <c r="AJ18" i="101"/>
  <c r="AJ11" i="101"/>
  <c r="AJ14" i="101"/>
  <c r="AJ19" i="101"/>
  <c r="AJ17" i="101"/>
  <c r="AJ12" i="101"/>
  <c r="AK7" i="101"/>
  <c r="AI20" i="101"/>
  <c r="AI34" i="101"/>
  <c r="AI42" i="101"/>
  <c r="AI26" i="101"/>
  <c r="AI48" i="101"/>
  <c r="AI50" i="101"/>
  <c r="AI59" i="101"/>
  <c r="AI84" i="101"/>
  <c r="AI94" i="101"/>
  <c r="AI20" i="99"/>
  <c r="AI53" i="99"/>
  <c r="AI17" i="99"/>
  <c r="AI44" i="99"/>
  <c r="AI38" i="99"/>
  <c r="AI39" i="99"/>
  <c r="AI59" i="99"/>
  <c r="AI71" i="99"/>
  <c r="AI70" i="99"/>
  <c r="AI88" i="99"/>
  <c r="AI97" i="99"/>
  <c r="AJ86" i="99"/>
  <c r="AJ90" i="99"/>
  <c r="AJ96" i="99"/>
  <c r="AJ75" i="99"/>
  <c r="AJ67" i="99"/>
  <c r="AJ70" i="99"/>
  <c r="AJ85" i="99"/>
  <c r="AJ77" i="99"/>
  <c r="AJ80" i="99"/>
  <c r="AJ71" i="99"/>
  <c r="AJ78" i="99"/>
  <c r="AJ68" i="99"/>
  <c r="AJ56" i="99"/>
  <c r="AJ47" i="99"/>
  <c r="AJ53" i="99"/>
  <c r="AJ81" i="99"/>
  <c r="AJ60" i="99"/>
  <c r="AJ72" i="99"/>
  <c r="AJ50" i="99"/>
  <c r="AJ46" i="99"/>
  <c r="AJ37" i="99"/>
  <c r="AJ40" i="99"/>
  <c r="AJ55" i="99"/>
  <c r="AJ30" i="99"/>
  <c r="AJ22" i="99"/>
  <c r="AJ57" i="99"/>
  <c r="AJ38" i="99"/>
  <c r="AJ31" i="99"/>
  <c r="AJ45" i="99"/>
  <c r="AJ34" i="99"/>
  <c r="AJ52" i="99"/>
  <c r="AJ26" i="99"/>
  <c r="AJ24" i="99"/>
  <c r="AJ18" i="99"/>
  <c r="AJ8" i="99"/>
  <c r="AJ88" i="99" s="1"/>
  <c r="AJ20" i="99"/>
  <c r="AJ19" i="99"/>
  <c r="AJ11" i="99"/>
  <c r="AJ29" i="99"/>
  <c r="AJ23" i="99"/>
  <c r="AJ14" i="99"/>
  <c r="AK7" i="99"/>
  <c r="AJ17" i="99"/>
  <c r="AI26" i="99"/>
  <c r="AI23" i="99"/>
  <c r="AI25" i="99"/>
  <c r="AI37" i="99"/>
  <c r="AI49" i="99"/>
  <c r="AI63" i="99"/>
  <c r="AI80" i="99"/>
  <c r="AI79" i="99"/>
  <c r="AI96" i="99"/>
  <c r="AI14" i="99"/>
  <c r="AI15" i="99"/>
  <c r="AI55" i="99"/>
  <c r="AI62" i="99"/>
  <c r="AI74" i="99"/>
  <c r="AI36" i="99"/>
  <c r="AI56" i="99"/>
  <c r="AI77" i="99"/>
  <c r="AI75" i="99"/>
  <c r="AI90" i="99"/>
  <c r="AI31" i="99"/>
  <c r="AI27" i="99"/>
  <c r="AI34" i="99"/>
  <c r="AI45" i="99"/>
  <c r="AI78" i="99"/>
  <c r="AI85" i="99"/>
  <c r="AI84" i="99"/>
  <c r="AI86" i="99"/>
  <c r="AI41" i="99"/>
  <c r="AI12" i="99"/>
  <c r="AI48" i="99"/>
  <c r="AI24" i="99"/>
  <c r="AI42" i="99"/>
  <c r="AI57" i="99"/>
  <c r="AI52" i="99"/>
  <c r="AI94" i="99"/>
  <c r="AI72" i="99"/>
  <c r="AI95" i="99"/>
  <c r="AI16" i="99"/>
  <c r="AI30" i="99"/>
  <c r="AI28" i="99"/>
  <c r="AI40" i="99"/>
  <c r="AI47" i="99"/>
  <c r="AI83" i="99"/>
  <c r="AI61" i="99"/>
  <c r="AI73" i="99"/>
  <c r="AI81" i="99"/>
  <c r="AJ86" i="97"/>
  <c r="AJ90" i="97"/>
  <c r="AJ93" i="97"/>
  <c r="AJ96" i="97"/>
  <c r="AJ88" i="97"/>
  <c r="AJ91" i="97"/>
  <c r="AJ75" i="97"/>
  <c r="AJ67" i="97"/>
  <c r="AJ79" i="97"/>
  <c r="AJ89" i="97"/>
  <c r="AJ82" i="97"/>
  <c r="AJ73" i="97"/>
  <c r="AJ77" i="97"/>
  <c r="AJ68" i="97"/>
  <c r="AJ58" i="97"/>
  <c r="AJ97" i="97"/>
  <c r="AJ83" i="97"/>
  <c r="AJ69" i="97"/>
  <c r="AJ78" i="97"/>
  <c r="AJ74" i="97"/>
  <c r="AJ56" i="97"/>
  <c r="AJ45" i="97"/>
  <c r="AJ60" i="97"/>
  <c r="AJ48" i="97"/>
  <c r="AJ46" i="97"/>
  <c r="AJ71" i="97"/>
  <c r="AJ70" i="97"/>
  <c r="AJ81" i="97"/>
  <c r="AJ49" i="97"/>
  <c r="AJ38" i="97"/>
  <c r="AJ36" i="97"/>
  <c r="AJ72" i="97"/>
  <c r="AJ50" i="97"/>
  <c r="AJ41" i="97"/>
  <c r="AJ39" i="97"/>
  <c r="AJ62" i="97"/>
  <c r="AJ18" i="97"/>
  <c r="AJ8" i="97"/>
  <c r="AJ92" i="97" s="1"/>
  <c r="AJ35" i="97"/>
  <c r="AJ80" i="97"/>
  <c r="AJ66" i="97"/>
  <c r="AJ40" i="97"/>
  <c r="AJ30" i="97"/>
  <c r="AJ27" i="97"/>
  <c r="AJ25" i="97"/>
  <c r="AJ16" i="97"/>
  <c r="AJ37" i="97"/>
  <c r="AJ26" i="97"/>
  <c r="AJ28" i="97"/>
  <c r="AJ52" i="97"/>
  <c r="AJ17" i="97"/>
  <c r="AJ59" i="97"/>
  <c r="AJ33" i="97"/>
  <c r="AJ24" i="97"/>
  <c r="AJ11" i="97"/>
  <c r="AJ47" i="97"/>
  <c r="AJ22" i="97"/>
  <c r="AJ14" i="97"/>
  <c r="AJ13" i="97"/>
  <c r="AJ55" i="97"/>
  <c r="AJ19" i="97"/>
  <c r="AJ20" i="97"/>
  <c r="AJ34" i="97"/>
  <c r="AJ31" i="97"/>
  <c r="AJ12" i="97"/>
  <c r="AK7" i="97"/>
  <c r="AJ44" i="97"/>
  <c r="AJ42" i="97"/>
  <c r="AJ15" i="97"/>
  <c r="AJ51" i="97"/>
  <c r="AJ23" i="97"/>
  <c r="AI20" i="97"/>
  <c r="AI29" i="97"/>
  <c r="AI94" i="97"/>
  <c r="AI78" i="97"/>
  <c r="AI82" i="97"/>
  <c r="AI96" i="97"/>
  <c r="AI59" i="97"/>
  <c r="AI11" i="97"/>
  <c r="AI27" i="97"/>
  <c r="AI67" i="97"/>
  <c r="AI33" i="97"/>
  <c r="AI64" i="97"/>
  <c r="AI45" i="97"/>
  <c r="AI61" i="97"/>
  <c r="AI70" i="97"/>
  <c r="AI93" i="97"/>
  <c r="AI31" i="97"/>
  <c r="AI34" i="97"/>
  <c r="AI49" i="97"/>
  <c r="AI48" i="97"/>
  <c r="AI22" i="97"/>
  <c r="AI39" i="97"/>
  <c r="AI68" i="97"/>
  <c r="AI77" i="97"/>
  <c r="AI69" i="97"/>
  <c r="AI84" i="97"/>
  <c r="AI86" i="97"/>
  <c r="AI40" i="97"/>
  <c r="AI28" i="97"/>
  <c r="AI38" i="97"/>
  <c r="AI56" i="97"/>
  <c r="AI79" i="97"/>
  <c r="AI19" i="97"/>
  <c r="AI23" i="97"/>
  <c r="AI12" i="97"/>
  <c r="AI57" i="97"/>
  <c r="AI62" i="97"/>
  <c r="AI75" i="97"/>
  <c r="AI41" i="97"/>
  <c r="AI83" i="97"/>
  <c r="AI72" i="97"/>
  <c r="AI95" i="97"/>
  <c r="AI53" i="97"/>
  <c r="AI25" i="97"/>
  <c r="AI13" i="97"/>
  <c r="AI66" i="97"/>
  <c r="AI63" i="97"/>
  <c r="AI90" i="97"/>
  <c r="AI18" i="97"/>
  <c r="AI30" i="97"/>
  <c r="AI16" i="97"/>
  <c r="AI71" i="97"/>
  <c r="AI52" i="97"/>
  <c r="AI35" i="97"/>
  <c r="AI50" i="97"/>
  <c r="AI58" i="97"/>
  <c r="AI81" i="97"/>
  <c r="AI92" i="97"/>
  <c r="AI36" i="97"/>
  <c r="AI17" i="97"/>
  <c r="AI14" i="97"/>
  <c r="AI26" i="97"/>
  <c r="AI15" i="97"/>
  <c r="AI46" i="97"/>
  <c r="AI51" i="97"/>
  <c r="AI80" i="97"/>
  <c r="AI55" i="97"/>
  <c r="AI91" i="97"/>
  <c r="AK84" i="95"/>
  <c r="AK70" i="95"/>
  <c r="AK92" i="95"/>
  <c r="AK26" i="95"/>
  <c r="AK18" i="95"/>
  <c r="AK25" i="95"/>
  <c r="AK17" i="95"/>
  <c r="AK49" i="95"/>
  <c r="AK71" i="95"/>
  <c r="AK16" i="95"/>
  <c r="AK40" i="95"/>
  <c r="AK69" i="95"/>
  <c r="AK83" i="95"/>
  <c r="AK36" i="95"/>
  <c r="AK27" i="95"/>
  <c r="AK38" i="95"/>
  <c r="AK73" i="95"/>
  <c r="AK94" i="95"/>
  <c r="AK44" i="95"/>
  <c r="AK11" i="95"/>
  <c r="AK57" i="95"/>
  <c r="AK81" i="95"/>
  <c r="AK45" i="95"/>
  <c r="AK24" i="95"/>
  <c r="AK72" i="95"/>
  <c r="AK75" i="95"/>
  <c r="AK48" i="95"/>
  <c r="AK50" i="95"/>
  <c r="AK55" i="95"/>
  <c r="AK82" i="95"/>
  <c r="AK12" i="95"/>
  <c r="AK35" i="95"/>
  <c r="AK61" i="95"/>
  <c r="AK68" i="95"/>
  <c r="AK80" i="95"/>
  <c r="AL8" i="95"/>
  <c r="AL93" i="95" s="1"/>
  <c r="AM7" i="95"/>
  <c r="AK23" i="95"/>
  <c r="AK19" i="95"/>
  <c r="AK46" i="95"/>
  <c r="AK39" i="95"/>
  <c r="AK62" i="95"/>
  <c r="AK63" i="95"/>
  <c r="AK53" i="95"/>
  <c r="AK64" i="95"/>
  <c r="AK89" i="95"/>
  <c r="AK14" i="95"/>
  <c r="AK33" i="95"/>
  <c r="AK22" i="95"/>
  <c r="AK15" i="95"/>
  <c r="AK52" i="95"/>
  <c r="AK41" i="95"/>
  <c r="AK51" i="95"/>
  <c r="AK88" i="95"/>
  <c r="AK67" i="95"/>
  <c r="AK60" i="95"/>
  <c r="AK74" i="95"/>
  <c r="AK78" i="95"/>
  <c r="AK96" i="95"/>
  <c r="AK97" i="95"/>
  <c r="AK93" i="95"/>
  <c r="AK90" i="95"/>
  <c r="AK77" i="95"/>
  <c r="AK79" i="95"/>
  <c r="AK31" i="95"/>
  <c r="AK20" i="95"/>
  <c r="AK28" i="95"/>
  <c r="AK42" i="95"/>
  <c r="AK34" i="95"/>
  <c r="AK30" i="95"/>
  <c r="AK29" i="95"/>
  <c r="AK59" i="95"/>
  <c r="AK56" i="95"/>
  <c r="AK47" i="95"/>
  <c r="AK91" i="95"/>
  <c r="AK58" i="95"/>
  <c r="AK86" i="95"/>
  <c r="AK85" i="95"/>
  <c r="AK13" i="95"/>
  <c r="AK37" i="95"/>
  <c r="AK66" i="95"/>
  <c r="M16" i="2"/>
  <c r="AL31" i="95" l="1"/>
  <c r="AL20" i="95"/>
  <c r="AL14" i="95"/>
  <c r="AJ39" i="59"/>
  <c r="AJ55" i="59"/>
  <c r="AJ97" i="59"/>
  <c r="AJ27" i="59"/>
  <c r="AJ96" i="59"/>
  <c r="AJ11" i="59"/>
  <c r="AJ30" i="59"/>
  <c r="AJ74" i="59"/>
  <c r="AJ17" i="59"/>
  <c r="AJ59" i="59"/>
  <c r="AJ83" i="59"/>
  <c r="AJ64" i="59"/>
  <c r="AJ28" i="59"/>
  <c r="AJ57" i="59"/>
  <c r="AJ14" i="59"/>
  <c r="AJ23" i="59"/>
  <c r="AJ53" i="59"/>
  <c r="AJ47" i="59"/>
  <c r="AJ33" i="59"/>
  <c r="AJ49" i="59"/>
  <c r="AJ58" i="59"/>
  <c r="AJ68" i="59"/>
  <c r="AJ82" i="59"/>
  <c r="AJ88" i="59"/>
  <c r="AJ12" i="59"/>
  <c r="AJ35" i="59"/>
  <c r="AJ34" i="59"/>
  <c r="AJ72" i="59"/>
  <c r="AJ15" i="59"/>
  <c r="AJ63" i="59"/>
  <c r="AJ29" i="59"/>
  <c r="AJ70" i="59"/>
  <c r="AJ78" i="59"/>
  <c r="AJ81" i="59"/>
  <c r="AJ77" i="59"/>
  <c r="AJ93" i="59"/>
  <c r="AJ60" i="59"/>
  <c r="AJ19" i="59"/>
  <c r="AJ13" i="59"/>
  <c r="AJ22" i="59"/>
  <c r="AJ24" i="59"/>
  <c r="AJ67" i="59"/>
  <c r="AJ38" i="59"/>
  <c r="AJ66" i="59"/>
  <c r="AJ80" i="59"/>
  <c r="AJ62" i="59"/>
  <c r="AJ86" i="59"/>
  <c r="AJ42" i="59"/>
  <c r="AJ31" i="59"/>
  <c r="AJ44" i="59"/>
  <c r="AJ69" i="59"/>
  <c r="AJ61" i="59"/>
  <c r="AJ75" i="59"/>
  <c r="AJ94" i="59"/>
  <c r="AJ26" i="59"/>
  <c r="AJ40" i="59"/>
  <c r="AJ16" i="59"/>
  <c r="AJ18" i="59"/>
  <c r="AJ48" i="59"/>
  <c r="AJ36" i="59"/>
  <c r="AJ52" i="59"/>
  <c r="AJ73" i="59"/>
  <c r="AJ79" i="59"/>
  <c r="AJ91" i="59"/>
  <c r="AL44" i="95"/>
  <c r="AL86" i="95"/>
  <c r="AL7" i="59"/>
  <c r="AK8" i="59"/>
  <c r="AK95" i="59" s="1"/>
  <c r="AJ84" i="59"/>
  <c r="AJ85" i="59"/>
  <c r="AJ90" i="59"/>
  <c r="AJ95" i="59"/>
  <c r="AJ37" i="59"/>
  <c r="AJ50" i="59"/>
  <c r="AJ45" i="59"/>
  <c r="AJ46" i="59"/>
  <c r="AJ56" i="59"/>
  <c r="AJ71" i="59"/>
  <c r="AJ89" i="59"/>
  <c r="AJ13" i="113"/>
  <c r="AJ29" i="113"/>
  <c r="AJ22" i="113"/>
  <c r="AJ35" i="113"/>
  <c r="AJ46" i="113"/>
  <c r="AJ45" i="113"/>
  <c r="AJ66" i="113"/>
  <c r="AJ61" i="113"/>
  <c r="AJ78" i="113"/>
  <c r="AJ93" i="113"/>
  <c r="AK96" i="113"/>
  <c r="AK88" i="113"/>
  <c r="AK91" i="113"/>
  <c r="AK97" i="113"/>
  <c r="AK81" i="113"/>
  <c r="AK84" i="113"/>
  <c r="AK92" i="113"/>
  <c r="AK64" i="113"/>
  <c r="AK82" i="113"/>
  <c r="AK75" i="113"/>
  <c r="AK66" i="113"/>
  <c r="AK57" i="113"/>
  <c r="AK70" i="113"/>
  <c r="AK62" i="113"/>
  <c r="AK55" i="113"/>
  <c r="AK77" i="113"/>
  <c r="AK71" i="113"/>
  <c r="AK63" i="113"/>
  <c r="AK48" i="113"/>
  <c r="AK39" i="113"/>
  <c r="AK56" i="113"/>
  <c r="AK51" i="113"/>
  <c r="AK42" i="113"/>
  <c r="AK46" i="113"/>
  <c r="AK69" i="113"/>
  <c r="AK68" i="113"/>
  <c r="AK49" i="113"/>
  <c r="AK72" i="113"/>
  <c r="AK60" i="113"/>
  <c r="AK35" i="113"/>
  <c r="AK26" i="113"/>
  <c r="AK30" i="113"/>
  <c r="AK58" i="113"/>
  <c r="AK41" i="113"/>
  <c r="AK53" i="113"/>
  <c r="AK24" i="113"/>
  <c r="AK47" i="113"/>
  <c r="AK36" i="113"/>
  <c r="AK28" i="113"/>
  <c r="AK50" i="113"/>
  <c r="AK37" i="113"/>
  <c r="AK18" i="113"/>
  <c r="AK14" i="113"/>
  <c r="AK40" i="113"/>
  <c r="AK20" i="113"/>
  <c r="AK17" i="113"/>
  <c r="AK22" i="113"/>
  <c r="AK11" i="113"/>
  <c r="AL7" i="113"/>
  <c r="AK13" i="113"/>
  <c r="AK38" i="113"/>
  <c r="AK12" i="113"/>
  <c r="AK15" i="113"/>
  <c r="AK8" i="113"/>
  <c r="AK94" i="113" s="1"/>
  <c r="AK19" i="113"/>
  <c r="AJ70" i="113"/>
  <c r="AJ74" i="113"/>
  <c r="AJ90" i="113"/>
  <c r="AJ11" i="113"/>
  <c r="AJ72" i="113"/>
  <c r="AJ33" i="113"/>
  <c r="AJ44" i="113"/>
  <c r="AJ51" i="113"/>
  <c r="AJ64" i="113"/>
  <c r="AJ69" i="113"/>
  <c r="AJ77" i="113"/>
  <c r="AJ83" i="113"/>
  <c r="AJ86" i="113"/>
  <c r="AJ16" i="113"/>
  <c r="AJ17" i="113"/>
  <c r="AJ38" i="113"/>
  <c r="AJ31" i="113"/>
  <c r="AJ56" i="113"/>
  <c r="AJ50" i="113"/>
  <c r="AJ75" i="113"/>
  <c r="AJ79" i="113"/>
  <c r="AJ80" i="113"/>
  <c r="AJ95" i="113"/>
  <c r="AJ14" i="113"/>
  <c r="AJ47" i="113"/>
  <c r="AJ18" i="113"/>
  <c r="AJ20" i="113"/>
  <c r="AJ40" i="113"/>
  <c r="AJ30" i="113"/>
  <c r="AJ55" i="113"/>
  <c r="AJ84" i="113"/>
  <c r="AJ85" i="113"/>
  <c r="AJ94" i="113"/>
  <c r="AL90" i="111"/>
  <c r="AL96" i="111"/>
  <c r="AL94" i="111"/>
  <c r="AL80" i="111"/>
  <c r="AL86" i="111"/>
  <c r="AL74" i="111"/>
  <c r="AL77" i="111"/>
  <c r="AL46" i="111"/>
  <c r="AL37" i="111"/>
  <c r="AL60" i="111"/>
  <c r="AL84" i="111"/>
  <c r="AL70" i="111"/>
  <c r="AL71" i="111"/>
  <c r="AL61" i="111"/>
  <c r="AL91" i="111"/>
  <c r="AL52" i="111"/>
  <c r="AL62" i="111"/>
  <c r="AL69" i="111"/>
  <c r="AL59" i="111"/>
  <c r="AL35" i="111"/>
  <c r="AL72" i="111"/>
  <c r="AL40" i="111"/>
  <c r="AL53" i="111"/>
  <c r="AL75" i="111"/>
  <c r="AL51" i="111"/>
  <c r="AL57" i="111"/>
  <c r="AL41" i="111"/>
  <c r="AL20" i="111"/>
  <c r="AL47" i="111"/>
  <c r="AL33" i="111"/>
  <c r="AL22" i="111"/>
  <c r="AL34" i="111"/>
  <c r="AL38" i="111"/>
  <c r="AL24" i="111"/>
  <c r="AL15" i="111"/>
  <c r="AL13" i="111"/>
  <c r="AM7" i="111"/>
  <c r="AL45" i="111"/>
  <c r="AL18" i="111"/>
  <c r="AL8" i="111"/>
  <c r="AL93" i="111" s="1"/>
  <c r="AL11" i="111"/>
  <c r="AL25" i="111"/>
  <c r="AK23" i="111"/>
  <c r="AK55" i="111"/>
  <c r="AK52" i="111"/>
  <c r="AK63" i="111"/>
  <c r="AK70" i="111"/>
  <c r="AK91" i="111"/>
  <c r="AK35" i="111"/>
  <c r="AK66" i="111"/>
  <c r="AK97" i="111"/>
  <c r="AK75" i="111"/>
  <c r="AK84" i="111"/>
  <c r="AK93" i="111"/>
  <c r="AK13" i="111"/>
  <c r="AK18" i="111"/>
  <c r="AK40" i="111"/>
  <c r="AK68" i="111"/>
  <c r="AK38" i="111"/>
  <c r="AK46" i="111"/>
  <c r="AK79" i="111"/>
  <c r="AK92" i="111"/>
  <c r="AK71" i="111"/>
  <c r="AK90" i="111"/>
  <c r="AK44" i="111"/>
  <c r="AK27" i="111"/>
  <c r="AK25" i="111"/>
  <c r="AK34" i="111"/>
  <c r="AK24" i="111"/>
  <c r="AK58" i="111"/>
  <c r="AK72" i="111"/>
  <c r="AK82" i="111"/>
  <c r="AK42" i="111"/>
  <c r="AK80" i="111"/>
  <c r="AK86" i="111"/>
  <c r="AK19" i="111"/>
  <c r="AK30" i="111"/>
  <c r="AK29" i="111"/>
  <c r="AK12" i="111"/>
  <c r="AK33" i="111"/>
  <c r="AK48" i="111"/>
  <c r="AK61" i="111"/>
  <c r="AK78" i="111"/>
  <c r="AK51" i="111"/>
  <c r="AK77" i="111"/>
  <c r="AK95" i="111"/>
  <c r="AK39" i="111"/>
  <c r="AK47" i="111"/>
  <c r="AK74" i="111"/>
  <c r="AK50" i="111"/>
  <c r="AK57" i="111"/>
  <c r="AK62" i="111"/>
  <c r="AK81" i="111"/>
  <c r="AK60" i="111"/>
  <c r="AJ15" i="109"/>
  <c r="AJ45" i="109"/>
  <c r="AJ42" i="109"/>
  <c r="AJ29" i="109"/>
  <c r="AJ39" i="109"/>
  <c r="AJ48" i="109"/>
  <c r="AJ58" i="109"/>
  <c r="AJ71" i="109"/>
  <c r="AJ69" i="109"/>
  <c r="AJ88" i="109"/>
  <c r="AJ80" i="109"/>
  <c r="AJ14" i="109"/>
  <c r="AJ34" i="109"/>
  <c r="AJ44" i="109"/>
  <c r="AJ47" i="109"/>
  <c r="AJ55" i="109"/>
  <c r="AJ61" i="109"/>
  <c r="AJ75" i="109"/>
  <c r="AJ78" i="109"/>
  <c r="AJ96" i="109"/>
  <c r="AJ16" i="109"/>
  <c r="AJ49" i="109"/>
  <c r="AJ46" i="109"/>
  <c r="AJ19" i="109"/>
  <c r="AJ50" i="109"/>
  <c r="AJ62" i="109"/>
  <c r="AJ68" i="109"/>
  <c r="AJ91" i="109"/>
  <c r="AJ79" i="109"/>
  <c r="AJ93" i="109"/>
  <c r="AJ17" i="109"/>
  <c r="AJ11" i="109"/>
  <c r="AJ26" i="109"/>
  <c r="AJ28" i="109"/>
  <c r="AJ52" i="109"/>
  <c r="AJ72" i="109"/>
  <c r="AJ74" i="109"/>
  <c r="AJ63" i="109"/>
  <c r="AJ82" i="109"/>
  <c r="AJ90" i="109"/>
  <c r="AJ13" i="109"/>
  <c r="AJ31" i="109"/>
  <c r="AJ23" i="109"/>
  <c r="AJ40" i="109"/>
  <c r="AJ37" i="109"/>
  <c r="AJ18" i="109"/>
  <c r="AJ84" i="109"/>
  <c r="AJ66" i="109"/>
  <c r="AJ67" i="109"/>
  <c r="AJ89" i="109"/>
  <c r="AJ95" i="109"/>
  <c r="AJ12" i="109"/>
  <c r="AK95" i="109"/>
  <c r="AK93" i="109"/>
  <c r="AK81" i="109"/>
  <c r="AK83" i="109"/>
  <c r="AK85" i="109"/>
  <c r="AK66" i="109"/>
  <c r="AK80" i="109"/>
  <c r="AK51" i="109"/>
  <c r="AK50" i="109"/>
  <c r="AK30" i="109"/>
  <c r="AK25" i="109"/>
  <c r="AK45" i="109"/>
  <c r="AK70" i="109"/>
  <c r="AK59" i="109"/>
  <c r="AK73" i="109"/>
  <c r="AK36" i="109"/>
  <c r="AK49" i="109"/>
  <c r="AK18" i="109"/>
  <c r="AK11" i="109"/>
  <c r="AK12" i="109"/>
  <c r="AK8" i="109"/>
  <c r="AK96" i="109" s="1"/>
  <c r="AL7" i="109"/>
  <c r="AJ25" i="109"/>
  <c r="AJ59" i="109"/>
  <c r="AJ51" i="109"/>
  <c r="AJ27" i="109"/>
  <c r="AJ53" i="109"/>
  <c r="AJ85" i="109"/>
  <c r="AJ70" i="109"/>
  <c r="AJ83" i="109"/>
  <c r="AJ92" i="109"/>
  <c r="AJ38" i="109"/>
  <c r="AJ77" i="109"/>
  <c r="AJ22" i="109"/>
  <c r="AJ36" i="109"/>
  <c r="AJ86" i="109"/>
  <c r="AJ57" i="109"/>
  <c r="AJ73" i="109"/>
  <c r="AK69" i="107"/>
  <c r="AK85" i="107"/>
  <c r="AK90" i="107"/>
  <c r="AL88" i="107"/>
  <c r="AL91" i="107"/>
  <c r="AL81" i="107"/>
  <c r="AL83" i="107"/>
  <c r="AL72" i="107"/>
  <c r="AL67" i="107"/>
  <c r="AL40" i="107"/>
  <c r="AL31" i="107"/>
  <c r="AL66" i="107"/>
  <c r="AL62" i="107"/>
  <c r="AL48" i="107"/>
  <c r="AL38" i="107"/>
  <c r="AL22" i="107"/>
  <c r="AL79" i="107"/>
  <c r="AL50" i="107"/>
  <c r="AL39" i="107"/>
  <c r="AL24" i="107"/>
  <c r="AL14" i="107"/>
  <c r="AM7" i="107"/>
  <c r="AL8" i="107"/>
  <c r="AL94" i="107" s="1"/>
  <c r="AL59" i="107"/>
  <c r="AL13" i="107"/>
  <c r="AL77" i="107"/>
  <c r="AK16" i="107"/>
  <c r="AK14" i="107"/>
  <c r="AK47" i="107"/>
  <c r="AK36" i="107"/>
  <c r="AK48" i="107"/>
  <c r="AK66" i="107"/>
  <c r="AK31" i="107"/>
  <c r="AK46" i="107"/>
  <c r="AK73" i="107"/>
  <c r="AK97" i="107"/>
  <c r="AK95" i="107"/>
  <c r="AK29" i="107"/>
  <c r="AK24" i="107"/>
  <c r="AK19" i="107"/>
  <c r="AK39" i="107"/>
  <c r="AK58" i="107"/>
  <c r="AK74" i="107"/>
  <c r="AK40" i="107"/>
  <c r="AK59" i="107"/>
  <c r="AK80" i="107"/>
  <c r="AK94" i="107"/>
  <c r="AK11" i="107"/>
  <c r="AK30" i="107"/>
  <c r="AK44" i="107"/>
  <c r="AK72" i="107"/>
  <c r="AK60" i="107"/>
  <c r="AK49" i="107"/>
  <c r="AK81" i="107"/>
  <c r="AK67" i="107"/>
  <c r="AK11" i="105"/>
  <c r="AK40" i="105"/>
  <c r="AK39" i="105"/>
  <c r="AK71" i="105"/>
  <c r="AK61" i="105"/>
  <c r="AK69" i="105"/>
  <c r="AK77" i="105"/>
  <c r="AK93" i="105"/>
  <c r="AK12" i="105"/>
  <c r="AK51" i="105"/>
  <c r="AK19" i="105"/>
  <c r="AK27" i="105"/>
  <c r="AK48" i="105"/>
  <c r="AK59" i="105"/>
  <c r="AK70" i="105"/>
  <c r="AK74" i="105"/>
  <c r="AK85" i="105"/>
  <c r="AK90" i="105"/>
  <c r="AK22" i="105"/>
  <c r="AK25" i="105"/>
  <c r="AL90" i="105"/>
  <c r="AL88" i="105"/>
  <c r="AL85" i="105"/>
  <c r="AL95" i="105"/>
  <c r="AL80" i="105"/>
  <c r="AL75" i="105"/>
  <c r="AL63" i="105"/>
  <c r="AL83" i="105"/>
  <c r="AL64" i="105"/>
  <c r="AL79" i="105"/>
  <c r="AL72" i="105"/>
  <c r="AL74" i="105"/>
  <c r="AL55" i="105"/>
  <c r="AL45" i="105"/>
  <c r="AL61" i="105"/>
  <c r="AL51" i="105"/>
  <c r="AL42" i="105"/>
  <c r="AL33" i="105"/>
  <c r="AL30" i="105"/>
  <c r="AL60" i="105"/>
  <c r="AL11" i="105"/>
  <c r="AL41" i="105"/>
  <c r="AL35" i="105"/>
  <c r="AL14" i="105"/>
  <c r="AM7" i="105"/>
  <c r="AL47" i="105"/>
  <c r="AL17" i="105"/>
  <c r="AL25" i="105"/>
  <c r="AL44" i="105"/>
  <c r="AL8" i="105"/>
  <c r="AL91" i="105" s="1"/>
  <c r="AL29" i="105"/>
  <c r="AL22" i="105"/>
  <c r="AL27" i="105"/>
  <c r="AL24" i="105"/>
  <c r="AL16" i="105"/>
  <c r="AL13" i="105"/>
  <c r="AL28" i="105"/>
  <c r="AK16" i="105"/>
  <c r="AK47" i="105"/>
  <c r="AK36" i="105"/>
  <c r="AK68" i="105"/>
  <c r="AK67" i="105"/>
  <c r="AK72" i="105"/>
  <c r="AK73" i="105"/>
  <c r="AK86" i="105"/>
  <c r="AK49" i="105"/>
  <c r="AK14" i="105"/>
  <c r="AK30" i="105"/>
  <c r="AK29" i="105"/>
  <c r="AK45" i="105"/>
  <c r="AK79" i="105"/>
  <c r="AK75" i="105"/>
  <c r="AK81" i="105"/>
  <c r="AK82" i="105"/>
  <c r="AK95" i="105"/>
  <c r="AK13" i="105"/>
  <c r="AK18" i="105"/>
  <c r="AK23" i="105"/>
  <c r="AK80" i="105"/>
  <c r="AK35" i="105"/>
  <c r="AK50" i="105"/>
  <c r="AK66" i="105"/>
  <c r="AK55" i="105"/>
  <c r="AK78" i="105"/>
  <c r="AK94" i="105"/>
  <c r="AK20" i="105"/>
  <c r="AK38" i="105"/>
  <c r="AK33" i="105"/>
  <c r="AK31" i="105"/>
  <c r="AK41" i="105"/>
  <c r="AK57" i="105"/>
  <c r="AK56" i="105"/>
  <c r="AK63" i="105"/>
  <c r="AK89" i="105"/>
  <c r="AK91" i="105"/>
  <c r="AK58" i="105"/>
  <c r="AK15" i="105"/>
  <c r="AK42" i="105"/>
  <c r="AK37" i="105"/>
  <c r="AK44" i="105"/>
  <c r="AK53" i="105"/>
  <c r="AK64" i="105"/>
  <c r="AK84" i="105"/>
  <c r="AK83" i="105"/>
  <c r="AK24" i="103"/>
  <c r="AK42" i="103"/>
  <c r="AK34" i="103"/>
  <c r="AK38" i="103"/>
  <c r="AK51" i="103"/>
  <c r="AK50" i="103"/>
  <c r="AK68" i="103"/>
  <c r="AK77" i="103"/>
  <c r="AK92" i="103"/>
  <c r="AK91" i="103"/>
  <c r="AK49" i="103"/>
  <c r="AK15" i="103"/>
  <c r="AK27" i="103"/>
  <c r="AK47" i="103"/>
  <c r="AK58" i="103"/>
  <c r="AK59" i="103"/>
  <c r="AK70" i="103"/>
  <c r="AK79" i="103"/>
  <c r="AK78" i="103"/>
  <c r="AK88" i="103"/>
  <c r="AK16" i="103"/>
  <c r="AK22" i="103"/>
  <c r="AK55" i="103"/>
  <c r="AK37" i="103"/>
  <c r="AK39" i="103"/>
  <c r="AK62" i="103"/>
  <c r="AK73" i="103"/>
  <c r="AK57" i="103"/>
  <c r="AK83" i="103"/>
  <c r="AK96" i="103"/>
  <c r="AK17" i="103"/>
  <c r="AK19" i="103"/>
  <c r="AK35" i="103"/>
  <c r="AK29" i="103"/>
  <c r="AK52" i="103"/>
  <c r="AK61" i="103"/>
  <c r="AK56" i="103"/>
  <c r="AK75" i="103"/>
  <c r="AK74" i="103"/>
  <c r="AK86" i="103"/>
  <c r="AK90" i="103"/>
  <c r="AL91" i="103"/>
  <c r="AL94" i="103"/>
  <c r="AL97" i="103"/>
  <c r="AL95" i="103"/>
  <c r="AL79" i="103"/>
  <c r="AL82" i="103"/>
  <c r="AL85" i="103"/>
  <c r="AL75" i="103"/>
  <c r="AL67" i="103"/>
  <c r="AL73" i="103"/>
  <c r="AL57" i="103"/>
  <c r="AL66" i="103"/>
  <c r="AL61" i="103"/>
  <c r="AL48" i="103"/>
  <c r="AL58" i="103"/>
  <c r="AL52" i="103"/>
  <c r="AL40" i="103"/>
  <c r="AL62" i="103"/>
  <c r="AL31" i="103"/>
  <c r="AL36" i="103"/>
  <c r="AL26" i="103"/>
  <c r="AL44" i="103"/>
  <c r="AL34" i="103"/>
  <c r="AL22" i="103"/>
  <c r="AL35" i="103"/>
  <c r="AL25" i="103"/>
  <c r="AL8" i="103"/>
  <c r="AL89" i="103" s="1"/>
  <c r="AL19" i="103"/>
  <c r="AL13" i="103"/>
  <c r="AL50" i="103"/>
  <c r="AL27" i="103"/>
  <c r="AL23" i="103"/>
  <c r="AL38" i="103"/>
  <c r="AL28" i="103"/>
  <c r="AL17" i="103"/>
  <c r="AL14" i="103"/>
  <c r="AM7" i="103"/>
  <c r="AL29" i="103"/>
  <c r="AL12" i="103"/>
  <c r="AK18" i="103"/>
  <c r="AK31" i="103"/>
  <c r="AK44" i="103"/>
  <c r="AK53" i="103"/>
  <c r="AK64" i="103"/>
  <c r="AK63" i="103"/>
  <c r="AK84" i="103"/>
  <c r="AK91" i="101"/>
  <c r="AK78" i="101"/>
  <c r="AK59" i="101"/>
  <c r="AK48" i="101"/>
  <c r="AK58" i="101"/>
  <c r="AK37" i="101"/>
  <c r="AK70" i="101"/>
  <c r="AK80" i="101"/>
  <c r="AK64" i="101"/>
  <c r="AK40" i="101"/>
  <c r="AK33" i="101"/>
  <c r="AK35" i="101"/>
  <c r="AK27" i="101"/>
  <c r="AK44" i="101"/>
  <c r="AK50" i="101"/>
  <c r="AK25" i="101"/>
  <c r="AK24" i="101"/>
  <c r="AK34" i="101"/>
  <c r="AK26" i="101"/>
  <c r="AK8" i="101"/>
  <c r="AK95" i="101" s="1"/>
  <c r="AK13" i="101"/>
  <c r="AK30" i="101"/>
  <c r="AK16" i="101"/>
  <c r="AK11" i="101"/>
  <c r="AK19" i="101"/>
  <c r="AL7" i="101"/>
  <c r="AK23" i="101"/>
  <c r="AK22" i="101"/>
  <c r="AJ95" i="101"/>
  <c r="AJ38" i="101"/>
  <c r="AJ41" i="101"/>
  <c r="AJ26" i="101"/>
  <c r="AJ58" i="101"/>
  <c r="AJ69" i="101"/>
  <c r="AJ71" i="101"/>
  <c r="AJ94" i="101"/>
  <c r="AJ88" i="101"/>
  <c r="AJ25" i="101"/>
  <c r="AJ22" i="101"/>
  <c r="AJ47" i="101"/>
  <c r="AJ37" i="101"/>
  <c r="AJ42" i="101"/>
  <c r="AJ79" i="101"/>
  <c r="AJ56" i="101"/>
  <c r="AJ81" i="101"/>
  <c r="AJ79" i="99"/>
  <c r="AJ93" i="99"/>
  <c r="AJ15" i="99"/>
  <c r="AJ48" i="99"/>
  <c r="AJ27" i="99"/>
  <c r="AJ42" i="99"/>
  <c r="AJ62" i="99"/>
  <c r="AJ66" i="99"/>
  <c r="AJ64" i="99"/>
  <c r="AJ84" i="99"/>
  <c r="AJ95" i="99"/>
  <c r="AJ16" i="99"/>
  <c r="AJ33" i="99"/>
  <c r="AJ25" i="99"/>
  <c r="AJ28" i="99"/>
  <c r="AJ36" i="99"/>
  <c r="AJ58" i="99"/>
  <c r="AJ59" i="99"/>
  <c r="AJ74" i="99"/>
  <c r="AJ73" i="99"/>
  <c r="AJ94" i="99"/>
  <c r="AJ92" i="99"/>
  <c r="AK95" i="99"/>
  <c r="AK90" i="99"/>
  <c r="AK94" i="99"/>
  <c r="AK97" i="99"/>
  <c r="AK79" i="99"/>
  <c r="AK77" i="99"/>
  <c r="AK68" i="99"/>
  <c r="AK80" i="99"/>
  <c r="AK78" i="99"/>
  <c r="AK69" i="99"/>
  <c r="AK59" i="99"/>
  <c r="AK72" i="99"/>
  <c r="AK55" i="99"/>
  <c r="AK42" i="99"/>
  <c r="AK51" i="99"/>
  <c r="AK48" i="99"/>
  <c r="AK75" i="99"/>
  <c r="AK52" i="99"/>
  <c r="AK45" i="99"/>
  <c r="AK22" i="99"/>
  <c r="AK84" i="99"/>
  <c r="AK38" i="99"/>
  <c r="AK34" i="99"/>
  <c r="AK24" i="99"/>
  <c r="AK18" i="99"/>
  <c r="AK8" i="99"/>
  <c r="AK93" i="99" s="1"/>
  <c r="AK20" i="99"/>
  <c r="AK28" i="99"/>
  <c r="AK14" i="99"/>
  <c r="AL7" i="99"/>
  <c r="AK37" i="99"/>
  <c r="AK19" i="99"/>
  <c r="AK27" i="99"/>
  <c r="AK17" i="99"/>
  <c r="AK11" i="99"/>
  <c r="AJ13" i="99"/>
  <c r="AJ12" i="99"/>
  <c r="AJ35" i="99"/>
  <c r="AJ41" i="99"/>
  <c r="AJ39" i="99"/>
  <c r="AJ63" i="99"/>
  <c r="AJ83" i="99"/>
  <c r="AJ82" i="99"/>
  <c r="AJ91" i="99"/>
  <c r="AJ51" i="99"/>
  <c r="AJ44" i="99"/>
  <c r="AJ61" i="99"/>
  <c r="AJ49" i="99"/>
  <c r="AJ69" i="99"/>
  <c r="AJ97" i="99"/>
  <c r="AJ89" i="99"/>
  <c r="AK88" i="97"/>
  <c r="AK91" i="97"/>
  <c r="AK94" i="97"/>
  <c r="AK85" i="97"/>
  <c r="AK77" i="97"/>
  <c r="AK68" i="97"/>
  <c r="AK69" i="97"/>
  <c r="AK63" i="97"/>
  <c r="AK61" i="97"/>
  <c r="AK84" i="97"/>
  <c r="AK60" i="97"/>
  <c r="AK48" i="97"/>
  <c r="AK67" i="97"/>
  <c r="AK55" i="97"/>
  <c r="AK44" i="97"/>
  <c r="AK39" i="97"/>
  <c r="AK45" i="97"/>
  <c r="AK53" i="97"/>
  <c r="AK27" i="97"/>
  <c r="AK25" i="97"/>
  <c r="AK57" i="97"/>
  <c r="AK64" i="97"/>
  <c r="AK29" i="97"/>
  <c r="AK28" i="97"/>
  <c r="AK8" i="97"/>
  <c r="AK95" i="97" s="1"/>
  <c r="AK34" i="97"/>
  <c r="AK31" i="97"/>
  <c r="AK23" i="97"/>
  <c r="AK12" i="97"/>
  <c r="AL7" i="97"/>
  <c r="AK37" i="97"/>
  <c r="AK26" i="97"/>
  <c r="AK17" i="97"/>
  <c r="AJ53" i="97"/>
  <c r="AJ61" i="97"/>
  <c r="AJ85" i="97"/>
  <c r="AJ84" i="97"/>
  <c r="AJ95" i="97"/>
  <c r="AJ29" i="97"/>
  <c r="AJ57" i="97"/>
  <c r="AJ63" i="97"/>
  <c r="AJ64" i="97"/>
  <c r="AJ94" i="97"/>
  <c r="AL30" i="95"/>
  <c r="AL62" i="95"/>
  <c r="AL61" i="95"/>
  <c r="AL66" i="95"/>
  <c r="AL55" i="95"/>
  <c r="AL27" i="95"/>
  <c r="AL63" i="95"/>
  <c r="AL36" i="95"/>
  <c r="AL34" i="95"/>
  <c r="AL41" i="95"/>
  <c r="AL78" i="95"/>
  <c r="AL68" i="95"/>
  <c r="AL12" i="95"/>
  <c r="AL50" i="95"/>
  <c r="AL11" i="95"/>
  <c r="AL45" i="95"/>
  <c r="AL88" i="95"/>
  <c r="AL60" i="95"/>
  <c r="AL28" i="95"/>
  <c r="AL77" i="95"/>
  <c r="AL80" i="95"/>
  <c r="AL95" i="95"/>
  <c r="AL96" i="95"/>
  <c r="AL90" i="95"/>
  <c r="AL17" i="95"/>
  <c r="AL82" i="95"/>
  <c r="AL37" i="95"/>
  <c r="AL46" i="95"/>
  <c r="AL19" i="95"/>
  <c r="AL38" i="95"/>
  <c r="AL52" i="95"/>
  <c r="AL33" i="95"/>
  <c r="AL25" i="95"/>
  <c r="AL26" i="95"/>
  <c r="AL53" i="95"/>
  <c r="AL64" i="95"/>
  <c r="AL29" i="95"/>
  <c r="AL59" i="95"/>
  <c r="AL42" i="95"/>
  <c r="AL74" i="95"/>
  <c r="AL39" i="95"/>
  <c r="AL57" i="95"/>
  <c r="AL85" i="95"/>
  <c r="AL94" i="95"/>
  <c r="AL47" i="95"/>
  <c r="AL81" i="95"/>
  <c r="AL56" i="95"/>
  <c r="AL71" i="95"/>
  <c r="AL70" i="95"/>
  <c r="AL89" i="95"/>
  <c r="AL69" i="95"/>
  <c r="AL91" i="95"/>
  <c r="AL13" i="95"/>
  <c r="AL16" i="95"/>
  <c r="AL48" i="95"/>
  <c r="AL35" i="95"/>
  <c r="AL58" i="95"/>
  <c r="AL51" i="95"/>
  <c r="AL72" i="95"/>
  <c r="AL97" i="95"/>
  <c r="AL75" i="95"/>
  <c r="AL84" i="95"/>
  <c r="AL18" i="95"/>
  <c r="AM8" i="95"/>
  <c r="AM93" i="95" s="1"/>
  <c r="AN7" i="95"/>
  <c r="AL24" i="95"/>
  <c r="AL22" i="95"/>
  <c r="AL15" i="95"/>
  <c r="AL23" i="95"/>
  <c r="AL49" i="95"/>
  <c r="AL40" i="95"/>
  <c r="AL67" i="95"/>
  <c r="AL79" i="95"/>
  <c r="AL73" i="95"/>
  <c r="AL83" i="95"/>
  <c r="AL92" i="95"/>
  <c r="AM23" i="95" l="1"/>
  <c r="AM83" i="95"/>
  <c r="AK12" i="59"/>
  <c r="AK84" i="59"/>
  <c r="AK40" i="59"/>
  <c r="AK74" i="59"/>
  <c r="AK60" i="59"/>
  <c r="AK26" i="59"/>
  <c r="AK79" i="59"/>
  <c r="AK37" i="59"/>
  <c r="AK91" i="59"/>
  <c r="AK28" i="59"/>
  <c r="AK41" i="59"/>
  <c r="AM16" i="95"/>
  <c r="AM27" i="95"/>
  <c r="AM67" i="95"/>
  <c r="AK11" i="59"/>
  <c r="AK17" i="59"/>
  <c r="AK18" i="59"/>
  <c r="AK33" i="59"/>
  <c r="AK71" i="59"/>
  <c r="AK75" i="59"/>
  <c r="AK58" i="59"/>
  <c r="AK66" i="59"/>
  <c r="AK94" i="59"/>
  <c r="AK27" i="59"/>
  <c r="AK35" i="59"/>
  <c r="AK53" i="59"/>
  <c r="AK45" i="59"/>
  <c r="AK44" i="59"/>
  <c r="AK62" i="59"/>
  <c r="AK73" i="59"/>
  <c r="AK82" i="59"/>
  <c r="AK88" i="59"/>
  <c r="AL66" i="59"/>
  <c r="AL52" i="59"/>
  <c r="AL11" i="59"/>
  <c r="AM7" i="59"/>
  <c r="AL8" i="59"/>
  <c r="AL97" i="59" s="1"/>
  <c r="AK23" i="59"/>
  <c r="AK16" i="59"/>
  <c r="AK42" i="59"/>
  <c r="AK59" i="59"/>
  <c r="AK61" i="59"/>
  <c r="AK63" i="59"/>
  <c r="AK77" i="59"/>
  <c r="AK85" i="59"/>
  <c r="AK96" i="59"/>
  <c r="AK14" i="59"/>
  <c r="AK29" i="59"/>
  <c r="AK25" i="59"/>
  <c r="AK30" i="59"/>
  <c r="AK64" i="59"/>
  <c r="AK49" i="59"/>
  <c r="AK67" i="59"/>
  <c r="AK69" i="59"/>
  <c r="AK92" i="59"/>
  <c r="AK93" i="59"/>
  <c r="AK24" i="59"/>
  <c r="AK19" i="59"/>
  <c r="AK34" i="59"/>
  <c r="AK39" i="59"/>
  <c r="AK47" i="59"/>
  <c r="AK51" i="59"/>
  <c r="AK70" i="59"/>
  <c r="AK72" i="59"/>
  <c r="AK80" i="59"/>
  <c r="AK90" i="59"/>
  <c r="AK20" i="59"/>
  <c r="AK31" i="59"/>
  <c r="AK13" i="59"/>
  <c r="AK57" i="59"/>
  <c r="AK52" i="59"/>
  <c r="AK55" i="59"/>
  <c r="AK46" i="59"/>
  <c r="AK83" i="59"/>
  <c r="AK78" i="59"/>
  <c r="AK89" i="59"/>
  <c r="AK86" i="59"/>
  <c r="AK15" i="59"/>
  <c r="AK48" i="59"/>
  <c r="AK38" i="59"/>
  <c r="AK22" i="59"/>
  <c r="AK36" i="59"/>
  <c r="AK56" i="59"/>
  <c r="AK68" i="59"/>
  <c r="AK81" i="59"/>
  <c r="AK50" i="59"/>
  <c r="AK97" i="59"/>
  <c r="AK93" i="113"/>
  <c r="AL51" i="113"/>
  <c r="AL52" i="113"/>
  <c r="AM7" i="113"/>
  <c r="AL8" i="113"/>
  <c r="AL89" i="113" s="1"/>
  <c r="AK78" i="113"/>
  <c r="AK90" i="113"/>
  <c r="AK85" i="113"/>
  <c r="AK73" i="113"/>
  <c r="AK74" i="113"/>
  <c r="AK86" i="113"/>
  <c r="AK16" i="113"/>
  <c r="AK23" i="113"/>
  <c r="AK33" i="113"/>
  <c r="AK31" i="113"/>
  <c r="AK44" i="113"/>
  <c r="AK25" i="113"/>
  <c r="AK59" i="113"/>
  <c r="AK61" i="113"/>
  <c r="AK80" i="113"/>
  <c r="AK83" i="113"/>
  <c r="AK95" i="113"/>
  <c r="AK27" i="113"/>
  <c r="AK29" i="113"/>
  <c r="AK45" i="113"/>
  <c r="AK52" i="113"/>
  <c r="AK34" i="113"/>
  <c r="AK67" i="113"/>
  <c r="AK79" i="113"/>
  <c r="AK89" i="113"/>
  <c r="AL30" i="111"/>
  <c r="AL92" i="111"/>
  <c r="AL29" i="111"/>
  <c r="AL95" i="111"/>
  <c r="AL39" i="111"/>
  <c r="AL56" i="111"/>
  <c r="AL79" i="111"/>
  <c r="AL55" i="111"/>
  <c r="AL89" i="111"/>
  <c r="AL31" i="111"/>
  <c r="AL67" i="111"/>
  <c r="AL17" i="111"/>
  <c r="AL36" i="111"/>
  <c r="AL50" i="111"/>
  <c r="AL42" i="111"/>
  <c r="AL73" i="111"/>
  <c r="AL82" i="111"/>
  <c r="AL63" i="111"/>
  <c r="AL97" i="111"/>
  <c r="AL16" i="111"/>
  <c r="AL12" i="111"/>
  <c r="AL23" i="111"/>
  <c r="AL48" i="111"/>
  <c r="AL49" i="111"/>
  <c r="AL66" i="111"/>
  <c r="AL58" i="111"/>
  <c r="AL85" i="111"/>
  <c r="AL81" i="111"/>
  <c r="AL88" i="111"/>
  <c r="AL14" i="111"/>
  <c r="AL19" i="111"/>
  <c r="AL28" i="111"/>
  <c r="AL27" i="111"/>
  <c r="AL26" i="111"/>
  <c r="AL44" i="111"/>
  <c r="AL68" i="111"/>
  <c r="AL64" i="111"/>
  <c r="AL78" i="111"/>
  <c r="AL83" i="111"/>
  <c r="AM93" i="111"/>
  <c r="AM89" i="111"/>
  <c r="AM86" i="111"/>
  <c r="AM58" i="111"/>
  <c r="AM85" i="111"/>
  <c r="AM70" i="111"/>
  <c r="AM71" i="111"/>
  <c r="AM62" i="111"/>
  <c r="AM74" i="111"/>
  <c r="AM75" i="111"/>
  <c r="AM48" i="111"/>
  <c r="AM73" i="111"/>
  <c r="AM44" i="111"/>
  <c r="AM24" i="111"/>
  <c r="AM30" i="111"/>
  <c r="AM25" i="111"/>
  <c r="AM34" i="111"/>
  <c r="AM8" i="111"/>
  <c r="AM96" i="111" s="1"/>
  <c r="AM26" i="111"/>
  <c r="AM59" i="111"/>
  <c r="AM31" i="111"/>
  <c r="AN7" i="111"/>
  <c r="AM11" i="111"/>
  <c r="AM19" i="111"/>
  <c r="AM13" i="111"/>
  <c r="AK20" i="109"/>
  <c r="AK33" i="109"/>
  <c r="AK37" i="109"/>
  <c r="AK35" i="109"/>
  <c r="AK48" i="109"/>
  <c r="AK39" i="109"/>
  <c r="AK57" i="109"/>
  <c r="AK79" i="109"/>
  <c r="AK63" i="109"/>
  <c r="AK90" i="109"/>
  <c r="AK24" i="109"/>
  <c r="AK13" i="109"/>
  <c r="AK27" i="109"/>
  <c r="AK69" i="109"/>
  <c r="AK62" i="109"/>
  <c r="AK16" i="109"/>
  <c r="AK47" i="109"/>
  <c r="AK61" i="109"/>
  <c r="AK82" i="109"/>
  <c r="AK72" i="109"/>
  <c r="AK86" i="109"/>
  <c r="AL93" i="109"/>
  <c r="AL89" i="109"/>
  <c r="AL36" i="109"/>
  <c r="AM7" i="109"/>
  <c r="AL8" i="109"/>
  <c r="AL88" i="109" s="1"/>
  <c r="AK44" i="109"/>
  <c r="AK15" i="109"/>
  <c r="AK29" i="109"/>
  <c r="AK46" i="109"/>
  <c r="AK14" i="109"/>
  <c r="AK34" i="109"/>
  <c r="AK52" i="109"/>
  <c r="AK77" i="109"/>
  <c r="AK60" i="109"/>
  <c r="AK88" i="109"/>
  <c r="AK28" i="109"/>
  <c r="AK38" i="109"/>
  <c r="AK55" i="109"/>
  <c r="AK23" i="109"/>
  <c r="AK42" i="109"/>
  <c r="AK53" i="109"/>
  <c r="AK94" i="109"/>
  <c r="AK78" i="109"/>
  <c r="AK92" i="109"/>
  <c r="AK68" i="109"/>
  <c r="AK19" i="109"/>
  <c r="AK41" i="109"/>
  <c r="AK58" i="109"/>
  <c r="AK31" i="109"/>
  <c r="AK64" i="109"/>
  <c r="AK74" i="109"/>
  <c r="AK67" i="109"/>
  <c r="AK89" i="109"/>
  <c r="AK91" i="109"/>
  <c r="AK71" i="109"/>
  <c r="AK17" i="109"/>
  <c r="AK26" i="109"/>
  <c r="AK56" i="109"/>
  <c r="AK40" i="109"/>
  <c r="AK22" i="109"/>
  <c r="AK84" i="109"/>
  <c r="AK97" i="109"/>
  <c r="AK75" i="109"/>
  <c r="AL53" i="107"/>
  <c r="AL19" i="107"/>
  <c r="AL52" i="107"/>
  <c r="AL58" i="107"/>
  <c r="AL74" i="107"/>
  <c r="AL49" i="107"/>
  <c r="AL82" i="107"/>
  <c r="AL80" i="107"/>
  <c r="AL96" i="107"/>
  <c r="AL12" i="107"/>
  <c r="AL17" i="107"/>
  <c r="AL51" i="107"/>
  <c r="AL28" i="107"/>
  <c r="AL73" i="107"/>
  <c r="AL37" i="107"/>
  <c r="AL35" i="107"/>
  <c r="AL56" i="107"/>
  <c r="AL85" i="107"/>
  <c r="AL86" i="107"/>
  <c r="AL93" i="107"/>
  <c r="AL15" i="107"/>
  <c r="AL27" i="107"/>
  <c r="AL11" i="107"/>
  <c r="AL33" i="107"/>
  <c r="AL36" i="107"/>
  <c r="AL41" i="107"/>
  <c r="AL44" i="107"/>
  <c r="AL69" i="107"/>
  <c r="AL84" i="107"/>
  <c r="AL92" i="107"/>
  <c r="AL90" i="107"/>
  <c r="AL18" i="107"/>
  <c r="AL57" i="107"/>
  <c r="AL20" i="107"/>
  <c r="AL16" i="107"/>
  <c r="AL30" i="107"/>
  <c r="AL71" i="107"/>
  <c r="AL64" i="107"/>
  <c r="AL55" i="107"/>
  <c r="AL61" i="107"/>
  <c r="AL89" i="107"/>
  <c r="AL42" i="107"/>
  <c r="AL26" i="107"/>
  <c r="AL23" i="107"/>
  <c r="AL25" i="107"/>
  <c r="AL46" i="107"/>
  <c r="AL78" i="107"/>
  <c r="AL68" i="107"/>
  <c r="AL60" i="107"/>
  <c r="AL70" i="107"/>
  <c r="AL97" i="107"/>
  <c r="AM91" i="107"/>
  <c r="AM83" i="107"/>
  <c r="AM79" i="107"/>
  <c r="AM58" i="107"/>
  <c r="AM47" i="107"/>
  <c r="AM46" i="107"/>
  <c r="AM25" i="107"/>
  <c r="AM23" i="107"/>
  <c r="AN7" i="107"/>
  <c r="AM16" i="107"/>
  <c r="AM49" i="107"/>
  <c r="AM8" i="107"/>
  <c r="AM97" i="107" s="1"/>
  <c r="AL29" i="107"/>
  <c r="AL45" i="107"/>
  <c r="AL34" i="107"/>
  <c r="AL47" i="107"/>
  <c r="AL95" i="107"/>
  <c r="AL63" i="107"/>
  <c r="AL75" i="107"/>
  <c r="AL96" i="105"/>
  <c r="AL15" i="105"/>
  <c r="AL26" i="105"/>
  <c r="AL31" i="105"/>
  <c r="AL46" i="105"/>
  <c r="AL36" i="105"/>
  <c r="AL52" i="105"/>
  <c r="AL57" i="105"/>
  <c r="AL56" i="105"/>
  <c r="AL82" i="105"/>
  <c r="AL77" i="105"/>
  <c r="AL93" i="105"/>
  <c r="AL12" i="105"/>
  <c r="AL19" i="105"/>
  <c r="AL38" i="105"/>
  <c r="AL69" i="105"/>
  <c r="AL53" i="105"/>
  <c r="AL92" i="105"/>
  <c r="AL84" i="105"/>
  <c r="AL89" i="105"/>
  <c r="AL34" i="105"/>
  <c r="AL18" i="105"/>
  <c r="AM96" i="105"/>
  <c r="AM80" i="105"/>
  <c r="AM82" i="105"/>
  <c r="AM78" i="105"/>
  <c r="AM52" i="105"/>
  <c r="AM51" i="105"/>
  <c r="AM27" i="105"/>
  <c r="AM14" i="105"/>
  <c r="AN7" i="105"/>
  <c r="AM45" i="105"/>
  <c r="AM13" i="105"/>
  <c r="AM8" i="105"/>
  <c r="AM88" i="105" s="1"/>
  <c r="AM16" i="105"/>
  <c r="AL40" i="105"/>
  <c r="AL73" i="105"/>
  <c r="AL39" i="105"/>
  <c r="AL62" i="105"/>
  <c r="AL70" i="105"/>
  <c r="AL81" i="105"/>
  <c r="AL97" i="105"/>
  <c r="AL50" i="105"/>
  <c r="AL49" i="105"/>
  <c r="AL48" i="105"/>
  <c r="AL59" i="105"/>
  <c r="AL58" i="105"/>
  <c r="AL78" i="105"/>
  <c r="AL94" i="105"/>
  <c r="AL20" i="105"/>
  <c r="AL23" i="105"/>
  <c r="AL37" i="105"/>
  <c r="AL66" i="105"/>
  <c r="AL71" i="105"/>
  <c r="AL68" i="105"/>
  <c r="AL67" i="105"/>
  <c r="AL86" i="105"/>
  <c r="AL30" i="103"/>
  <c r="AL59" i="103"/>
  <c r="AL49" i="103"/>
  <c r="AL45" i="103"/>
  <c r="AL56" i="103"/>
  <c r="AL72" i="103"/>
  <c r="AL84" i="103"/>
  <c r="AL88" i="103"/>
  <c r="AL46" i="103"/>
  <c r="AL53" i="103"/>
  <c r="AL71" i="103"/>
  <c r="AL77" i="103"/>
  <c r="AL81" i="103"/>
  <c r="AL96" i="103"/>
  <c r="AL18" i="103"/>
  <c r="AL11" i="103"/>
  <c r="AL55" i="103"/>
  <c r="AL24" i="103"/>
  <c r="AL39" i="103"/>
  <c r="AL63" i="103"/>
  <c r="AL64" i="103"/>
  <c r="AL86" i="103"/>
  <c r="AL60" i="103"/>
  <c r="AL83" i="103"/>
  <c r="AL93" i="103"/>
  <c r="AL33" i="103"/>
  <c r="AL41" i="103"/>
  <c r="AL42" i="103"/>
  <c r="AL68" i="103"/>
  <c r="AL70" i="103"/>
  <c r="AL69" i="103"/>
  <c r="AL92" i="103"/>
  <c r="AL90" i="103"/>
  <c r="AM94" i="103"/>
  <c r="AM97" i="103"/>
  <c r="AM89" i="103"/>
  <c r="AM92" i="103"/>
  <c r="AM81" i="103"/>
  <c r="AM90" i="103"/>
  <c r="AM84" i="103"/>
  <c r="AM82" i="103"/>
  <c r="AM85" i="103"/>
  <c r="AM83" i="103"/>
  <c r="AM79" i="103"/>
  <c r="AM75" i="103"/>
  <c r="AM80" i="103"/>
  <c r="AM70" i="103"/>
  <c r="AM60" i="103"/>
  <c r="AM57" i="103"/>
  <c r="AM66" i="103"/>
  <c r="AM74" i="103"/>
  <c r="AM61" i="103"/>
  <c r="AM59" i="103"/>
  <c r="AM48" i="103"/>
  <c r="AM39" i="103"/>
  <c r="AM67" i="103"/>
  <c r="AM51" i="103"/>
  <c r="AM46" i="103"/>
  <c r="AM52" i="103"/>
  <c r="AM34" i="103"/>
  <c r="AM68" i="103"/>
  <c r="AM53" i="103"/>
  <c r="AM47" i="103"/>
  <c r="AM41" i="103"/>
  <c r="AM69" i="103"/>
  <c r="AM50" i="103"/>
  <c r="AM44" i="103"/>
  <c r="AM36" i="103"/>
  <c r="AM26" i="103"/>
  <c r="AM29" i="103"/>
  <c r="AM27" i="103"/>
  <c r="AM18" i="103"/>
  <c r="AM35" i="103"/>
  <c r="AM25" i="103"/>
  <c r="AM40" i="103"/>
  <c r="AM22" i="103"/>
  <c r="AM8" i="103"/>
  <c r="AM93" i="103" s="1"/>
  <c r="AM31" i="103"/>
  <c r="AM19" i="103"/>
  <c r="AM13" i="103"/>
  <c r="AM33" i="103"/>
  <c r="AM23" i="103"/>
  <c r="AM16" i="103"/>
  <c r="AM11" i="103"/>
  <c r="AM38" i="103"/>
  <c r="AM28" i="103"/>
  <c r="AM24" i="103"/>
  <c r="AM17" i="103"/>
  <c r="AM14" i="103"/>
  <c r="AN7" i="103"/>
  <c r="AM45" i="103"/>
  <c r="AM30" i="103"/>
  <c r="AM12" i="103"/>
  <c r="AM15" i="103"/>
  <c r="AL20" i="103"/>
  <c r="AL16" i="103"/>
  <c r="AL15" i="103"/>
  <c r="AL37" i="103"/>
  <c r="AL47" i="103"/>
  <c r="AL51" i="103"/>
  <c r="AL74" i="103"/>
  <c r="AL80" i="103"/>
  <c r="AL78" i="103"/>
  <c r="AL89" i="101"/>
  <c r="AL83" i="101"/>
  <c r="AL69" i="101"/>
  <c r="AL42" i="101"/>
  <c r="AL57" i="101"/>
  <c r="AL33" i="101"/>
  <c r="AL71" i="101"/>
  <c r="AL34" i="101"/>
  <c r="AL16" i="101"/>
  <c r="AM7" i="101"/>
  <c r="AL12" i="101"/>
  <c r="AL8" i="101"/>
  <c r="AL90" i="101" s="1"/>
  <c r="AK55" i="101"/>
  <c r="AK74" i="101"/>
  <c r="AK39" i="101"/>
  <c r="AK62" i="101"/>
  <c r="AK72" i="101"/>
  <c r="AK94" i="101"/>
  <c r="AK14" i="101"/>
  <c r="AK17" i="101"/>
  <c r="AK45" i="101"/>
  <c r="AK38" i="101"/>
  <c r="AK47" i="101"/>
  <c r="AK46" i="101"/>
  <c r="AK73" i="101"/>
  <c r="AK68" i="101"/>
  <c r="AK97" i="101"/>
  <c r="AK88" i="101"/>
  <c r="AK31" i="101"/>
  <c r="AK41" i="101"/>
  <c r="AK63" i="101"/>
  <c r="AK52" i="101"/>
  <c r="AK60" i="101"/>
  <c r="AK71" i="101"/>
  <c r="AK84" i="101"/>
  <c r="AK96" i="101"/>
  <c r="AK69" i="101"/>
  <c r="AK82" i="101"/>
  <c r="AK81" i="101"/>
  <c r="AK93" i="101"/>
  <c r="AK18" i="101"/>
  <c r="AK15" i="101"/>
  <c r="AK28" i="101"/>
  <c r="AK53" i="101"/>
  <c r="AK49" i="101"/>
  <c r="AK42" i="101"/>
  <c r="AK57" i="101"/>
  <c r="AK75" i="101"/>
  <c r="AK89" i="101"/>
  <c r="AK90" i="101"/>
  <c r="AK12" i="101"/>
  <c r="AK20" i="101"/>
  <c r="AK67" i="101"/>
  <c r="AK36" i="101"/>
  <c r="AK29" i="101"/>
  <c r="AK61" i="101"/>
  <c r="AK51" i="101"/>
  <c r="AK66" i="101"/>
  <c r="AK79" i="101"/>
  <c r="AK83" i="101"/>
  <c r="AK86" i="101"/>
  <c r="AK56" i="101"/>
  <c r="AK77" i="101"/>
  <c r="AK85" i="101"/>
  <c r="AK92" i="101"/>
  <c r="AL94" i="99"/>
  <c r="AL97" i="99"/>
  <c r="AL89" i="99"/>
  <c r="AL86" i="99"/>
  <c r="AL85" i="99"/>
  <c r="AL77" i="99"/>
  <c r="AL68" i="99"/>
  <c r="AL74" i="99"/>
  <c r="AL95" i="99"/>
  <c r="AL78" i="99"/>
  <c r="AL69" i="99"/>
  <c r="AL81" i="99"/>
  <c r="AL72" i="99"/>
  <c r="AL53" i="99"/>
  <c r="AL79" i="99"/>
  <c r="AL57" i="99"/>
  <c r="AL70" i="99"/>
  <c r="AL60" i="99"/>
  <c r="AL51" i="99"/>
  <c r="AL66" i="99"/>
  <c r="AL47" i="99"/>
  <c r="AL46" i="99"/>
  <c r="AL37" i="99"/>
  <c r="AL50" i="99"/>
  <c r="AL40" i="99"/>
  <c r="AL44" i="99"/>
  <c r="AL35" i="99"/>
  <c r="AL55" i="99"/>
  <c r="AL38" i="99"/>
  <c r="AL75" i="99"/>
  <c r="AL67" i="99"/>
  <c r="AL39" i="99"/>
  <c r="AL41" i="99"/>
  <c r="AL33" i="99"/>
  <c r="AL25" i="99"/>
  <c r="AL28" i="99"/>
  <c r="AL34" i="99"/>
  <c r="AL26" i="99"/>
  <c r="AL45" i="99"/>
  <c r="AL29" i="99"/>
  <c r="AL52" i="99"/>
  <c r="AL31" i="99"/>
  <c r="AL30" i="99"/>
  <c r="AL24" i="99"/>
  <c r="AL18" i="99"/>
  <c r="AL8" i="99"/>
  <c r="AL90" i="99" s="1"/>
  <c r="AL20" i="99"/>
  <c r="AL13" i="99"/>
  <c r="AL11" i="99"/>
  <c r="AL16" i="99"/>
  <c r="AL36" i="99"/>
  <c r="AL27" i="99"/>
  <c r="AL19" i="99"/>
  <c r="AL56" i="99"/>
  <c r="AL23" i="99"/>
  <c r="AL17" i="99"/>
  <c r="AL42" i="99"/>
  <c r="AL14" i="99"/>
  <c r="AL22" i="99"/>
  <c r="AL15" i="99"/>
  <c r="AM7" i="99"/>
  <c r="AL12" i="99"/>
  <c r="AK31" i="99"/>
  <c r="AK30" i="99"/>
  <c r="AK44" i="99"/>
  <c r="AK58" i="99"/>
  <c r="AK63" i="99"/>
  <c r="AK92" i="99"/>
  <c r="AK89" i="99"/>
  <c r="AK86" i="99"/>
  <c r="AK35" i="99"/>
  <c r="AK15" i="99"/>
  <c r="AK25" i="99"/>
  <c r="AK53" i="99"/>
  <c r="AK60" i="99"/>
  <c r="AK57" i="99"/>
  <c r="AK66" i="99"/>
  <c r="AK85" i="99"/>
  <c r="AK91" i="99"/>
  <c r="AK12" i="99"/>
  <c r="AK36" i="99"/>
  <c r="AK39" i="99"/>
  <c r="AK33" i="99"/>
  <c r="AK56" i="99"/>
  <c r="AK40" i="99"/>
  <c r="AK81" i="99"/>
  <c r="AK74" i="99"/>
  <c r="AK73" i="99"/>
  <c r="AK88" i="99"/>
  <c r="AK23" i="99"/>
  <c r="AK16" i="99"/>
  <c r="AK61" i="99"/>
  <c r="AK41" i="99"/>
  <c r="AK64" i="99"/>
  <c r="AK46" i="99"/>
  <c r="AK62" i="99"/>
  <c r="AK83" i="99"/>
  <c r="AK82" i="99"/>
  <c r="AK96" i="99"/>
  <c r="AK29" i="99"/>
  <c r="AK13" i="99"/>
  <c r="AK26" i="99"/>
  <c r="AK49" i="99"/>
  <c r="AK67" i="99"/>
  <c r="AK47" i="99"/>
  <c r="AK50" i="99"/>
  <c r="AK71" i="99"/>
  <c r="AK70" i="99"/>
  <c r="AL36" i="97"/>
  <c r="AL25" i="97"/>
  <c r="AL14" i="97"/>
  <c r="AM7" i="97"/>
  <c r="AL8" i="97"/>
  <c r="AL90" i="97" s="1"/>
  <c r="AL20" i="97"/>
  <c r="AK47" i="97"/>
  <c r="AK11" i="97"/>
  <c r="AK30" i="97"/>
  <c r="AK41" i="97"/>
  <c r="AK49" i="97"/>
  <c r="AK59" i="97"/>
  <c r="AK73" i="97"/>
  <c r="AK82" i="97"/>
  <c r="AK96" i="97"/>
  <c r="AK19" i="97"/>
  <c r="AK13" i="97"/>
  <c r="AK46" i="97"/>
  <c r="AK62" i="97"/>
  <c r="AK66" i="97"/>
  <c r="AK83" i="97"/>
  <c r="AK70" i="97"/>
  <c r="AK93" i="97"/>
  <c r="AK58" i="97"/>
  <c r="AK14" i="97"/>
  <c r="AK36" i="97"/>
  <c r="AK22" i="97"/>
  <c r="AK50" i="97"/>
  <c r="AK75" i="97"/>
  <c r="AK56" i="97"/>
  <c r="AK71" i="97"/>
  <c r="AK79" i="97"/>
  <c r="AK90" i="97"/>
  <c r="AK24" i="97"/>
  <c r="AK16" i="97"/>
  <c r="AK52" i="97"/>
  <c r="AK42" i="97"/>
  <c r="AK35" i="97"/>
  <c r="AK72" i="97"/>
  <c r="AK51" i="97"/>
  <c r="AK74" i="97"/>
  <c r="AK80" i="97"/>
  <c r="AK89" i="97"/>
  <c r="AK86" i="97"/>
  <c r="AK15" i="97"/>
  <c r="AK18" i="97"/>
  <c r="AK20" i="97"/>
  <c r="AK40" i="97"/>
  <c r="AK38" i="97"/>
  <c r="AK33" i="97"/>
  <c r="AK81" i="97"/>
  <c r="AK78" i="97"/>
  <c r="AK92" i="97"/>
  <c r="AK97" i="97"/>
  <c r="AM46" i="95"/>
  <c r="AM84" i="95"/>
  <c r="AM59" i="95"/>
  <c r="AM75" i="95"/>
  <c r="AM17" i="95"/>
  <c r="AM53" i="95"/>
  <c r="AM71" i="95"/>
  <c r="AM57" i="95"/>
  <c r="AM82" i="95"/>
  <c r="AM37" i="95"/>
  <c r="AM22" i="95"/>
  <c r="AM74" i="95"/>
  <c r="AM79" i="95"/>
  <c r="AM50" i="95"/>
  <c r="AM11" i="95"/>
  <c r="AM30" i="95"/>
  <c r="AM42" i="95"/>
  <c r="AM64" i="95"/>
  <c r="AM63" i="95"/>
  <c r="AM66" i="95"/>
  <c r="AM70" i="95"/>
  <c r="AM18" i="95"/>
  <c r="AN8" i="95"/>
  <c r="AN94" i="95" s="1"/>
  <c r="AO7" i="95"/>
  <c r="AM40" i="95"/>
  <c r="AM41" i="95"/>
  <c r="AM36" i="95"/>
  <c r="AM15" i="95"/>
  <c r="AM44" i="95"/>
  <c r="AM34" i="95"/>
  <c r="AM80" i="95"/>
  <c r="AM55" i="95"/>
  <c r="AM78" i="95"/>
  <c r="AM94" i="95"/>
  <c r="AM68" i="95"/>
  <c r="AM88" i="95"/>
  <c r="AM24" i="95"/>
  <c r="AM19" i="95"/>
  <c r="AM28" i="95"/>
  <c r="AM52" i="95"/>
  <c r="AM47" i="95"/>
  <c r="AM69" i="95"/>
  <c r="AM89" i="95"/>
  <c r="AM56" i="95"/>
  <c r="AM90" i="95"/>
  <c r="AM20" i="95"/>
  <c r="AM33" i="95"/>
  <c r="AM12" i="95"/>
  <c r="AM26" i="95"/>
  <c r="AM29" i="95"/>
  <c r="AM35" i="95"/>
  <c r="AM60" i="95"/>
  <c r="AM49" i="95"/>
  <c r="AM38" i="95"/>
  <c r="AM97" i="95"/>
  <c r="AM62" i="95"/>
  <c r="AM96" i="95"/>
  <c r="AM81" i="95"/>
  <c r="AM92" i="95"/>
  <c r="AM14" i="95"/>
  <c r="AM58" i="95"/>
  <c r="AM45" i="95"/>
  <c r="AM85" i="95"/>
  <c r="AM91" i="95"/>
  <c r="AM25" i="95"/>
  <c r="AM13" i="95"/>
  <c r="AM31" i="95"/>
  <c r="AM39" i="95"/>
  <c r="AM61" i="95"/>
  <c r="AM86" i="95"/>
  <c r="AM48" i="95"/>
  <c r="AM73" i="95"/>
  <c r="AM51" i="95"/>
  <c r="AM77" i="95"/>
  <c r="AM72" i="95"/>
  <c r="AM95" i="95"/>
  <c r="AL82" i="59" l="1"/>
  <c r="AL45" i="59"/>
  <c r="AL60" i="59"/>
  <c r="AL34" i="59"/>
  <c r="AL91" i="59"/>
  <c r="AL51" i="59"/>
  <c r="AN31" i="95"/>
  <c r="AL37" i="59"/>
  <c r="AL12" i="59"/>
  <c r="AL40" i="59"/>
  <c r="AL22" i="59"/>
  <c r="AL36" i="59"/>
  <c r="AL49" i="59"/>
  <c r="AL70" i="59"/>
  <c r="AL62" i="59"/>
  <c r="AL86" i="59"/>
  <c r="AL94" i="59"/>
  <c r="AL14" i="59"/>
  <c r="AL17" i="59"/>
  <c r="AL19" i="59"/>
  <c r="AL42" i="59"/>
  <c r="AL47" i="59"/>
  <c r="AL61" i="59"/>
  <c r="AL73" i="59"/>
  <c r="AL53" i="59"/>
  <c r="AL69" i="59"/>
  <c r="AL88" i="59"/>
  <c r="AL24" i="59"/>
  <c r="AL35" i="59"/>
  <c r="AL38" i="59"/>
  <c r="AL46" i="59"/>
  <c r="AL55" i="59"/>
  <c r="AL64" i="59"/>
  <c r="AL77" i="59"/>
  <c r="AL72" i="59"/>
  <c r="AL74" i="59"/>
  <c r="AL96" i="59"/>
  <c r="AM95" i="59"/>
  <c r="AN7" i="59"/>
  <c r="AM8" i="59"/>
  <c r="AM88" i="59" s="1"/>
  <c r="AL31" i="59"/>
  <c r="AL23" i="59"/>
  <c r="AL25" i="59"/>
  <c r="AL50" i="59"/>
  <c r="AL56" i="59"/>
  <c r="AL68" i="59"/>
  <c r="AL81" i="59"/>
  <c r="AL78" i="59"/>
  <c r="AL83" i="59"/>
  <c r="AL93" i="59"/>
  <c r="AL16" i="59"/>
  <c r="AL48" i="59"/>
  <c r="AL29" i="59"/>
  <c r="AL33" i="59"/>
  <c r="AL30" i="59"/>
  <c r="AL58" i="59"/>
  <c r="AL71" i="59"/>
  <c r="AL95" i="59"/>
  <c r="AL80" i="59"/>
  <c r="AL92" i="59"/>
  <c r="AL90" i="59"/>
  <c r="AL13" i="59"/>
  <c r="AL15" i="59"/>
  <c r="AL20" i="59"/>
  <c r="AL41" i="59"/>
  <c r="AL39" i="59"/>
  <c r="AL84" i="59"/>
  <c r="AL63" i="59"/>
  <c r="AL57" i="59"/>
  <c r="AL85" i="59"/>
  <c r="AL89" i="59"/>
  <c r="AL18" i="59"/>
  <c r="AL26" i="59"/>
  <c r="AL28" i="59"/>
  <c r="AL44" i="59"/>
  <c r="AL27" i="59"/>
  <c r="AL75" i="59"/>
  <c r="AL67" i="59"/>
  <c r="AL59" i="59"/>
  <c r="AL79" i="59"/>
  <c r="AL71" i="113"/>
  <c r="AL14" i="113"/>
  <c r="AL23" i="113"/>
  <c r="AL19" i="113"/>
  <c r="AL35" i="113"/>
  <c r="AL61" i="113"/>
  <c r="AL56" i="113"/>
  <c r="AL77" i="113"/>
  <c r="AL69" i="113"/>
  <c r="AL79" i="113"/>
  <c r="AL94" i="113"/>
  <c r="AL26" i="113"/>
  <c r="AL97" i="113"/>
  <c r="AL34" i="113"/>
  <c r="AL39" i="113"/>
  <c r="AL48" i="113"/>
  <c r="AL41" i="113"/>
  <c r="AL40" i="113"/>
  <c r="AL57" i="113"/>
  <c r="AL62" i="113"/>
  <c r="AL86" i="113"/>
  <c r="AL75" i="113"/>
  <c r="AL91" i="113"/>
  <c r="AL12" i="113"/>
  <c r="AL30" i="113"/>
  <c r="AL33" i="113"/>
  <c r="AL29" i="113"/>
  <c r="AL49" i="113"/>
  <c r="AL64" i="113"/>
  <c r="AL70" i="113"/>
  <c r="AL82" i="113"/>
  <c r="AL84" i="113"/>
  <c r="AL88" i="113"/>
  <c r="AL13" i="113"/>
  <c r="AL15" i="113"/>
  <c r="AL36" i="113"/>
  <c r="AL38" i="113"/>
  <c r="AL28" i="113"/>
  <c r="AL72" i="113"/>
  <c r="AL74" i="113"/>
  <c r="AL59" i="113"/>
  <c r="AL81" i="113"/>
  <c r="AL96" i="113"/>
  <c r="AL25" i="113"/>
  <c r="AL27" i="113"/>
  <c r="AL85" i="113"/>
  <c r="AL11" i="113"/>
  <c r="AM93" i="113"/>
  <c r="AM96" i="113"/>
  <c r="AM88" i="113"/>
  <c r="AM95" i="113"/>
  <c r="AM81" i="113"/>
  <c r="AM84" i="113"/>
  <c r="AM80" i="113"/>
  <c r="AM71" i="113"/>
  <c r="AM62" i="113"/>
  <c r="AM77" i="113"/>
  <c r="AM74" i="113"/>
  <c r="AM70" i="113"/>
  <c r="AM60" i="113"/>
  <c r="AM57" i="113"/>
  <c r="AM56" i="113"/>
  <c r="AM69" i="113"/>
  <c r="AM61" i="113"/>
  <c r="AM52" i="113"/>
  <c r="AM33" i="113"/>
  <c r="AM58" i="113"/>
  <c r="AM45" i="113"/>
  <c r="AM22" i="113"/>
  <c r="AM38" i="113"/>
  <c r="AM66" i="113"/>
  <c r="AM15" i="113"/>
  <c r="AM30" i="113"/>
  <c r="AM37" i="113"/>
  <c r="AM19" i="113"/>
  <c r="AM18" i="113"/>
  <c r="AM13" i="113"/>
  <c r="AN7" i="113"/>
  <c r="AM8" i="113"/>
  <c r="AM91" i="113" s="1"/>
  <c r="AM16" i="113"/>
  <c r="AM11" i="113"/>
  <c r="AL22" i="113"/>
  <c r="AL31" i="113"/>
  <c r="AL47" i="113"/>
  <c r="AL37" i="113"/>
  <c r="AL63" i="113"/>
  <c r="AL58" i="113"/>
  <c r="AL68" i="113"/>
  <c r="AL95" i="113"/>
  <c r="AL93" i="113"/>
  <c r="AL60" i="113"/>
  <c r="AL18" i="113"/>
  <c r="AL24" i="113"/>
  <c r="AL50" i="113"/>
  <c r="AL45" i="113"/>
  <c r="AL53" i="113"/>
  <c r="AL46" i="113"/>
  <c r="AL92" i="113"/>
  <c r="AL66" i="113"/>
  <c r="AL73" i="113"/>
  <c r="AL78" i="113"/>
  <c r="AL90" i="113"/>
  <c r="AL16" i="113"/>
  <c r="AL55" i="113"/>
  <c r="AL17" i="113"/>
  <c r="AL20" i="113"/>
  <c r="AL44" i="113"/>
  <c r="AL42" i="113"/>
  <c r="AL67" i="113"/>
  <c r="AL83" i="113"/>
  <c r="AL80" i="113"/>
  <c r="AM42" i="111"/>
  <c r="AM17" i="111"/>
  <c r="AM35" i="111"/>
  <c r="AM46" i="111"/>
  <c r="AM45" i="111"/>
  <c r="AM51" i="111"/>
  <c r="AM68" i="111"/>
  <c r="AM77" i="111"/>
  <c r="AM40" i="111"/>
  <c r="AM94" i="111"/>
  <c r="AM16" i="111"/>
  <c r="AM23" i="111"/>
  <c r="AM39" i="111"/>
  <c r="AM60" i="111"/>
  <c r="AM52" i="111"/>
  <c r="AM55" i="111"/>
  <c r="AM90" i="111"/>
  <c r="AM80" i="111"/>
  <c r="AM49" i="111"/>
  <c r="AM92" i="111"/>
  <c r="AM14" i="111"/>
  <c r="AM27" i="111"/>
  <c r="AM12" i="111"/>
  <c r="AM33" i="111"/>
  <c r="AM36" i="111"/>
  <c r="AM47" i="111"/>
  <c r="AM63" i="111"/>
  <c r="AM79" i="111"/>
  <c r="AM69" i="111"/>
  <c r="AM97" i="111"/>
  <c r="AN88" i="111"/>
  <c r="AN95" i="111"/>
  <c r="AN86" i="111"/>
  <c r="AN81" i="111"/>
  <c r="AN71" i="111"/>
  <c r="AN68" i="111"/>
  <c r="AN61" i="111"/>
  <c r="AN52" i="111"/>
  <c r="AN64" i="111"/>
  <c r="AN58" i="111"/>
  <c r="AN90" i="111"/>
  <c r="AN89" i="111"/>
  <c r="AN82" i="111"/>
  <c r="AN66" i="111"/>
  <c r="AN73" i="111"/>
  <c r="AN49" i="111"/>
  <c r="AN48" i="111"/>
  <c r="AN36" i="111"/>
  <c r="AN33" i="111"/>
  <c r="AN24" i="111"/>
  <c r="AN34" i="111"/>
  <c r="AN25" i="111"/>
  <c r="AN70" i="111"/>
  <c r="AN55" i="111"/>
  <c r="AN60" i="111"/>
  <c r="AN39" i="111"/>
  <c r="AN29" i="111"/>
  <c r="AN13" i="111"/>
  <c r="AN8" i="111"/>
  <c r="AN91" i="111" s="1"/>
  <c r="AN62" i="111"/>
  <c r="AN31" i="111"/>
  <c r="AN28" i="111"/>
  <c r="AN22" i="111"/>
  <c r="AO7" i="111"/>
  <c r="AN41" i="111"/>
  <c r="AN17" i="111"/>
  <c r="AN14" i="111"/>
  <c r="AN63" i="111"/>
  <c r="AN47" i="111"/>
  <c r="AN11" i="111"/>
  <c r="AN38" i="111"/>
  <c r="AN16" i="111"/>
  <c r="AN12" i="111"/>
  <c r="AN30" i="111"/>
  <c r="AM28" i="111"/>
  <c r="AM20" i="111"/>
  <c r="AM37" i="111"/>
  <c r="AM50" i="111"/>
  <c r="AM72" i="111"/>
  <c r="AM81" i="111"/>
  <c r="AM78" i="111"/>
  <c r="AM91" i="111"/>
  <c r="AM22" i="111"/>
  <c r="AM18" i="111"/>
  <c r="AM38" i="111"/>
  <c r="AM29" i="111"/>
  <c r="AM67" i="111"/>
  <c r="AM53" i="111"/>
  <c r="AM61" i="111"/>
  <c r="AM82" i="111"/>
  <c r="AM95" i="111"/>
  <c r="AM88" i="111"/>
  <c r="AM15" i="111"/>
  <c r="AM56" i="111"/>
  <c r="AM41" i="111"/>
  <c r="AM66" i="111"/>
  <c r="AM57" i="111"/>
  <c r="AM64" i="111"/>
  <c r="AM84" i="111"/>
  <c r="AM83" i="111"/>
  <c r="AL11" i="109"/>
  <c r="AL18" i="109"/>
  <c r="AL38" i="109"/>
  <c r="AL31" i="109"/>
  <c r="AL26" i="109"/>
  <c r="AL25" i="109"/>
  <c r="AL77" i="109"/>
  <c r="AL82" i="109"/>
  <c r="AL84" i="109"/>
  <c r="AL96" i="109"/>
  <c r="AL15" i="109"/>
  <c r="AL33" i="109"/>
  <c r="AL41" i="109"/>
  <c r="AL35" i="109"/>
  <c r="AL34" i="109"/>
  <c r="AL69" i="109"/>
  <c r="AL86" i="109"/>
  <c r="AL30" i="109"/>
  <c r="AL63" i="109"/>
  <c r="AL66" i="109"/>
  <c r="AL52" i="109"/>
  <c r="AL40" i="109"/>
  <c r="AL44" i="109"/>
  <c r="AL42" i="109"/>
  <c r="AL78" i="109"/>
  <c r="AL92" i="109"/>
  <c r="AL97" i="109"/>
  <c r="AL90" i="109"/>
  <c r="AL22" i="109"/>
  <c r="AL12" i="109"/>
  <c r="AL27" i="109"/>
  <c r="AL72" i="109"/>
  <c r="AL47" i="109"/>
  <c r="AL19" i="109"/>
  <c r="AL64" i="109"/>
  <c r="AL58" i="109"/>
  <c r="AL74" i="109"/>
  <c r="AL81" i="109"/>
  <c r="AM46" i="109"/>
  <c r="AM50" i="109"/>
  <c r="AM12" i="109"/>
  <c r="AN7" i="109"/>
  <c r="AM13" i="109"/>
  <c r="AM8" i="109"/>
  <c r="AM88" i="109" s="1"/>
  <c r="AL24" i="109"/>
  <c r="AL49" i="109"/>
  <c r="AL45" i="109"/>
  <c r="AL39" i="109"/>
  <c r="AL28" i="109"/>
  <c r="AL46" i="109"/>
  <c r="AL61" i="109"/>
  <c r="AL80" i="109"/>
  <c r="AL95" i="109"/>
  <c r="AL20" i="109"/>
  <c r="AL48" i="109"/>
  <c r="AL50" i="109"/>
  <c r="AL51" i="109"/>
  <c r="AL56" i="109"/>
  <c r="AL37" i="109"/>
  <c r="AL71" i="109"/>
  <c r="AL68" i="109"/>
  <c r="AL67" i="109"/>
  <c r="AL94" i="109"/>
  <c r="AL23" i="109"/>
  <c r="AL70" i="109"/>
  <c r="AL57" i="109"/>
  <c r="AL53" i="109"/>
  <c r="AL59" i="109"/>
  <c r="AL85" i="109"/>
  <c r="AL62" i="109"/>
  <c r="AL55" i="109"/>
  <c r="AL75" i="109"/>
  <c r="AL91" i="109"/>
  <c r="AL13" i="109"/>
  <c r="AL14" i="109"/>
  <c r="AL29" i="109"/>
  <c r="AL60" i="109"/>
  <c r="AL17" i="109"/>
  <c r="AL16" i="109"/>
  <c r="AL73" i="109"/>
  <c r="AL79" i="109"/>
  <c r="AL83" i="109"/>
  <c r="AM80" i="107"/>
  <c r="AM12" i="107"/>
  <c r="AM26" i="107"/>
  <c r="AM37" i="107"/>
  <c r="AM42" i="107"/>
  <c r="AM38" i="107"/>
  <c r="AM85" i="107"/>
  <c r="AM70" i="107"/>
  <c r="AM84" i="107"/>
  <c r="AM94" i="107"/>
  <c r="AM18" i="107"/>
  <c r="AN96" i="107"/>
  <c r="AN88" i="107"/>
  <c r="AN94" i="107"/>
  <c r="AN97" i="107"/>
  <c r="AN89" i="107"/>
  <c r="AN86" i="107"/>
  <c r="AN90" i="107"/>
  <c r="AN78" i="107"/>
  <c r="AN79" i="107"/>
  <c r="AN80" i="107"/>
  <c r="AN68" i="107"/>
  <c r="AN82" i="107"/>
  <c r="AN75" i="107"/>
  <c r="AN70" i="107"/>
  <c r="AN84" i="107"/>
  <c r="AN58" i="107"/>
  <c r="AN85" i="107"/>
  <c r="AN64" i="107"/>
  <c r="AN62" i="107"/>
  <c r="AN61" i="107"/>
  <c r="AN47" i="107"/>
  <c r="AN38" i="107"/>
  <c r="AN29" i="107"/>
  <c r="AN67" i="107"/>
  <c r="AN63" i="107"/>
  <c r="AN60" i="107"/>
  <c r="AN57" i="107"/>
  <c r="AN50" i="107"/>
  <c r="AN41" i="107"/>
  <c r="AN73" i="107"/>
  <c r="AN93" i="107"/>
  <c r="AN46" i="107"/>
  <c r="AN72" i="107"/>
  <c r="AN42" i="107"/>
  <c r="AN69" i="107"/>
  <c r="AN39" i="107"/>
  <c r="AN35" i="107"/>
  <c r="AN77" i="107"/>
  <c r="AN51" i="107"/>
  <c r="AN45" i="107"/>
  <c r="AN40" i="107"/>
  <c r="AN19" i="107"/>
  <c r="AN48" i="107"/>
  <c r="AN31" i="107"/>
  <c r="AN30" i="107"/>
  <c r="AN23" i="107"/>
  <c r="AN55" i="107"/>
  <c r="AN20" i="107"/>
  <c r="AN27" i="107"/>
  <c r="AN18" i="107"/>
  <c r="AN24" i="107"/>
  <c r="AN16" i="107"/>
  <c r="AN12" i="107"/>
  <c r="AN15" i="107"/>
  <c r="AN59" i="107"/>
  <c r="AN44" i="107"/>
  <c r="AN14" i="107"/>
  <c r="AN22" i="107"/>
  <c r="AN11" i="107"/>
  <c r="AN8" i="107"/>
  <c r="AN92" i="107" s="1"/>
  <c r="AN13" i="107"/>
  <c r="AO7" i="107"/>
  <c r="AM30" i="107"/>
  <c r="AM45" i="107"/>
  <c r="AM48" i="107"/>
  <c r="AM61" i="107"/>
  <c r="AM74" i="107"/>
  <c r="AM72" i="107"/>
  <c r="AM90" i="107"/>
  <c r="AM88" i="107"/>
  <c r="AM27" i="107"/>
  <c r="AM22" i="107"/>
  <c r="AM14" i="107"/>
  <c r="AM31" i="107"/>
  <c r="AM59" i="107"/>
  <c r="AM50" i="107"/>
  <c r="AM62" i="107"/>
  <c r="AM55" i="107"/>
  <c r="AM82" i="107"/>
  <c r="AM86" i="107"/>
  <c r="AM96" i="107"/>
  <c r="AM17" i="107"/>
  <c r="AM13" i="107"/>
  <c r="AM40" i="107"/>
  <c r="AM39" i="107"/>
  <c r="AM52" i="107"/>
  <c r="AM57" i="107"/>
  <c r="AM66" i="107"/>
  <c r="AM60" i="107"/>
  <c r="AM77" i="107"/>
  <c r="AM95" i="107"/>
  <c r="AM93" i="107"/>
  <c r="AM11" i="107"/>
  <c r="AM20" i="107"/>
  <c r="AM24" i="107"/>
  <c r="AM19" i="107"/>
  <c r="AM53" i="107"/>
  <c r="AM71" i="107"/>
  <c r="AM35" i="107"/>
  <c r="AM63" i="107"/>
  <c r="AM64" i="107"/>
  <c r="AM92" i="107"/>
  <c r="AM15" i="107"/>
  <c r="AM34" i="107"/>
  <c r="AM41" i="107"/>
  <c r="AM28" i="107"/>
  <c r="AM56" i="107"/>
  <c r="AM78" i="107"/>
  <c r="AM44" i="107"/>
  <c r="AM67" i="107"/>
  <c r="AM73" i="107"/>
  <c r="AM89" i="107"/>
  <c r="AM36" i="107"/>
  <c r="AM51" i="107"/>
  <c r="AM33" i="107"/>
  <c r="AM69" i="107"/>
  <c r="AM29" i="107"/>
  <c r="AM68" i="107"/>
  <c r="AM81" i="107"/>
  <c r="AM75" i="107"/>
  <c r="AM22" i="105"/>
  <c r="AM15" i="105"/>
  <c r="AM23" i="105"/>
  <c r="AM47" i="105"/>
  <c r="AM48" i="105"/>
  <c r="AM56" i="105"/>
  <c r="AM64" i="105"/>
  <c r="AM79" i="105"/>
  <c r="AM95" i="105"/>
  <c r="AM93" i="105"/>
  <c r="AM19" i="105"/>
  <c r="AM26" i="105"/>
  <c r="AM28" i="105"/>
  <c r="AM29" i="105"/>
  <c r="AM53" i="105"/>
  <c r="AM66" i="105"/>
  <c r="AM62" i="105"/>
  <c r="AM85" i="105"/>
  <c r="AM90" i="105"/>
  <c r="AM92" i="105"/>
  <c r="AM38" i="105"/>
  <c r="AM35" i="105"/>
  <c r="AM71" i="105"/>
  <c r="AM18" i="105"/>
  <c r="AM24" i="105"/>
  <c r="AM17" i="105"/>
  <c r="AM41" i="105"/>
  <c r="AM37" i="105"/>
  <c r="AM57" i="105"/>
  <c r="AM77" i="105"/>
  <c r="AM70" i="105"/>
  <c r="AM81" i="105"/>
  <c r="AM97" i="105"/>
  <c r="AM40" i="105"/>
  <c r="AM49" i="105"/>
  <c r="AM73" i="105"/>
  <c r="AM55" i="105"/>
  <c r="AM61" i="105"/>
  <c r="AM84" i="105"/>
  <c r="AM89" i="105"/>
  <c r="AM11" i="105"/>
  <c r="AM12" i="105"/>
  <c r="AM31" i="105"/>
  <c r="AM44" i="105"/>
  <c r="AM46" i="105"/>
  <c r="AM63" i="105"/>
  <c r="AM59" i="105"/>
  <c r="AM75" i="105"/>
  <c r="AM86" i="105"/>
  <c r="AM94" i="105"/>
  <c r="AM30" i="105"/>
  <c r="AM20" i="105"/>
  <c r="AM33" i="105"/>
  <c r="AM50" i="105"/>
  <c r="AM34" i="105"/>
  <c r="AM60" i="105"/>
  <c r="AM68" i="105"/>
  <c r="AM58" i="105"/>
  <c r="AM74" i="105"/>
  <c r="AM91" i="105"/>
  <c r="AM36" i="105"/>
  <c r="AM25" i="105"/>
  <c r="AN96" i="105"/>
  <c r="AN88" i="105"/>
  <c r="AN95" i="105"/>
  <c r="AN86" i="105"/>
  <c r="AN83" i="105"/>
  <c r="AN82" i="105"/>
  <c r="AN73" i="105"/>
  <c r="AN93" i="105"/>
  <c r="AN56" i="105"/>
  <c r="AN72" i="105"/>
  <c r="AN68" i="105"/>
  <c r="AN67" i="105"/>
  <c r="AN69" i="105"/>
  <c r="AN60" i="105"/>
  <c r="AN37" i="105"/>
  <c r="AN49" i="105"/>
  <c r="AN40" i="105"/>
  <c r="AN36" i="105"/>
  <c r="AN30" i="105"/>
  <c r="AN48" i="105"/>
  <c r="AN33" i="105"/>
  <c r="AN63" i="105"/>
  <c r="AN31" i="105"/>
  <c r="AN34" i="105"/>
  <c r="AN27" i="105"/>
  <c r="AN18" i="105"/>
  <c r="AN19" i="105"/>
  <c r="AN11" i="105"/>
  <c r="AO7" i="105"/>
  <c r="AN8" i="105"/>
  <c r="AN91" i="105" s="1"/>
  <c r="AN22" i="105"/>
  <c r="AN14" i="105"/>
  <c r="AN23" i="105"/>
  <c r="AM39" i="105"/>
  <c r="AM42" i="105"/>
  <c r="AM69" i="105"/>
  <c r="AM72" i="105"/>
  <c r="AM67" i="105"/>
  <c r="AM83" i="105"/>
  <c r="AM91" i="103"/>
  <c r="AM71" i="103"/>
  <c r="AM63" i="103"/>
  <c r="AM78" i="103"/>
  <c r="AM88" i="103"/>
  <c r="AN88" i="103"/>
  <c r="AN90" i="103"/>
  <c r="AN85" i="103"/>
  <c r="AN83" i="103"/>
  <c r="AN64" i="103"/>
  <c r="AN74" i="103"/>
  <c r="AN72" i="103"/>
  <c r="AN70" i="103"/>
  <c r="AN51" i="103"/>
  <c r="AN46" i="103"/>
  <c r="AN69" i="103"/>
  <c r="AN57" i="103"/>
  <c r="AN47" i="103"/>
  <c r="AN41" i="103"/>
  <c r="AN38" i="103"/>
  <c r="AN59" i="103"/>
  <c r="AN24" i="103"/>
  <c r="AN30" i="103"/>
  <c r="AN22" i="103"/>
  <c r="AN28" i="103"/>
  <c r="AN19" i="103"/>
  <c r="AN13" i="103"/>
  <c r="AN26" i="103"/>
  <c r="AN23" i="103"/>
  <c r="AN16" i="103"/>
  <c r="AO7" i="103"/>
  <c r="AN17" i="103"/>
  <c r="AN39" i="103"/>
  <c r="AN36" i="103"/>
  <c r="AN12" i="103"/>
  <c r="AN34" i="103"/>
  <c r="AN25" i="103"/>
  <c r="AN8" i="103"/>
  <c r="AN94" i="103" s="1"/>
  <c r="AN15" i="103"/>
  <c r="AM42" i="103"/>
  <c r="AM55" i="103"/>
  <c r="AM49" i="103"/>
  <c r="AM62" i="103"/>
  <c r="AM64" i="103"/>
  <c r="AM72" i="103"/>
  <c r="AM86" i="103"/>
  <c r="AM96" i="103"/>
  <c r="AM20" i="103"/>
  <c r="AM56" i="103"/>
  <c r="AM37" i="103"/>
  <c r="AM58" i="103"/>
  <c r="AM73" i="103"/>
  <c r="AM77" i="103"/>
  <c r="AM95" i="103"/>
  <c r="AL17" i="101"/>
  <c r="AL13" i="101"/>
  <c r="AL19" i="101"/>
  <c r="AL31" i="101"/>
  <c r="AL59" i="101"/>
  <c r="AL61" i="101"/>
  <c r="AL51" i="101"/>
  <c r="AL72" i="101"/>
  <c r="AL92" i="101"/>
  <c r="AL97" i="101"/>
  <c r="AM88" i="101"/>
  <c r="AM94" i="101"/>
  <c r="AM89" i="101"/>
  <c r="AM86" i="101"/>
  <c r="AM79" i="101"/>
  <c r="AM95" i="101"/>
  <c r="AM75" i="101"/>
  <c r="AM66" i="101"/>
  <c r="AM72" i="101"/>
  <c r="AM63" i="101"/>
  <c r="AM67" i="101"/>
  <c r="AM80" i="101"/>
  <c r="AM52" i="101"/>
  <c r="AM37" i="101"/>
  <c r="AM61" i="101"/>
  <c r="AM49" i="101"/>
  <c r="AM59" i="101"/>
  <c r="AM47" i="101"/>
  <c r="AM45" i="101"/>
  <c r="AM38" i="101"/>
  <c r="AM34" i="101"/>
  <c r="AM48" i="101"/>
  <c r="AM42" i="101"/>
  <c r="AM71" i="101"/>
  <c r="AM64" i="101"/>
  <c r="AM33" i="101"/>
  <c r="AM23" i="101"/>
  <c r="AM36" i="101"/>
  <c r="AM28" i="101"/>
  <c r="AM26" i="101"/>
  <c r="AM13" i="101"/>
  <c r="AM16" i="101"/>
  <c r="AM15" i="101"/>
  <c r="AM62" i="101"/>
  <c r="AM24" i="101"/>
  <c r="AM14" i="101"/>
  <c r="AN7" i="101"/>
  <c r="AM17" i="101"/>
  <c r="AM22" i="101"/>
  <c r="AM8" i="101"/>
  <c r="AM92" i="101" s="1"/>
  <c r="AL48" i="101"/>
  <c r="AL24" i="101"/>
  <c r="AL80" i="101"/>
  <c r="AL41" i="101"/>
  <c r="AL70" i="101"/>
  <c r="AL56" i="101"/>
  <c r="AL66" i="101"/>
  <c r="AL75" i="101"/>
  <c r="AL94" i="101"/>
  <c r="AL14" i="101"/>
  <c r="AL26" i="101"/>
  <c r="AL25" i="101"/>
  <c r="AL30" i="101"/>
  <c r="AL50" i="101"/>
  <c r="AL74" i="101"/>
  <c r="AL67" i="101"/>
  <c r="AL77" i="101"/>
  <c r="AL84" i="101"/>
  <c r="AL91" i="101"/>
  <c r="AL11" i="101"/>
  <c r="AL29" i="101"/>
  <c r="AL37" i="101"/>
  <c r="AL47" i="101"/>
  <c r="AL55" i="101"/>
  <c r="AL46" i="101"/>
  <c r="AL63" i="101"/>
  <c r="AL53" i="101"/>
  <c r="AL81" i="101"/>
  <c r="AL88" i="101"/>
  <c r="AL18" i="101"/>
  <c r="AL28" i="101"/>
  <c r="AL39" i="101"/>
  <c r="AL27" i="101"/>
  <c r="AL64" i="101"/>
  <c r="AL52" i="101"/>
  <c r="AL73" i="101"/>
  <c r="AL62" i="101"/>
  <c r="AL78" i="101"/>
  <c r="AL96" i="101"/>
  <c r="AL20" i="101"/>
  <c r="AL36" i="101"/>
  <c r="AL44" i="101"/>
  <c r="AL35" i="101"/>
  <c r="AL40" i="101"/>
  <c r="AL58" i="101"/>
  <c r="AL82" i="101"/>
  <c r="AL79" i="101"/>
  <c r="AL86" i="101"/>
  <c r="AL93" i="101"/>
  <c r="AL15" i="101"/>
  <c r="AL22" i="101"/>
  <c r="AL23" i="101"/>
  <c r="AL45" i="101"/>
  <c r="AL38" i="101"/>
  <c r="AL49" i="101"/>
  <c r="AL68" i="101"/>
  <c r="AL60" i="101"/>
  <c r="AL85" i="101"/>
  <c r="AL95" i="101"/>
  <c r="AL91" i="99"/>
  <c r="AL64" i="99"/>
  <c r="AL88" i="99"/>
  <c r="AL48" i="99"/>
  <c r="AL58" i="99"/>
  <c r="AL62" i="99"/>
  <c r="AL83" i="99"/>
  <c r="AL73" i="99"/>
  <c r="AL96" i="99"/>
  <c r="AL61" i="99"/>
  <c r="AL49" i="99"/>
  <c r="AL59" i="99"/>
  <c r="AL84" i="99"/>
  <c r="AL63" i="99"/>
  <c r="AL71" i="99"/>
  <c r="AL82" i="99"/>
  <c r="AL93" i="99"/>
  <c r="AM94" i="99"/>
  <c r="AM97" i="99"/>
  <c r="AM68" i="99"/>
  <c r="AM80" i="99"/>
  <c r="AM81" i="99"/>
  <c r="AM72" i="99"/>
  <c r="AM48" i="99"/>
  <c r="AM70" i="99"/>
  <c r="AM40" i="99"/>
  <c r="AM59" i="99"/>
  <c r="AM62" i="99"/>
  <c r="AM42" i="99"/>
  <c r="AM23" i="99"/>
  <c r="AM45" i="99"/>
  <c r="AM20" i="99"/>
  <c r="AM13" i="99"/>
  <c r="AN7" i="99"/>
  <c r="AM11" i="99"/>
  <c r="AM14" i="99"/>
  <c r="AM30" i="99"/>
  <c r="AM24" i="99"/>
  <c r="AM8" i="99"/>
  <c r="AM92" i="99" s="1"/>
  <c r="AL80" i="99"/>
  <c r="AL92" i="99"/>
  <c r="AL12" i="97"/>
  <c r="AL50" i="97"/>
  <c r="AL30" i="97"/>
  <c r="AL83" i="97"/>
  <c r="AL68" i="97"/>
  <c r="AL11" i="97"/>
  <c r="AL19" i="97"/>
  <c r="AL13" i="97"/>
  <c r="AL44" i="97"/>
  <c r="AL40" i="97"/>
  <c r="AL69" i="97"/>
  <c r="AL77" i="97"/>
  <c r="AL59" i="97"/>
  <c r="AL80" i="97"/>
  <c r="AL94" i="97"/>
  <c r="AL42" i="97"/>
  <c r="AL60" i="97"/>
  <c r="AL71" i="97"/>
  <c r="AL26" i="97"/>
  <c r="AL49" i="97"/>
  <c r="AL17" i="97"/>
  <c r="AL55" i="97"/>
  <c r="AL39" i="97"/>
  <c r="AL72" i="97"/>
  <c r="AL81" i="97"/>
  <c r="AL56" i="97"/>
  <c r="AL85" i="97"/>
  <c r="AL91" i="97"/>
  <c r="AL70" i="97"/>
  <c r="AL97" i="97"/>
  <c r="AL31" i="97"/>
  <c r="AL15" i="97"/>
  <c r="AL35" i="97"/>
  <c r="AL58" i="97"/>
  <c r="AL47" i="97"/>
  <c r="AL52" i="97"/>
  <c r="AL75" i="97"/>
  <c r="AL78" i="97"/>
  <c r="AL86" i="97"/>
  <c r="AL88" i="97"/>
  <c r="AL48" i="97"/>
  <c r="AL89" i="97"/>
  <c r="AL84" i="97"/>
  <c r="AL37" i="97"/>
  <c r="AL41" i="97"/>
  <c r="AL28" i="97"/>
  <c r="AL63" i="97"/>
  <c r="AL34" i="97"/>
  <c r="AL46" i="97"/>
  <c r="AL79" i="97"/>
  <c r="AL95" i="97"/>
  <c r="AL73" i="97"/>
  <c r="AL96" i="97"/>
  <c r="AL23" i="97"/>
  <c r="AL18" i="97"/>
  <c r="AL38" i="97"/>
  <c r="AL22" i="97"/>
  <c r="AL29" i="97"/>
  <c r="AL67" i="97"/>
  <c r="AL45" i="97"/>
  <c r="AL53" i="97"/>
  <c r="AL62" i="97"/>
  <c r="AL66" i="97"/>
  <c r="AL82" i="97"/>
  <c r="AL93" i="97"/>
  <c r="AL51" i="97"/>
  <c r="AL33" i="97"/>
  <c r="AL61" i="97"/>
  <c r="AL24" i="97"/>
  <c r="AM88" i="97"/>
  <c r="AM92" i="97"/>
  <c r="AM85" i="97"/>
  <c r="AM83" i="97"/>
  <c r="AM78" i="97"/>
  <c r="AM64" i="97"/>
  <c r="AM75" i="97"/>
  <c r="AM61" i="97"/>
  <c r="AM67" i="97"/>
  <c r="AM41" i="97"/>
  <c r="AM72" i="97"/>
  <c r="AM71" i="97"/>
  <c r="AM11" i="97"/>
  <c r="AM28" i="97"/>
  <c r="AM35" i="97"/>
  <c r="AM18" i="97"/>
  <c r="AM12" i="97"/>
  <c r="AN7" i="97"/>
  <c r="AM14" i="97"/>
  <c r="AM34" i="97"/>
  <c r="AM13" i="97"/>
  <c r="AM8" i="97"/>
  <c r="AM91" i="97" s="1"/>
  <c r="AL16" i="97"/>
  <c r="AL27" i="97"/>
  <c r="AL57" i="97"/>
  <c r="AL64" i="97"/>
  <c r="AL74" i="97"/>
  <c r="AL92" i="97"/>
  <c r="AN13" i="95"/>
  <c r="AN40" i="95"/>
  <c r="AN47" i="95"/>
  <c r="AN62" i="95"/>
  <c r="AN97" i="95"/>
  <c r="AN48" i="95"/>
  <c r="AN80" i="95"/>
  <c r="AN19" i="95"/>
  <c r="AN30" i="95"/>
  <c r="AN53" i="95"/>
  <c r="AN84" i="95"/>
  <c r="AN22" i="95"/>
  <c r="AN49" i="95"/>
  <c r="AN55" i="95"/>
  <c r="AN29" i="95"/>
  <c r="AN35" i="95"/>
  <c r="AN68" i="95"/>
  <c r="AN67" i="95"/>
  <c r="AN50" i="95"/>
  <c r="AN58" i="95"/>
  <c r="AN27" i="95"/>
  <c r="AN90" i="95"/>
  <c r="AN16" i="95"/>
  <c r="AN34" i="95"/>
  <c r="AN57" i="95"/>
  <c r="AN82" i="95"/>
  <c r="AN25" i="95"/>
  <c r="AN28" i="95"/>
  <c r="AN46" i="95"/>
  <c r="AN75" i="95"/>
  <c r="AN91" i="95"/>
  <c r="AN11" i="95"/>
  <c r="AN17" i="95"/>
  <c r="AN12" i="95"/>
  <c r="AN26" i="95"/>
  <c r="AN20" i="95"/>
  <c r="AN66" i="95"/>
  <c r="AN33" i="95"/>
  <c r="AN51" i="95"/>
  <c r="AN44" i="95"/>
  <c r="AN95" i="95"/>
  <c r="AN79" i="95"/>
  <c r="AN86" i="95"/>
  <c r="AN88" i="95"/>
  <c r="AN96" i="95"/>
  <c r="AN38" i="95"/>
  <c r="AN41" i="95"/>
  <c r="AN52" i="95"/>
  <c r="AN81" i="95"/>
  <c r="AN72" i="95"/>
  <c r="AN59" i="95"/>
  <c r="AN64" i="95"/>
  <c r="AN61" i="95"/>
  <c r="AN73" i="95"/>
  <c r="AN89" i="95"/>
  <c r="AO8" i="95"/>
  <c r="AO88" i="95" s="1"/>
  <c r="AP7" i="95"/>
  <c r="AQ7" i="95" s="1"/>
  <c r="AR7" i="95" s="1"/>
  <c r="AN39" i="95"/>
  <c r="AN42" i="95"/>
  <c r="AN56" i="95"/>
  <c r="AN93" i="95"/>
  <c r="AN71" i="95"/>
  <c r="AN63" i="95"/>
  <c r="AN69" i="95"/>
  <c r="AN74" i="95"/>
  <c r="AN83" i="95"/>
  <c r="AN92" i="95"/>
  <c r="AN23" i="95"/>
  <c r="AN15" i="95"/>
  <c r="AN18" i="95"/>
  <c r="AN24" i="95"/>
  <c r="AN14" i="95"/>
  <c r="AN45" i="95"/>
  <c r="AN60" i="95"/>
  <c r="AN36" i="95"/>
  <c r="AN37" i="95"/>
  <c r="AN78" i="95"/>
  <c r="AN70" i="95"/>
  <c r="AN77" i="95"/>
  <c r="AN85" i="95"/>
  <c r="AO16" i="95" l="1"/>
  <c r="AO11" i="95"/>
  <c r="AO72" i="95"/>
  <c r="AO17" i="95"/>
  <c r="AM25" i="59"/>
  <c r="AM47" i="59"/>
  <c r="AM81" i="59"/>
  <c r="AM36" i="59"/>
  <c r="AM27" i="59"/>
  <c r="AM35" i="59"/>
  <c r="AM16" i="59"/>
  <c r="AM42" i="59"/>
  <c r="AM52" i="59"/>
  <c r="AM64" i="59"/>
  <c r="AM75" i="59"/>
  <c r="AM63" i="59"/>
  <c r="AM86" i="59"/>
  <c r="AM96" i="59"/>
  <c r="AM22" i="59"/>
  <c r="AM14" i="59"/>
  <c r="AM24" i="59"/>
  <c r="AM33" i="59"/>
  <c r="AM30" i="59"/>
  <c r="AM55" i="59"/>
  <c r="AM71" i="59"/>
  <c r="AM57" i="59"/>
  <c r="AM77" i="59"/>
  <c r="AM92" i="59"/>
  <c r="AM13" i="59"/>
  <c r="AM40" i="59"/>
  <c r="AM31" i="59"/>
  <c r="AM41" i="59"/>
  <c r="AM39" i="59"/>
  <c r="AM58" i="59"/>
  <c r="AM67" i="59"/>
  <c r="AM59" i="59"/>
  <c r="AM80" i="59"/>
  <c r="AM89" i="59"/>
  <c r="AM20" i="59"/>
  <c r="AM51" i="59"/>
  <c r="AM23" i="59"/>
  <c r="AM48" i="59"/>
  <c r="AM49" i="59"/>
  <c r="AM44" i="59"/>
  <c r="AM70" i="59"/>
  <c r="AM62" i="59"/>
  <c r="AM83" i="59"/>
  <c r="AM97" i="59"/>
  <c r="AN56" i="59"/>
  <c r="AN66" i="59"/>
  <c r="AN35" i="59"/>
  <c r="AN18" i="59"/>
  <c r="AO7" i="59"/>
  <c r="AN8" i="59"/>
  <c r="AN97" i="59" s="1"/>
  <c r="AN25" i="59"/>
  <c r="AN41" i="59"/>
  <c r="AM46" i="59"/>
  <c r="AM93" i="59"/>
  <c r="AM12" i="59"/>
  <c r="AM26" i="59"/>
  <c r="AM29" i="59"/>
  <c r="AM28" i="59"/>
  <c r="AM50" i="59"/>
  <c r="AM56" i="59"/>
  <c r="AM73" i="59"/>
  <c r="AM66" i="59"/>
  <c r="AM74" i="59"/>
  <c r="AM94" i="59"/>
  <c r="AM18" i="59"/>
  <c r="AM11" i="59"/>
  <c r="AM19" i="59"/>
  <c r="AM37" i="59"/>
  <c r="AM53" i="59"/>
  <c r="AM60" i="59"/>
  <c r="AM82" i="59"/>
  <c r="AM69" i="59"/>
  <c r="AM78" i="59"/>
  <c r="AM91" i="59"/>
  <c r="AM79" i="59"/>
  <c r="AM68" i="59"/>
  <c r="AM72" i="59"/>
  <c r="AM15" i="59"/>
  <c r="AM17" i="59"/>
  <c r="AM38" i="59"/>
  <c r="AM34" i="59"/>
  <c r="AM45" i="59"/>
  <c r="AM61" i="59"/>
  <c r="AM84" i="59"/>
  <c r="AM85" i="59"/>
  <c r="AM90" i="59"/>
  <c r="AM14" i="113"/>
  <c r="AM35" i="113"/>
  <c r="AM20" i="113"/>
  <c r="AM28" i="113"/>
  <c r="AM41" i="113"/>
  <c r="AM31" i="113"/>
  <c r="AM68" i="113"/>
  <c r="AM78" i="113"/>
  <c r="AM86" i="113"/>
  <c r="AM92" i="113"/>
  <c r="AM48" i="113"/>
  <c r="AM23" i="113"/>
  <c r="AM42" i="113"/>
  <c r="AM50" i="113"/>
  <c r="AM40" i="113"/>
  <c r="AM73" i="113"/>
  <c r="AM85" i="113"/>
  <c r="AM90" i="113"/>
  <c r="AM89" i="113"/>
  <c r="AM12" i="113"/>
  <c r="AM25" i="113"/>
  <c r="AM26" i="113"/>
  <c r="AM36" i="113"/>
  <c r="AM47" i="113"/>
  <c r="AM49" i="113"/>
  <c r="AM59" i="113"/>
  <c r="AM63" i="113"/>
  <c r="AM82" i="113"/>
  <c r="AM97" i="113"/>
  <c r="AM17" i="113"/>
  <c r="AM27" i="113"/>
  <c r="AM34" i="113"/>
  <c r="AM64" i="113"/>
  <c r="AM53" i="113"/>
  <c r="AM46" i="113"/>
  <c r="AM67" i="113"/>
  <c r="AM72" i="113"/>
  <c r="AM79" i="113"/>
  <c r="AM94" i="113"/>
  <c r="AN95" i="113"/>
  <c r="AN71" i="113"/>
  <c r="AN78" i="113"/>
  <c r="AN72" i="113"/>
  <c r="AN61" i="113"/>
  <c r="AN59" i="113"/>
  <c r="AN28" i="113"/>
  <c r="AN30" i="113"/>
  <c r="AN24" i="113"/>
  <c r="AN8" i="113"/>
  <c r="AN88" i="113" s="1"/>
  <c r="AN16" i="113"/>
  <c r="AO7" i="113"/>
  <c r="AM29" i="113"/>
  <c r="AM39" i="113"/>
  <c r="AM24" i="113"/>
  <c r="AM44" i="113"/>
  <c r="AM51" i="113"/>
  <c r="AM55" i="113"/>
  <c r="AM83" i="113"/>
  <c r="AM75" i="113"/>
  <c r="AN78" i="111"/>
  <c r="AN96" i="111"/>
  <c r="AN15" i="111"/>
  <c r="AN45" i="111"/>
  <c r="AN79" i="111"/>
  <c r="AN67" i="111"/>
  <c r="AN77" i="111"/>
  <c r="AN74" i="111"/>
  <c r="AN92" i="111"/>
  <c r="AN75" i="111"/>
  <c r="AN20" i="111"/>
  <c r="AN18" i="111"/>
  <c r="AN35" i="111"/>
  <c r="AN27" i="111"/>
  <c r="AN42" i="111"/>
  <c r="AN53" i="111"/>
  <c r="AN80" i="111"/>
  <c r="AN85" i="111"/>
  <c r="AN97" i="111"/>
  <c r="AN23" i="111"/>
  <c r="AN19" i="111"/>
  <c r="AN37" i="111"/>
  <c r="AN40" i="111"/>
  <c r="AN59" i="111"/>
  <c r="AN46" i="111"/>
  <c r="AN57" i="111"/>
  <c r="AN83" i="111"/>
  <c r="AN93" i="111"/>
  <c r="AN94" i="111"/>
  <c r="AN26" i="111"/>
  <c r="AO56" i="111"/>
  <c r="AO73" i="111"/>
  <c r="AO53" i="111"/>
  <c r="AO40" i="111"/>
  <c r="AO45" i="111"/>
  <c r="AO39" i="111"/>
  <c r="AO8" i="111"/>
  <c r="AO97" i="111" s="1"/>
  <c r="AO25" i="111"/>
  <c r="AO19" i="111"/>
  <c r="AO46" i="111"/>
  <c r="AP7" i="111"/>
  <c r="AO12" i="111"/>
  <c r="AO31" i="111"/>
  <c r="AN50" i="111"/>
  <c r="AN51" i="111"/>
  <c r="AN69" i="111"/>
  <c r="AN56" i="111"/>
  <c r="AN84" i="111"/>
  <c r="AN44" i="111"/>
  <c r="AN72" i="111"/>
  <c r="AM42" i="109"/>
  <c r="AM29" i="109"/>
  <c r="AM51" i="109"/>
  <c r="AM62" i="109"/>
  <c r="AM77" i="109"/>
  <c r="AM79" i="109"/>
  <c r="AM96" i="109"/>
  <c r="AM22" i="109"/>
  <c r="AM26" i="109"/>
  <c r="AM34" i="109"/>
  <c r="AM75" i="109"/>
  <c r="AM38" i="109"/>
  <c r="AM19" i="109"/>
  <c r="AM81" i="109"/>
  <c r="AM73" i="109"/>
  <c r="AM64" i="109"/>
  <c r="AM84" i="109"/>
  <c r="AM93" i="109"/>
  <c r="AM17" i="109"/>
  <c r="AM60" i="109"/>
  <c r="AM78" i="109"/>
  <c r="AM16" i="109"/>
  <c r="AM15" i="109"/>
  <c r="AM35" i="109"/>
  <c r="AM36" i="109"/>
  <c r="AM14" i="109"/>
  <c r="AM28" i="109"/>
  <c r="AM55" i="109"/>
  <c r="AM86" i="109"/>
  <c r="AM68" i="109"/>
  <c r="AM95" i="109"/>
  <c r="AM23" i="109"/>
  <c r="AM37" i="109"/>
  <c r="AM57" i="109"/>
  <c r="AM74" i="109"/>
  <c r="AM71" i="109"/>
  <c r="AM89" i="109"/>
  <c r="AM18" i="109"/>
  <c r="AM24" i="109"/>
  <c r="AM52" i="109"/>
  <c r="AM82" i="109"/>
  <c r="AM31" i="109"/>
  <c r="AM85" i="109"/>
  <c r="AM66" i="109"/>
  <c r="AM58" i="109"/>
  <c r="AM92" i="109"/>
  <c r="AM97" i="109"/>
  <c r="AM11" i="109"/>
  <c r="AM25" i="109"/>
  <c r="AM27" i="109"/>
  <c r="AM30" i="109"/>
  <c r="AM40" i="109"/>
  <c r="AM49" i="109"/>
  <c r="AM69" i="109"/>
  <c r="AM61" i="109"/>
  <c r="AM70" i="109"/>
  <c r="AM94" i="109"/>
  <c r="AM44" i="109"/>
  <c r="AM33" i="109"/>
  <c r="AM41" i="109"/>
  <c r="AM47" i="109"/>
  <c r="AM45" i="109"/>
  <c r="AM56" i="109"/>
  <c r="AM90" i="109"/>
  <c r="AM67" i="109"/>
  <c r="AM80" i="109"/>
  <c r="AM91" i="109"/>
  <c r="AN88" i="109"/>
  <c r="AN97" i="109"/>
  <c r="AN79" i="109"/>
  <c r="AN64" i="109"/>
  <c r="AN61" i="109"/>
  <c r="AN68" i="109"/>
  <c r="AN70" i="109"/>
  <c r="AN66" i="109"/>
  <c r="AN51" i="109"/>
  <c r="AN40" i="109"/>
  <c r="AN44" i="109"/>
  <c r="AN17" i="109"/>
  <c r="AN41" i="109"/>
  <c r="AN15" i="109"/>
  <c r="AN50" i="109"/>
  <c r="AN57" i="109"/>
  <c r="AN27" i="109"/>
  <c r="AN47" i="109"/>
  <c r="AN30" i="109"/>
  <c r="AN8" i="109"/>
  <c r="AN89" i="109" s="1"/>
  <c r="AN28" i="109"/>
  <c r="AO7" i="109"/>
  <c r="AN12" i="109"/>
  <c r="AN11" i="109"/>
  <c r="AN13" i="109"/>
  <c r="AN38" i="109"/>
  <c r="AN59" i="109"/>
  <c r="AN37" i="109"/>
  <c r="AM39" i="109"/>
  <c r="AM53" i="109"/>
  <c r="AM20" i="109"/>
  <c r="AM48" i="109"/>
  <c r="AM63" i="109"/>
  <c r="AM59" i="109"/>
  <c r="AM72" i="109"/>
  <c r="AM83" i="109"/>
  <c r="AN91" i="107"/>
  <c r="AO89" i="107"/>
  <c r="AO92" i="107"/>
  <c r="AO95" i="107"/>
  <c r="AO86" i="107"/>
  <c r="AO82" i="107"/>
  <c r="AO84" i="107"/>
  <c r="AO77" i="107"/>
  <c r="AO71" i="107"/>
  <c r="AO96" i="107"/>
  <c r="AO75" i="107"/>
  <c r="AO74" i="107"/>
  <c r="AO80" i="107"/>
  <c r="AO83" i="107"/>
  <c r="AO70" i="107"/>
  <c r="AO67" i="107"/>
  <c r="AO63" i="107"/>
  <c r="AO33" i="107"/>
  <c r="AO78" i="107"/>
  <c r="AO53" i="107"/>
  <c r="AO45" i="107"/>
  <c r="AO58" i="107"/>
  <c r="AO42" i="107"/>
  <c r="AO38" i="107"/>
  <c r="AO49" i="107"/>
  <c r="AO59" i="107"/>
  <c r="AO66" i="107"/>
  <c r="AO37" i="107"/>
  <c r="AO30" i="107"/>
  <c r="AO26" i="107"/>
  <c r="AO17" i="107"/>
  <c r="AO29" i="107"/>
  <c r="AO20" i="107"/>
  <c r="AO40" i="107"/>
  <c r="AO28" i="107"/>
  <c r="AO16" i="107"/>
  <c r="AO12" i="107"/>
  <c r="AO25" i="107"/>
  <c r="AO15" i="107"/>
  <c r="AO8" i="107"/>
  <c r="AO90" i="107" s="1"/>
  <c r="AO47" i="107"/>
  <c r="AO18" i="107"/>
  <c r="AO11" i="107"/>
  <c r="AO44" i="107"/>
  <c r="AO14" i="107"/>
  <c r="AP7" i="107"/>
  <c r="AO19" i="107"/>
  <c r="AN25" i="107"/>
  <c r="AN17" i="107"/>
  <c r="AN28" i="107"/>
  <c r="AN49" i="107"/>
  <c r="AN53" i="107"/>
  <c r="AN71" i="107"/>
  <c r="AN66" i="107"/>
  <c r="AN74" i="107"/>
  <c r="AN95" i="107"/>
  <c r="AN34" i="107"/>
  <c r="AN36" i="107"/>
  <c r="AN26" i="107"/>
  <c r="AN37" i="107"/>
  <c r="AN56" i="107"/>
  <c r="AN33" i="107"/>
  <c r="AN83" i="107"/>
  <c r="AN52" i="107"/>
  <c r="AN81" i="107"/>
  <c r="AN26" i="105"/>
  <c r="AN16" i="105"/>
  <c r="AN20" i="105"/>
  <c r="AN35" i="105"/>
  <c r="AN45" i="105"/>
  <c r="AN52" i="105"/>
  <c r="AN66" i="105"/>
  <c r="AN85" i="105"/>
  <c r="AN90" i="105"/>
  <c r="AN89" i="105"/>
  <c r="AO68" i="105"/>
  <c r="AO8" i="105"/>
  <c r="AO86" i="105" s="1"/>
  <c r="AP7" i="105"/>
  <c r="AN92" i="105"/>
  <c r="AN53" i="105"/>
  <c r="AN29" i="105"/>
  <c r="AN25" i="105"/>
  <c r="AN41" i="105"/>
  <c r="AN47" i="105"/>
  <c r="AN55" i="105"/>
  <c r="AN62" i="105"/>
  <c r="AN61" i="105"/>
  <c r="AN84" i="105"/>
  <c r="AN97" i="105"/>
  <c r="AN79" i="105"/>
  <c r="AN13" i="105"/>
  <c r="AN15" i="105"/>
  <c r="AN59" i="105"/>
  <c r="AN44" i="105"/>
  <c r="AN58" i="105"/>
  <c r="AN51" i="105"/>
  <c r="AN71" i="105"/>
  <c r="AN70" i="105"/>
  <c r="AN78" i="105"/>
  <c r="AN94" i="105"/>
  <c r="AN39" i="105"/>
  <c r="AN12" i="105"/>
  <c r="AN38" i="105"/>
  <c r="AN42" i="105"/>
  <c r="AN46" i="105"/>
  <c r="AN57" i="105"/>
  <c r="AN64" i="105"/>
  <c r="AN50" i="105"/>
  <c r="AN24" i="105"/>
  <c r="AN17" i="105"/>
  <c r="AN28" i="105"/>
  <c r="AN80" i="105"/>
  <c r="AN81" i="105"/>
  <c r="AN77" i="105"/>
  <c r="AN75" i="105"/>
  <c r="AN74" i="105"/>
  <c r="AN35" i="103"/>
  <c r="AN55" i="103"/>
  <c r="AN42" i="103"/>
  <c r="AN71" i="103"/>
  <c r="AN75" i="103"/>
  <c r="AN81" i="103"/>
  <c r="AN91" i="103"/>
  <c r="AN14" i="103"/>
  <c r="AN18" i="103"/>
  <c r="AN44" i="103"/>
  <c r="AN56" i="103"/>
  <c r="AN60" i="103"/>
  <c r="AN63" i="103"/>
  <c r="AN68" i="103"/>
  <c r="AN77" i="103"/>
  <c r="AN86" i="103"/>
  <c r="AN96" i="103"/>
  <c r="AN95" i="103"/>
  <c r="AO92" i="103"/>
  <c r="AO90" i="103"/>
  <c r="AO85" i="103"/>
  <c r="AO80" i="103"/>
  <c r="AO81" i="103"/>
  <c r="AO69" i="103"/>
  <c r="AO58" i="103"/>
  <c r="AO55" i="103"/>
  <c r="AO63" i="103"/>
  <c r="AO44" i="103"/>
  <c r="AO41" i="103"/>
  <c r="AO64" i="103"/>
  <c r="AO27" i="103"/>
  <c r="AO39" i="103"/>
  <c r="AO31" i="103"/>
  <c r="AO23" i="103"/>
  <c r="AO51" i="103"/>
  <c r="AO26" i="103"/>
  <c r="AP7" i="103"/>
  <c r="AO30" i="103"/>
  <c r="AO36" i="103"/>
  <c r="AO28" i="103"/>
  <c r="AO20" i="103"/>
  <c r="AO18" i="103"/>
  <c r="AO15" i="103"/>
  <c r="AO35" i="103"/>
  <c r="AO22" i="103"/>
  <c r="AO8" i="103"/>
  <c r="AO93" i="103" s="1"/>
  <c r="AN33" i="103"/>
  <c r="AN53" i="103"/>
  <c r="AN52" i="103"/>
  <c r="AN78" i="103"/>
  <c r="AN73" i="103"/>
  <c r="AN82" i="103"/>
  <c r="AN92" i="103"/>
  <c r="AN48" i="103"/>
  <c r="AN11" i="103"/>
  <c r="AN31" i="103"/>
  <c r="AN29" i="103"/>
  <c r="AN37" i="103"/>
  <c r="AN40" i="103"/>
  <c r="AN61" i="103"/>
  <c r="AN80" i="103"/>
  <c r="AN93" i="103"/>
  <c r="AN89" i="103"/>
  <c r="AN20" i="103"/>
  <c r="AN27" i="103"/>
  <c r="AN50" i="103"/>
  <c r="AN45" i="103"/>
  <c r="AN62" i="103"/>
  <c r="AN49" i="103"/>
  <c r="AN66" i="103"/>
  <c r="AN58" i="103"/>
  <c r="AN79" i="103"/>
  <c r="AN97" i="103"/>
  <c r="AN67" i="103"/>
  <c r="AN84" i="103"/>
  <c r="AM58" i="101"/>
  <c r="AM57" i="101"/>
  <c r="AM82" i="101"/>
  <c r="AM97" i="101"/>
  <c r="AM25" i="101"/>
  <c r="AM53" i="101"/>
  <c r="AM46" i="101"/>
  <c r="AM55" i="101"/>
  <c r="AM77" i="101"/>
  <c r="AM84" i="101"/>
  <c r="AM91" i="101"/>
  <c r="AN94" i="101"/>
  <c r="AN89" i="101"/>
  <c r="AN75" i="101"/>
  <c r="AN90" i="101"/>
  <c r="AN77" i="101"/>
  <c r="AN74" i="101"/>
  <c r="AN72" i="101"/>
  <c r="AN78" i="101"/>
  <c r="AN67" i="101"/>
  <c r="AN70" i="101"/>
  <c r="AN40" i="101"/>
  <c r="AN57" i="101"/>
  <c r="AN44" i="101"/>
  <c r="AN53" i="101"/>
  <c r="AN50" i="101"/>
  <c r="AN71" i="101"/>
  <c r="AN48" i="101"/>
  <c r="AN35" i="101"/>
  <c r="AN25" i="101"/>
  <c r="AN52" i="101"/>
  <c r="AN42" i="101"/>
  <c r="AN36" i="101"/>
  <c r="AN68" i="101"/>
  <c r="AN56" i="101"/>
  <c r="AN51" i="101"/>
  <c r="AN66" i="101"/>
  <c r="AN55" i="101"/>
  <c r="AN20" i="101"/>
  <c r="AN26" i="101"/>
  <c r="AN16" i="101"/>
  <c r="AN18" i="101"/>
  <c r="AN11" i="101"/>
  <c r="AO7" i="101"/>
  <c r="AN17" i="101"/>
  <c r="AN23" i="101"/>
  <c r="AN22" i="101"/>
  <c r="AN19" i="101"/>
  <c r="AN12" i="101"/>
  <c r="AN8" i="101"/>
  <c r="AN92" i="101" s="1"/>
  <c r="AN31" i="101"/>
  <c r="AN13" i="101"/>
  <c r="AM11" i="101"/>
  <c r="AM51" i="101"/>
  <c r="AM39" i="101"/>
  <c r="AM30" i="101"/>
  <c r="AM35" i="101"/>
  <c r="AM68" i="101"/>
  <c r="AM73" i="101"/>
  <c r="AM85" i="101"/>
  <c r="AM81" i="101"/>
  <c r="AM96" i="101"/>
  <c r="AM12" i="101"/>
  <c r="AM18" i="101"/>
  <c r="AM29" i="101"/>
  <c r="AM31" i="101"/>
  <c r="AM41" i="101"/>
  <c r="AM44" i="101"/>
  <c r="AM70" i="101"/>
  <c r="AM60" i="101"/>
  <c r="AM78" i="101"/>
  <c r="AM90" i="101"/>
  <c r="AM93" i="101"/>
  <c r="AM19" i="101"/>
  <c r="AM20" i="101"/>
  <c r="AM56" i="101"/>
  <c r="AM50" i="101"/>
  <c r="AM27" i="101"/>
  <c r="AM40" i="101"/>
  <c r="AM74" i="101"/>
  <c r="AM69" i="101"/>
  <c r="AM83" i="101"/>
  <c r="AM15" i="99"/>
  <c r="AM22" i="99"/>
  <c r="AN91" i="99"/>
  <c r="AN89" i="99"/>
  <c r="AN95" i="99"/>
  <c r="AN80" i="99"/>
  <c r="AN74" i="99"/>
  <c r="AN78" i="99"/>
  <c r="AN81" i="99"/>
  <c r="AN75" i="99"/>
  <c r="AN79" i="99"/>
  <c r="AN51" i="99"/>
  <c r="AN58" i="99"/>
  <c r="AN73" i="99"/>
  <c r="AN59" i="99"/>
  <c r="AN85" i="99"/>
  <c r="AN48" i="99"/>
  <c r="AN33" i="99"/>
  <c r="AN45" i="99"/>
  <c r="AN62" i="99"/>
  <c r="AN46" i="99"/>
  <c r="AN23" i="99"/>
  <c r="AN34" i="99"/>
  <c r="AN53" i="99"/>
  <c r="AN16" i="99"/>
  <c r="AN11" i="99"/>
  <c r="AN14" i="99"/>
  <c r="AO7" i="99"/>
  <c r="AN29" i="99"/>
  <c r="AN30" i="99"/>
  <c r="AN25" i="99"/>
  <c r="AN28" i="99"/>
  <c r="AN8" i="99"/>
  <c r="AN92" i="99" s="1"/>
  <c r="AN24" i="99"/>
  <c r="AM29" i="99"/>
  <c r="AM49" i="99"/>
  <c r="AM44" i="99"/>
  <c r="AM60" i="99"/>
  <c r="AM84" i="99"/>
  <c r="AM71" i="99"/>
  <c r="AM89" i="99"/>
  <c r="AM39" i="99"/>
  <c r="AM19" i="99"/>
  <c r="AM25" i="99"/>
  <c r="AM31" i="99"/>
  <c r="AM64" i="99"/>
  <c r="AM50" i="99"/>
  <c r="AM57" i="99"/>
  <c r="AM78" i="99"/>
  <c r="AM77" i="99"/>
  <c r="AM91" i="99"/>
  <c r="AM58" i="99"/>
  <c r="AM27" i="99"/>
  <c r="AM36" i="99"/>
  <c r="AM35" i="99"/>
  <c r="AM41" i="99"/>
  <c r="AM73" i="99"/>
  <c r="AM69" i="99"/>
  <c r="AM66" i="99"/>
  <c r="AM85" i="99"/>
  <c r="AM88" i="99"/>
  <c r="AM18" i="99"/>
  <c r="AM34" i="99"/>
  <c r="AM33" i="99"/>
  <c r="AM46" i="99"/>
  <c r="AM37" i="99"/>
  <c r="AM38" i="99"/>
  <c r="AM61" i="99"/>
  <c r="AM79" i="99"/>
  <c r="AM74" i="99"/>
  <c r="AM86" i="99"/>
  <c r="AM96" i="99"/>
  <c r="AM12" i="99"/>
  <c r="AM16" i="99"/>
  <c r="AM56" i="99"/>
  <c r="AM28" i="99"/>
  <c r="AM51" i="99"/>
  <c r="AM82" i="99"/>
  <c r="AM67" i="99"/>
  <c r="AM83" i="99"/>
  <c r="AM95" i="99"/>
  <c r="AM93" i="99"/>
  <c r="AM17" i="99"/>
  <c r="AM53" i="99"/>
  <c r="AM26" i="99"/>
  <c r="AM52" i="99"/>
  <c r="AM47" i="99"/>
  <c r="AM63" i="99"/>
  <c r="AM55" i="99"/>
  <c r="AM75" i="99"/>
  <c r="AM90" i="99"/>
  <c r="AM23" i="97"/>
  <c r="AM45" i="97"/>
  <c r="AM25" i="97"/>
  <c r="AM17" i="97"/>
  <c r="AM19" i="97"/>
  <c r="AM30" i="97"/>
  <c r="AM82" i="97"/>
  <c r="AM79" i="97"/>
  <c r="AM66" i="97"/>
  <c r="AM86" i="97"/>
  <c r="AM96" i="97"/>
  <c r="AM81" i="97"/>
  <c r="AM60" i="97"/>
  <c r="AM26" i="97"/>
  <c r="AM27" i="97"/>
  <c r="AM39" i="97"/>
  <c r="AM49" i="97"/>
  <c r="AM62" i="97"/>
  <c r="AM74" i="97"/>
  <c r="AM95" i="97"/>
  <c r="AM93" i="97"/>
  <c r="AM29" i="97"/>
  <c r="AM73" i="97"/>
  <c r="AM33" i="97"/>
  <c r="AM31" i="97"/>
  <c r="AM40" i="97"/>
  <c r="AM50" i="97"/>
  <c r="AM46" i="97"/>
  <c r="AM70" i="97"/>
  <c r="AM90" i="97"/>
  <c r="AM89" i="97"/>
  <c r="AM15" i="97"/>
  <c r="AN95" i="97"/>
  <c r="AN93" i="97"/>
  <c r="AN53" i="97"/>
  <c r="AN61" i="97"/>
  <c r="AN34" i="97"/>
  <c r="AN36" i="97"/>
  <c r="AO7" i="97"/>
  <c r="AN37" i="97"/>
  <c r="AN27" i="97"/>
  <c r="AN13" i="97"/>
  <c r="AN8" i="97"/>
  <c r="AN96" i="97" s="1"/>
  <c r="AN18" i="97"/>
  <c r="AN59" i="97"/>
  <c r="AM24" i="97"/>
  <c r="AM36" i="97"/>
  <c r="AM42" i="97"/>
  <c r="AM47" i="97"/>
  <c r="AM53" i="97"/>
  <c r="AM84" i="97"/>
  <c r="AM80" i="97"/>
  <c r="AM97" i="97"/>
  <c r="AM16" i="97"/>
  <c r="AM38" i="97"/>
  <c r="AM48" i="97"/>
  <c r="AM44" i="97"/>
  <c r="AM51" i="97"/>
  <c r="AM55" i="97"/>
  <c r="AM56" i="97"/>
  <c r="AM59" i="97"/>
  <c r="AM68" i="97"/>
  <c r="AM94" i="97"/>
  <c r="AM20" i="97"/>
  <c r="AM22" i="97"/>
  <c r="AM52" i="97"/>
  <c r="AM63" i="97"/>
  <c r="AM37" i="97"/>
  <c r="AM58" i="97"/>
  <c r="AM57" i="97"/>
  <c r="AM69" i="97"/>
  <c r="AM77" i="97"/>
  <c r="AO18" i="95"/>
  <c r="AO36" i="95"/>
  <c r="AO57" i="95"/>
  <c r="AO58" i="95"/>
  <c r="AO23" i="95"/>
  <c r="AO85" i="95"/>
  <c r="AO91" i="95"/>
  <c r="AO56" i="95"/>
  <c r="AO96" i="95"/>
  <c r="AO22" i="95"/>
  <c r="AO28" i="95"/>
  <c r="AO69" i="95"/>
  <c r="AO24" i="95"/>
  <c r="AO13" i="95"/>
  <c r="AO79" i="95"/>
  <c r="AO30" i="95"/>
  <c r="AO33" i="95"/>
  <c r="AO61" i="95"/>
  <c r="AO27" i="95"/>
  <c r="AO55" i="95"/>
  <c r="AO97" i="95"/>
  <c r="AO86" i="95"/>
  <c r="AO66" i="95"/>
  <c r="AO42" i="95"/>
  <c r="AO83" i="95"/>
  <c r="AO71" i="95"/>
  <c r="AQ8" i="95"/>
  <c r="AQ62" i="95" s="1"/>
  <c r="AO48" i="95"/>
  <c r="AO37" i="95"/>
  <c r="AO74" i="95"/>
  <c r="AO14" i="95"/>
  <c r="AO44" i="95"/>
  <c r="AO75" i="95"/>
  <c r="AO82" i="95"/>
  <c r="AO59" i="95"/>
  <c r="AO46" i="95"/>
  <c r="AO64" i="95"/>
  <c r="AO84" i="95"/>
  <c r="AO81" i="95"/>
  <c r="AO34" i="95"/>
  <c r="AO38" i="95"/>
  <c r="AO12" i="95"/>
  <c r="AO50" i="95"/>
  <c r="AO52" i="95"/>
  <c r="AO80" i="95"/>
  <c r="AO68" i="95"/>
  <c r="AO90" i="95"/>
  <c r="AO15" i="95"/>
  <c r="AO20" i="95"/>
  <c r="AO19" i="95"/>
  <c r="AO45" i="95"/>
  <c r="AO39" i="95"/>
  <c r="AO62" i="95"/>
  <c r="AO95" i="95"/>
  <c r="AO29" i="95"/>
  <c r="AO35" i="95"/>
  <c r="AO25" i="95"/>
  <c r="AO53" i="95"/>
  <c r="AO51" i="95"/>
  <c r="AO77" i="95"/>
  <c r="AO31" i="95"/>
  <c r="AO78" i="95"/>
  <c r="AO89" i="95"/>
  <c r="AO49" i="95"/>
  <c r="AO73" i="95"/>
  <c r="AO60" i="95"/>
  <c r="AO92" i="95"/>
  <c r="AP8" i="95"/>
  <c r="AP96" i="95" s="1"/>
  <c r="AO26" i="95"/>
  <c r="AO40" i="95"/>
  <c r="AO63" i="95"/>
  <c r="AO47" i="95"/>
  <c r="AO41" i="95"/>
  <c r="AO70" i="95"/>
  <c r="AO94" i="95"/>
  <c r="AO67" i="95"/>
  <c r="AO93" i="95"/>
  <c r="D22" i="2"/>
  <c r="AQ84" i="95" l="1"/>
  <c r="AQ88" i="95"/>
  <c r="AQ14" i="95"/>
  <c r="AN22" i="59"/>
  <c r="AN39" i="59"/>
  <c r="AN72" i="59"/>
  <c r="AN53" i="59"/>
  <c r="AN45" i="59"/>
  <c r="AN90" i="59"/>
  <c r="AN30" i="59"/>
  <c r="AN49" i="59"/>
  <c r="AN71" i="59"/>
  <c r="AN37" i="59"/>
  <c r="AN51" i="59"/>
  <c r="AN85" i="59"/>
  <c r="AN11" i="59"/>
  <c r="AN28" i="59"/>
  <c r="AN14" i="59"/>
  <c r="AN29" i="59"/>
  <c r="AN34" i="59"/>
  <c r="AN62" i="59"/>
  <c r="AN68" i="59"/>
  <c r="AN78" i="59"/>
  <c r="AN91" i="59"/>
  <c r="AN36" i="59"/>
  <c r="AN31" i="59"/>
  <c r="AN79" i="59"/>
  <c r="AN69" i="59"/>
  <c r="AN82" i="59"/>
  <c r="AN86" i="59"/>
  <c r="AN16" i="59"/>
  <c r="AN15" i="59"/>
  <c r="AN20" i="59"/>
  <c r="AN27" i="59"/>
  <c r="AN40" i="59"/>
  <c r="AN48" i="59"/>
  <c r="AN93" i="59"/>
  <c r="AN55" i="59"/>
  <c r="AN83" i="59"/>
  <c r="AN33" i="59"/>
  <c r="AN12" i="59"/>
  <c r="AN23" i="59"/>
  <c r="AN50" i="59"/>
  <c r="AN52" i="59"/>
  <c r="AN64" i="59"/>
  <c r="AN75" i="59"/>
  <c r="AN95" i="59"/>
  <c r="AQ25" i="95"/>
  <c r="AQ24" i="95"/>
  <c r="AQ33" i="95"/>
  <c r="AQ16" i="95"/>
  <c r="AQ72" i="95"/>
  <c r="AQ20" i="95"/>
  <c r="AQ96" i="95"/>
  <c r="AQ94" i="95"/>
  <c r="AN80" i="59"/>
  <c r="AN94" i="59"/>
  <c r="AO8" i="59"/>
  <c r="AO86" i="59" s="1"/>
  <c r="AP7" i="59"/>
  <c r="AN81" i="59"/>
  <c r="AN88" i="59"/>
  <c r="AN96" i="59"/>
  <c r="AN19" i="59"/>
  <c r="AN42" i="59"/>
  <c r="AN47" i="59"/>
  <c r="AN60" i="59"/>
  <c r="AN70" i="59"/>
  <c r="AN67" i="59"/>
  <c r="AN92" i="59"/>
  <c r="AN17" i="59"/>
  <c r="AN38" i="59"/>
  <c r="AN46" i="59"/>
  <c r="AN58" i="59"/>
  <c r="AN61" i="59"/>
  <c r="AN73" i="59"/>
  <c r="AN84" i="59"/>
  <c r="AN89" i="59"/>
  <c r="AN13" i="59"/>
  <c r="AN24" i="59"/>
  <c r="AN26" i="59"/>
  <c r="AN44" i="59"/>
  <c r="AN57" i="59"/>
  <c r="AN59" i="59"/>
  <c r="AN63" i="59"/>
  <c r="AN74" i="59"/>
  <c r="AN77" i="59"/>
  <c r="AN11" i="113"/>
  <c r="AN19" i="113"/>
  <c r="AN15" i="113"/>
  <c r="AN46" i="113"/>
  <c r="AN50" i="113"/>
  <c r="AN52" i="113"/>
  <c r="AN68" i="113"/>
  <c r="AN77" i="113"/>
  <c r="AN93" i="113"/>
  <c r="AN86" i="113"/>
  <c r="AN96" i="113"/>
  <c r="AN41" i="113"/>
  <c r="AN51" i="113"/>
  <c r="AN42" i="113"/>
  <c r="AN38" i="113"/>
  <c r="AN69" i="113"/>
  <c r="AN56" i="113"/>
  <c r="AN83" i="113"/>
  <c r="AN85" i="113"/>
  <c r="AN92" i="113"/>
  <c r="AN14" i="113"/>
  <c r="AN55" i="113"/>
  <c r="AN29" i="113"/>
  <c r="AN18" i="113"/>
  <c r="AN47" i="113"/>
  <c r="AN70" i="113"/>
  <c r="AN63" i="113"/>
  <c r="AN57" i="113"/>
  <c r="AN73" i="113"/>
  <c r="AN89" i="113"/>
  <c r="AN20" i="113"/>
  <c r="AN23" i="113"/>
  <c r="AN37" i="113"/>
  <c r="AN31" i="113"/>
  <c r="AN53" i="113"/>
  <c r="AN40" i="113"/>
  <c r="AN80" i="113"/>
  <c r="AN66" i="113"/>
  <c r="AN82" i="113"/>
  <c r="AN97" i="113"/>
  <c r="AN12" i="113"/>
  <c r="AN39" i="113"/>
  <c r="AN48" i="113"/>
  <c r="AN27" i="113"/>
  <c r="AN26" i="113"/>
  <c r="AN49" i="113"/>
  <c r="AN62" i="113"/>
  <c r="AN74" i="113"/>
  <c r="AN79" i="113"/>
  <c r="AN94" i="113"/>
  <c r="AN17" i="113"/>
  <c r="AN13" i="113"/>
  <c r="AN25" i="113"/>
  <c r="AN36" i="113"/>
  <c r="AN35" i="113"/>
  <c r="AN64" i="113"/>
  <c r="AN58" i="113"/>
  <c r="AN81" i="113"/>
  <c r="AN75" i="113"/>
  <c r="AN91" i="113"/>
  <c r="AO94" i="113"/>
  <c r="AO97" i="113"/>
  <c r="AO96" i="113"/>
  <c r="AO82" i="113"/>
  <c r="AO81" i="113"/>
  <c r="AO74" i="113"/>
  <c r="AO67" i="113"/>
  <c r="AO59" i="113"/>
  <c r="AO49" i="113"/>
  <c r="AO52" i="113"/>
  <c r="AO38" i="113"/>
  <c r="AO29" i="113"/>
  <c r="AO50" i="113"/>
  <c r="AO39" i="113"/>
  <c r="AO30" i="113"/>
  <c r="AO42" i="113"/>
  <c r="AO33" i="113"/>
  <c r="AO37" i="113"/>
  <c r="AO19" i="113"/>
  <c r="AO27" i="113"/>
  <c r="AO23" i="113"/>
  <c r="AO16" i="113"/>
  <c r="AO18" i="113"/>
  <c r="AO17" i="113"/>
  <c r="AO14" i="113"/>
  <c r="AO8" i="113"/>
  <c r="AO92" i="113" s="1"/>
  <c r="AP7" i="113"/>
  <c r="AO13" i="113"/>
  <c r="AO12" i="113"/>
  <c r="AN34" i="113"/>
  <c r="AN22" i="113"/>
  <c r="AN33" i="113"/>
  <c r="AN45" i="113"/>
  <c r="AN44" i="113"/>
  <c r="AN60" i="113"/>
  <c r="AN67" i="113"/>
  <c r="AN90" i="113"/>
  <c r="AN84" i="113"/>
  <c r="AO88" i="111"/>
  <c r="AO94" i="111"/>
  <c r="AO17" i="111"/>
  <c r="AO42" i="111"/>
  <c r="AO29" i="111"/>
  <c r="AO52" i="111"/>
  <c r="AO48" i="111"/>
  <c r="AO44" i="111"/>
  <c r="AO57" i="111"/>
  <c r="AO72" i="111"/>
  <c r="AO64" i="111"/>
  <c r="AO96" i="111"/>
  <c r="AO91" i="111"/>
  <c r="AO26" i="111"/>
  <c r="AO11" i="111"/>
  <c r="AO16" i="111"/>
  <c r="AO70" i="111"/>
  <c r="AO49" i="111"/>
  <c r="AO55" i="111"/>
  <c r="AO68" i="111"/>
  <c r="AO58" i="111"/>
  <c r="AO78" i="111"/>
  <c r="AO81" i="111"/>
  <c r="AO22" i="111"/>
  <c r="AO50" i="111"/>
  <c r="AO77" i="111"/>
  <c r="AO61" i="111"/>
  <c r="AO82" i="111"/>
  <c r="AO90" i="111"/>
  <c r="AO35" i="111"/>
  <c r="AO33" i="111"/>
  <c r="AO18" i="111"/>
  <c r="AO30" i="111"/>
  <c r="AO51" i="111"/>
  <c r="AO80" i="111"/>
  <c r="AO85" i="111"/>
  <c r="AO71" i="111"/>
  <c r="AO92" i="111"/>
  <c r="AO86" i="111"/>
  <c r="AO15" i="111"/>
  <c r="AO20" i="111"/>
  <c r="AO24" i="111"/>
  <c r="AO27" i="111"/>
  <c r="AO63" i="111"/>
  <c r="AO60" i="111"/>
  <c r="AO59" i="111"/>
  <c r="AO93" i="111"/>
  <c r="AO67" i="111"/>
  <c r="AO95" i="111"/>
  <c r="AO79" i="111"/>
  <c r="AP93" i="111"/>
  <c r="AP50" i="111"/>
  <c r="AP74" i="111"/>
  <c r="AP51" i="111"/>
  <c r="AP80" i="111"/>
  <c r="AP57" i="111"/>
  <c r="AP29" i="111"/>
  <c r="AP77" i="111"/>
  <c r="AP24" i="111"/>
  <c r="AP8" i="111"/>
  <c r="AP96" i="111" s="1"/>
  <c r="AQ7" i="111"/>
  <c r="AP81" i="111"/>
  <c r="AP35" i="111"/>
  <c r="AO14" i="111"/>
  <c r="AO34" i="111"/>
  <c r="AO69" i="111"/>
  <c r="AO36" i="111"/>
  <c r="AO83" i="111"/>
  <c r="AO62" i="111"/>
  <c r="AO38" i="111"/>
  <c r="AO75" i="111"/>
  <c r="AO89" i="111"/>
  <c r="AO23" i="111"/>
  <c r="AO13" i="111"/>
  <c r="AO28" i="111"/>
  <c r="AO41" i="111"/>
  <c r="AO37" i="111"/>
  <c r="AO74" i="111"/>
  <c r="AO66" i="111"/>
  <c r="AO47" i="111"/>
  <c r="AO84" i="111"/>
  <c r="AN39" i="109"/>
  <c r="AN24" i="109"/>
  <c r="AN26" i="109"/>
  <c r="AN45" i="109"/>
  <c r="AN83" i="109"/>
  <c r="AN74" i="109"/>
  <c r="AN73" i="109"/>
  <c r="AN94" i="109"/>
  <c r="AN18" i="109"/>
  <c r="AN19" i="109"/>
  <c r="AN42" i="109"/>
  <c r="AN33" i="109"/>
  <c r="AN35" i="109"/>
  <c r="AN48" i="109"/>
  <c r="AN63" i="109"/>
  <c r="AN85" i="109"/>
  <c r="AN82" i="109"/>
  <c r="AN91" i="109"/>
  <c r="AN46" i="109"/>
  <c r="AN81" i="109"/>
  <c r="AN52" i="109"/>
  <c r="AN71" i="109"/>
  <c r="AN80" i="109"/>
  <c r="AN95" i="109"/>
  <c r="AN96" i="109"/>
  <c r="AN16" i="109"/>
  <c r="AN22" i="109"/>
  <c r="AN56" i="109"/>
  <c r="AN53" i="109"/>
  <c r="AN49" i="109"/>
  <c r="AN14" i="109"/>
  <c r="AN58" i="109"/>
  <c r="AN72" i="109"/>
  <c r="AN77" i="109"/>
  <c r="AN93" i="109"/>
  <c r="AN29" i="109"/>
  <c r="AO91" i="109"/>
  <c r="AO89" i="109"/>
  <c r="AO82" i="109"/>
  <c r="AO86" i="109"/>
  <c r="AO75" i="109"/>
  <c r="AO78" i="109"/>
  <c r="AO69" i="109"/>
  <c r="AO56" i="109"/>
  <c r="AO73" i="109"/>
  <c r="AO72" i="109"/>
  <c r="AO79" i="109"/>
  <c r="AO74" i="109"/>
  <c r="AO35" i="109"/>
  <c r="AO26" i="109"/>
  <c r="AO17" i="109"/>
  <c r="AO63" i="109"/>
  <c r="AO20" i="109"/>
  <c r="AO80" i="109"/>
  <c r="AO36" i="109"/>
  <c r="AO27" i="109"/>
  <c r="AO40" i="109"/>
  <c r="AO93" i="109"/>
  <c r="AO64" i="109"/>
  <c r="AO60" i="109"/>
  <c r="AO45" i="109"/>
  <c r="AO37" i="109"/>
  <c r="AO33" i="109"/>
  <c r="AO42" i="109"/>
  <c r="AO19" i="109"/>
  <c r="AO15" i="109"/>
  <c r="AO28" i="109"/>
  <c r="AO13" i="109"/>
  <c r="AO71" i="109"/>
  <c r="AO39" i="109"/>
  <c r="AP7" i="109"/>
  <c r="AO24" i="109"/>
  <c r="AO8" i="109"/>
  <c r="AO92" i="109" s="1"/>
  <c r="AO31" i="109"/>
  <c r="AO25" i="109"/>
  <c r="AN90" i="109"/>
  <c r="AN55" i="109"/>
  <c r="AN67" i="109"/>
  <c r="AN23" i="109"/>
  <c r="AN60" i="109"/>
  <c r="AN69" i="109"/>
  <c r="AN84" i="109"/>
  <c r="AN92" i="109"/>
  <c r="AN34" i="109"/>
  <c r="AN20" i="109"/>
  <c r="AN25" i="109"/>
  <c r="AN36" i="109"/>
  <c r="AN75" i="109"/>
  <c r="AN31" i="109"/>
  <c r="AN62" i="109"/>
  <c r="AN78" i="109"/>
  <c r="AN86" i="109"/>
  <c r="AO31" i="107"/>
  <c r="AO69" i="107"/>
  <c r="AO41" i="107"/>
  <c r="AO56" i="107"/>
  <c r="AO73" i="107"/>
  <c r="AO81" i="107"/>
  <c r="AO97" i="107"/>
  <c r="AO22" i="107"/>
  <c r="AO46" i="107"/>
  <c r="AO52" i="107"/>
  <c r="AO72" i="107"/>
  <c r="AO50" i="107"/>
  <c r="AO61" i="107"/>
  <c r="AO79" i="107"/>
  <c r="AO88" i="107"/>
  <c r="AO94" i="107"/>
  <c r="AO13" i="107"/>
  <c r="AO51" i="107"/>
  <c r="AO34" i="107"/>
  <c r="AO55" i="107"/>
  <c r="AO35" i="107"/>
  <c r="AO48" i="107"/>
  <c r="AO57" i="107"/>
  <c r="AO64" i="107"/>
  <c r="AO85" i="107"/>
  <c r="AO93" i="107"/>
  <c r="AO91" i="107"/>
  <c r="AP97" i="107"/>
  <c r="AP95" i="107"/>
  <c r="AP88" i="107"/>
  <c r="AP75" i="107"/>
  <c r="AP78" i="107"/>
  <c r="AP73" i="107"/>
  <c r="AP61" i="107"/>
  <c r="AP82" i="107"/>
  <c r="AP48" i="107"/>
  <c r="AP58" i="107"/>
  <c r="AP52" i="107"/>
  <c r="AP44" i="107"/>
  <c r="AP47" i="107"/>
  <c r="AP46" i="107"/>
  <c r="AP38" i="107"/>
  <c r="AP67" i="107"/>
  <c r="AP25" i="107"/>
  <c r="AP8" i="107"/>
  <c r="AP86" i="107" s="1"/>
  <c r="AP37" i="107"/>
  <c r="AQ7" i="107"/>
  <c r="AP70" i="107"/>
  <c r="AP28" i="107"/>
  <c r="AP23" i="107"/>
  <c r="AP19" i="107"/>
  <c r="AO27" i="107"/>
  <c r="AO24" i="107"/>
  <c r="AO23" i="107"/>
  <c r="AO39" i="107"/>
  <c r="AO36" i="107"/>
  <c r="AO60" i="107"/>
  <c r="AO68" i="107"/>
  <c r="AO62" i="107"/>
  <c r="AP62" i="105"/>
  <c r="AP55" i="105"/>
  <c r="AP49" i="105"/>
  <c r="AP8" i="105"/>
  <c r="AP94" i="105" s="1"/>
  <c r="AQ7" i="105"/>
  <c r="AP19" i="105"/>
  <c r="AO15" i="105"/>
  <c r="AO39" i="105"/>
  <c r="AO60" i="105"/>
  <c r="AO95" i="105"/>
  <c r="AO17" i="105"/>
  <c r="AO24" i="105"/>
  <c r="AO56" i="105"/>
  <c r="AO61" i="105"/>
  <c r="AO69" i="105"/>
  <c r="AO64" i="105"/>
  <c r="AO92" i="105"/>
  <c r="AO30" i="105"/>
  <c r="AO28" i="105"/>
  <c r="AO45" i="105"/>
  <c r="AO38" i="105"/>
  <c r="AO63" i="105"/>
  <c r="AO46" i="105"/>
  <c r="AO80" i="105"/>
  <c r="AO93" i="105"/>
  <c r="AO81" i="105"/>
  <c r="AO97" i="105"/>
  <c r="AO51" i="105"/>
  <c r="AO72" i="105"/>
  <c r="AO37" i="105"/>
  <c r="AO11" i="105"/>
  <c r="AO48" i="105"/>
  <c r="AO47" i="105"/>
  <c r="AO31" i="105"/>
  <c r="AO44" i="105"/>
  <c r="AO52" i="105"/>
  <c r="AO57" i="105"/>
  <c r="AO77" i="105"/>
  <c r="AO96" i="105"/>
  <c r="AO94" i="105"/>
  <c r="AO18" i="105"/>
  <c r="AO84" i="105"/>
  <c r="AO23" i="105"/>
  <c r="AO73" i="105"/>
  <c r="AO16" i="105"/>
  <c r="AO19" i="105"/>
  <c r="AO13" i="105"/>
  <c r="AO12" i="105"/>
  <c r="AO34" i="105"/>
  <c r="AO53" i="105"/>
  <c r="AO55" i="105"/>
  <c r="AO66" i="105"/>
  <c r="AO85" i="105"/>
  <c r="AO78" i="105"/>
  <c r="AO91" i="105"/>
  <c r="AO41" i="105"/>
  <c r="AO49" i="105"/>
  <c r="AO88" i="105"/>
  <c r="AO27" i="105"/>
  <c r="AO42" i="105"/>
  <c r="AO33" i="105"/>
  <c r="AO50" i="105"/>
  <c r="AO70" i="105"/>
  <c r="AO89" i="105"/>
  <c r="AO14" i="105"/>
  <c r="AO36" i="105"/>
  <c r="AO26" i="105"/>
  <c r="AO20" i="105"/>
  <c r="AO62" i="105"/>
  <c r="AO75" i="105"/>
  <c r="AO58" i="105"/>
  <c r="AO71" i="105"/>
  <c r="AO82" i="105"/>
  <c r="AO90" i="105"/>
  <c r="AO83" i="105"/>
  <c r="AO29" i="105"/>
  <c r="AO22" i="105"/>
  <c r="AO67" i="105"/>
  <c r="AO35" i="105"/>
  <c r="AO25" i="105"/>
  <c r="AO40" i="105"/>
  <c r="AO74" i="105"/>
  <c r="AO59" i="105"/>
  <c r="AO79" i="105"/>
  <c r="AO45" i="103"/>
  <c r="AO56" i="103"/>
  <c r="AO52" i="103"/>
  <c r="AO67" i="103"/>
  <c r="AO71" i="103"/>
  <c r="AO96" i="103"/>
  <c r="AO95" i="103"/>
  <c r="AP94" i="103"/>
  <c r="AP97" i="103"/>
  <c r="AP89" i="103"/>
  <c r="AP93" i="103"/>
  <c r="AP96" i="103"/>
  <c r="AP88" i="103"/>
  <c r="AP79" i="103"/>
  <c r="AP83" i="103"/>
  <c r="AP73" i="103"/>
  <c r="AP64" i="103"/>
  <c r="AP84" i="103"/>
  <c r="AP78" i="103"/>
  <c r="AP72" i="103"/>
  <c r="AP77" i="103"/>
  <c r="AP61" i="103"/>
  <c r="AP62" i="103"/>
  <c r="AP59" i="103"/>
  <c r="AP60" i="103"/>
  <c r="AP49" i="103"/>
  <c r="AP47" i="103"/>
  <c r="AP38" i="103"/>
  <c r="AP55" i="103"/>
  <c r="AP50" i="103"/>
  <c r="AP35" i="103"/>
  <c r="AP46" i="103"/>
  <c r="AP48" i="103"/>
  <c r="AP42" i="103"/>
  <c r="AP44" i="103"/>
  <c r="AP30" i="103"/>
  <c r="AP22" i="103"/>
  <c r="AP37" i="103"/>
  <c r="AP23" i="103"/>
  <c r="AP11" i="103"/>
  <c r="AP33" i="103"/>
  <c r="AP17" i="103"/>
  <c r="AQ7" i="103"/>
  <c r="AP12" i="103"/>
  <c r="AP34" i="103"/>
  <c r="AP29" i="103"/>
  <c r="AP20" i="103"/>
  <c r="AP8" i="103"/>
  <c r="AP92" i="103" s="1"/>
  <c r="AP31" i="103"/>
  <c r="AP13" i="103"/>
  <c r="AP16" i="103"/>
  <c r="AO33" i="103"/>
  <c r="AO53" i="103"/>
  <c r="AO49" i="103"/>
  <c r="AO74" i="103"/>
  <c r="AO68" i="103"/>
  <c r="AO82" i="103"/>
  <c r="AO89" i="103"/>
  <c r="AO14" i="103"/>
  <c r="AO38" i="103"/>
  <c r="AO59" i="103"/>
  <c r="AO50" i="103"/>
  <c r="AO37" i="103"/>
  <c r="AO77" i="103"/>
  <c r="AO73" i="103"/>
  <c r="AO79" i="103"/>
  <c r="AO97" i="103"/>
  <c r="AO29" i="103"/>
  <c r="AO17" i="103"/>
  <c r="AO62" i="103"/>
  <c r="AO40" i="103"/>
  <c r="AO47" i="103"/>
  <c r="AO46" i="103"/>
  <c r="AO78" i="103"/>
  <c r="AO61" i="103"/>
  <c r="AO88" i="103"/>
  <c r="AO94" i="103"/>
  <c r="AO13" i="103"/>
  <c r="AO12" i="103"/>
  <c r="AO11" i="103"/>
  <c r="AO25" i="103"/>
  <c r="AO42" i="103"/>
  <c r="AO57" i="103"/>
  <c r="AO86" i="103"/>
  <c r="AO66" i="103"/>
  <c r="AO70" i="103"/>
  <c r="AO84" i="103"/>
  <c r="AO91" i="103"/>
  <c r="AO19" i="103"/>
  <c r="AO24" i="103"/>
  <c r="AO16" i="103"/>
  <c r="AO34" i="103"/>
  <c r="AO48" i="103"/>
  <c r="AO60" i="103"/>
  <c r="AO75" i="103"/>
  <c r="AO72" i="103"/>
  <c r="AO83" i="103"/>
  <c r="AN39" i="101"/>
  <c r="AN41" i="101"/>
  <c r="AN59" i="101"/>
  <c r="AN58" i="101"/>
  <c r="AN83" i="101"/>
  <c r="AN79" i="101"/>
  <c r="AN97" i="101"/>
  <c r="AN84" i="101"/>
  <c r="AN91" i="101"/>
  <c r="AN81" i="101"/>
  <c r="AN80" i="101"/>
  <c r="AN93" i="101"/>
  <c r="AN88" i="101"/>
  <c r="AO91" i="101"/>
  <c r="AO94" i="101"/>
  <c r="AO96" i="101"/>
  <c r="AO88" i="101"/>
  <c r="AO84" i="101"/>
  <c r="AO80" i="101"/>
  <c r="AO70" i="101"/>
  <c r="AO61" i="101"/>
  <c r="AO60" i="101"/>
  <c r="AO58" i="101"/>
  <c r="AO72" i="101"/>
  <c r="AO62" i="101"/>
  <c r="AO46" i="101"/>
  <c r="AO34" i="101"/>
  <c r="AO33" i="101"/>
  <c r="AO40" i="101"/>
  <c r="AO26" i="101"/>
  <c r="AO35" i="101"/>
  <c r="AP7" i="101"/>
  <c r="AO13" i="101"/>
  <c r="AO22" i="101"/>
  <c r="AO8" i="101"/>
  <c r="AO89" i="101" s="1"/>
  <c r="AO16" i="101"/>
  <c r="AO11" i="101"/>
  <c r="AN27" i="101"/>
  <c r="AN29" i="101"/>
  <c r="AN34" i="101"/>
  <c r="AN62" i="101"/>
  <c r="AN49" i="101"/>
  <c r="AN63" i="101"/>
  <c r="AN73" i="101"/>
  <c r="AN86" i="101"/>
  <c r="AN96" i="101"/>
  <c r="AN15" i="101"/>
  <c r="AN14" i="101"/>
  <c r="AN33" i="101"/>
  <c r="AN45" i="101"/>
  <c r="AN46" i="101"/>
  <c r="AN38" i="101"/>
  <c r="AN64" i="101"/>
  <c r="AN60" i="101"/>
  <c r="AN85" i="101"/>
  <c r="AN95" i="101"/>
  <c r="AN24" i="101"/>
  <c r="AN37" i="101"/>
  <c r="AN28" i="101"/>
  <c r="AN30" i="101"/>
  <c r="AN47" i="101"/>
  <c r="AN61" i="101"/>
  <c r="AN69" i="101"/>
  <c r="AN82" i="101"/>
  <c r="AN13" i="99"/>
  <c r="AN17" i="99"/>
  <c r="AN64" i="99"/>
  <c r="AN31" i="99"/>
  <c r="AN52" i="99"/>
  <c r="AN35" i="99"/>
  <c r="AN82" i="99"/>
  <c r="AN84" i="99"/>
  <c r="AN83" i="99"/>
  <c r="AN97" i="99"/>
  <c r="AN20" i="99"/>
  <c r="AO92" i="99"/>
  <c r="AO95" i="99"/>
  <c r="AO88" i="99"/>
  <c r="AO78" i="99"/>
  <c r="AO96" i="99"/>
  <c r="AO79" i="99"/>
  <c r="AO58" i="99"/>
  <c r="AO61" i="99"/>
  <c r="AO48" i="99"/>
  <c r="AO51" i="99"/>
  <c r="AO41" i="99"/>
  <c r="AO56" i="99"/>
  <c r="AO50" i="99"/>
  <c r="AO40" i="99"/>
  <c r="AO35" i="99"/>
  <c r="AO29" i="99"/>
  <c r="AO20" i="99"/>
  <c r="AO46" i="99"/>
  <c r="AO71" i="99"/>
  <c r="AO19" i="99"/>
  <c r="AO14" i="99"/>
  <c r="AP7" i="99"/>
  <c r="AO12" i="99"/>
  <c r="AO28" i="99"/>
  <c r="AO24" i="99"/>
  <c r="AO8" i="99"/>
  <c r="AO86" i="99" s="1"/>
  <c r="AO31" i="99"/>
  <c r="AO15" i="99"/>
  <c r="AO23" i="99"/>
  <c r="AO13" i="99"/>
  <c r="AN39" i="99"/>
  <c r="AN37" i="99"/>
  <c r="AN61" i="99"/>
  <c r="AN44" i="99"/>
  <c r="AN55" i="99"/>
  <c r="AN72" i="99"/>
  <c r="AN71" i="99"/>
  <c r="AN94" i="99"/>
  <c r="AN12" i="99"/>
  <c r="AN40" i="99"/>
  <c r="AN22" i="99"/>
  <c r="AN27" i="99"/>
  <c r="AN47" i="99"/>
  <c r="AN41" i="99"/>
  <c r="AN77" i="99"/>
  <c r="AN60" i="99"/>
  <c r="AN93" i="99"/>
  <c r="AN90" i="99"/>
  <c r="AN88" i="99"/>
  <c r="AN18" i="99"/>
  <c r="AN50" i="99"/>
  <c r="AN38" i="99"/>
  <c r="AN26" i="99"/>
  <c r="AN57" i="99"/>
  <c r="AN68" i="99"/>
  <c r="AN56" i="99"/>
  <c r="AN70" i="99"/>
  <c r="AN69" i="99"/>
  <c r="AN86" i="99"/>
  <c r="AN96" i="99"/>
  <c r="AN15" i="99"/>
  <c r="AN19" i="99"/>
  <c r="AN42" i="99"/>
  <c r="AN36" i="99"/>
  <c r="AN63" i="99"/>
  <c r="AN49" i="99"/>
  <c r="AN67" i="99"/>
  <c r="AN66" i="99"/>
  <c r="AN77" i="97"/>
  <c r="AN25" i="97"/>
  <c r="AN33" i="97"/>
  <c r="AN55" i="97"/>
  <c r="AN56" i="97"/>
  <c r="AN45" i="97"/>
  <c r="AN85" i="97"/>
  <c r="AN62" i="97"/>
  <c r="AN69" i="97"/>
  <c r="AN92" i="97"/>
  <c r="AN68" i="97"/>
  <c r="AN35" i="97"/>
  <c r="AN22" i="97"/>
  <c r="AN26" i="97"/>
  <c r="AN63" i="97"/>
  <c r="AN73" i="97"/>
  <c r="AN60" i="97"/>
  <c r="AN64" i="97"/>
  <c r="AN78" i="97"/>
  <c r="AN89" i="97"/>
  <c r="AN29" i="97"/>
  <c r="AN19" i="97"/>
  <c r="AN24" i="97"/>
  <c r="AN28" i="97"/>
  <c r="AN58" i="97"/>
  <c r="AN50" i="97"/>
  <c r="AN67" i="97"/>
  <c r="AN70" i="97"/>
  <c r="AN83" i="97"/>
  <c r="AN97" i="97"/>
  <c r="AN41" i="97"/>
  <c r="AN38" i="97"/>
  <c r="AN46" i="97"/>
  <c r="AN31" i="97"/>
  <c r="AN40" i="97"/>
  <c r="AN44" i="97"/>
  <c r="AN57" i="97"/>
  <c r="AN74" i="97"/>
  <c r="AN71" i="97"/>
  <c r="AN94" i="97"/>
  <c r="AN17" i="97"/>
  <c r="AN11" i="97"/>
  <c r="AN48" i="97"/>
  <c r="AO94" i="97"/>
  <c r="AO89" i="97"/>
  <c r="AO95" i="97"/>
  <c r="AO83" i="97"/>
  <c r="AO66" i="97"/>
  <c r="AO88" i="97"/>
  <c r="AO78" i="97"/>
  <c r="AO84" i="97"/>
  <c r="AO67" i="97"/>
  <c r="AO79" i="97"/>
  <c r="AO57" i="97"/>
  <c r="AO55" i="97"/>
  <c r="AO77" i="97"/>
  <c r="AO96" i="97"/>
  <c r="AO82" i="97"/>
  <c r="AO47" i="97"/>
  <c r="AO64" i="97"/>
  <c r="AO53" i="97"/>
  <c r="AO46" i="97"/>
  <c r="AO35" i="97"/>
  <c r="AO59" i="97"/>
  <c r="AO56" i="97"/>
  <c r="AO48" i="97"/>
  <c r="AO40" i="97"/>
  <c r="AO42" i="97"/>
  <c r="AO41" i="97"/>
  <c r="AO24" i="97"/>
  <c r="AO15" i="97"/>
  <c r="AO69" i="97"/>
  <c r="AO18" i="97"/>
  <c r="AO14" i="97"/>
  <c r="AO39" i="97"/>
  <c r="AO36" i="97"/>
  <c r="AO34" i="97"/>
  <c r="AO51" i="97"/>
  <c r="AO49" i="97"/>
  <c r="AO45" i="97"/>
  <c r="AO30" i="97"/>
  <c r="AO29" i="97"/>
  <c r="AO19" i="97"/>
  <c r="AO61" i="97"/>
  <c r="AO22" i="97"/>
  <c r="AO11" i="97"/>
  <c r="AO62" i="97"/>
  <c r="AO20" i="97"/>
  <c r="AO8" i="97"/>
  <c r="AO86" i="97" s="1"/>
  <c r="AO12" i="97"/>
  <c r="AP7" i="97"/>
  <c r="AN42" i="97"/>
  <c r="AN52" i="97"/>
  <c r="AN66" i="97"/>
  <c r="AN84" i="97"/>
  <c r="AN80" i="97"/>
  <c r="AN91" i="97"/>
  <c r="AN30" i="97"/>
  <c r="AN16" i="97"/>
  <c r="AN15" i="97"/>
  <c r="AN12" i="97"/>
  <c r="AN14" i="97"/>
  <c r="AN47" i="97"/>
  <c r="AN82" i="97"/>
  <c r="AN75" i="97"/>
  <c r="AN72" i="97"/>
  <c r="AN90" i="97"/>
  <c r="AN88" i="97"/>
  <c r="AN39" i="97"/>
  <c r="AN20" i="97"/>
  <c r="AN23" i="97"/>
  <c r="AN51" i="97"/>
  <c r="AN49" i="97"/>
  <c r="AN79" i="97"/>
  <c r="AN81" i="97"/>
  <c r="AN86" i="97"/>
  <c r="AQ86" i="95"/>
  <c r="AQ71" i="95"/>
  <c r="AP80" i="95"/>
  <c r="AP13" i="95"/>
  <c r="AP78" i="95"/>
  <c r="AP20" i="95"/>
  <c r="AP49" i="95"/>
  <c r="AP61" i="95"/>
  <c r="AP60" i="95"/>
  <c r="AP24" i="95"/>
  <c r="AP59" i="95"/>
  <c r="AP19" i="95"/>
  <c r="AP89" i="95"/>
  <c r="AQ11" i="95"/>
  <c r="AQ81" i="95"/>
  <c r="AQ23" i="95"/>
  <c r="AQ93" i="95"/>
  <c r="AQ80" i="95"/>
  <c r="AQ19" i="95"/>
  <c r="AQ90" i="95"/>
  <c r="AQ31" i="95"/>
  <c r="AQ47" i="95"/>
  <c r="AQ41" i="95"/>
  <c r="AQ64" i="95"/>
  <c r="AQ34" i="95"/>
  <c r="AQ12" i="95"/>
  <c r="AQ18" i="95"/>
  <c r="AQ89" i="95"/>
  <c r="AQ95" i="95"/>
  <c r="AP41" i="95"/>
  <c r="AQ38" i="95"/>
  <c r="AQ28" i="95"/>
  <c r="AQ29" i="95"/>
  <c r="AQ40" i="95"/>
  <c r="AQ73" i="95"/>
  <c r="AQ50" i="95"/>
  <c r="AQ91" i="95"/>
  <c r="AQ42" i="95"/>
  <c r="AQ56" i="95"/>
  <c r="AQ27" i="95"/>
  <c r="AQ97" i="95"/>
  <c r="AP55" i="95"/>
  <c r="AP64" i="95"/>
  <c r="AQ26" i="95"/>
  <c r="AQ37" i="95"/>
  <c r="AQ82" i="95"/>
  <c r="AQ49" i="95"/>
  <c r="AQ39" i="95"/>
  <c r="AQ59" i="95"/>
  <c r="AQ13" i="95"/>
  <c r="AQ51" i="95"/>
  <c r="AQ17" i="95"/>
  <c r="AQ36" i="95"/>
  <c r="AQ35" i="95"/>
  <c r="AQ46" i="95"/>
  <c r="AQ22" i="95"/>
  <c r="AQ58" i="95"/>
  <c r="AQ66" i="95"/>
  <c r="AQ68" i="95"/>
  <c r="AQ30" i="95"/>
  <c r="AQ60" i="95"/>
  <c r="AQ44" i="95"/>
  <c r="AQ45" i="95"/>
  <c r="AQ52" i="95"/>
  <c r="AQ55" i="95"/>
  <c r="AQ48" i="95"/>
  <c r="AQ67" i="95"/>
  <c r="AQ83" i="95"/>
  <c r="AQ77" i="95"/>
  <c r="AQ57" i="95"/>
  <c r="AQ69" i="95"/>
  <c r="AQ61" i="95"/>
  <c r="AQ53" i="95"/>
  <c r="AP12" i="95"/>
  <c r="AP97" i="95"/>
  <c r="AQ79" i="95"/>
  <c r="AQ63" i="95"/>
  <c r="AQ92" i="95"/>
  <c r="AQ75" i="95"/>
  <c r="AQ15" i="95"/>
  <c r="AQ85" i="95"/>
  <c r="AQ74" i="95"/>
  <c r="AQ78" i="95"/>
  <c r="AQ70" i="95"/>
  <c r="AP77" i="95"/>
  <c r="AP11" i="95"/>
  <c r="AP23" i="95"/>
  <c r="AP18" i="95"/>
  <c r="AP56" i="95"/>
  <c r="AP40" i="95"/>
  <c r="AP62" i="95"/>
  <c r="AP73" i="95"/>
  <c r="AP48" i="95"/>
  <c r="AP70" i="95"/>
  <c r="AP66" i="95"/>
  <c r="AP35" i="95"/>
  <c r="AP29" i="95"/>
  <c r="AS7" i="95"/>
  <c r="AR8" i="95"/>
  <c r="AR85" i="95" s="1"/>
  <c r="AP68" i="95"/>
  <c r="AP47" i="95"/>
  <c r="AP58" i="95"/>
  <c r="AP45" i="95"/>
  <c r="AP94" i="95"/>
  <c r="AP52" i="95"/>
  <c r="AP90" i="95"/>
  <c r="AP81" i="95"/>
  <c r="AP85" i="95"/>
  <c r="AP71" i="95"/>
  <c r="AP17" i="95"/>
  <c r="AP26" i="95"/>
  <c r="AP27" i="95"/>
  <c r="AP34" i="95"/>
  <c r="AP25" i="95"/>
  <c r="AP38" i="95"/>
  <c r="AP42" i="95"/>
  <c r="AP63" i="95"/>
  <c r="AP75" i="95"/>
  <c r="AP74" i="95"/>
  <c r="AP72" i="95"/>
  <c r="AP67" i="95"/>
  <c r="AP88" i="95"/>
  <c r="AP86" i="95"/>
  <c r="AP22" i="95"/>
  <c r="AP28" i="95"/>
  <c r="AP33" i="95"/>
  <c r="AP14" i="95"/>
  <c r="AP31" i="95"/>
  <c r="AP39" i="95"/>
  <c r="AP57" i="95"/>
  <c r="AP44" i="95"/>
  <c r="AP91" i="95"/>
  <c r="AP92" i="95"/>
  <c r="AP79" i="95"/>
  <c r="AP69" i="95"/>
  <c r="AP93" i="95"/>
  <c r="AP95" i="95"/>
  <c r="AP15" i="95"/>
  <c r="AP51" i="95"/>
  <c r="AP37" i="95"/>
  <c r="AP16" i="95"/>
  <c r="AP36" i="95"/>
  <c r="AP53" i="95"/>
  <c r="AP30" i="95"/>
  <c r="AP46" i="95"/>
  <c r="AP50" i="95"/>
  <c r="AP83" i="95"/>
  <c r="AP82" i="95"/>
  <c r="AP84" i="95"/>
  <c r="C9" i="2"/>
  <c r="L22" i="2"/>
  <c r="F22" i="2"/>
  <c r="AO18" i="59" l="1"/>
  <c r="AO46" i="59"/>
  <c r="AO30" i="59"/>
  <c r="AO17" i="59"/>
  <c r="AO62" i="59"/>
  <c r="AO11" i="59"/>
  <c r="AO44" i="59"/>
  <c r="AO29" i="59"/>
  <c r="AO58" i="59"/>
  <c r="AO33" i="59"/>
  <c r="AO12" i="59"/>
  <c r="AO37" i="59"/>
  <c r="AO80" i="59"/>
  <c r="AO49" i="59"/>
  <c r="AO82" i="59"/>
  <c r="AO34" i="59"/>
  <c r="AO71" i="59"/>
  <c r="AO16" i="59"/>
  <c r="AO53" i="59"/>
  <c r="AO88" i="59"/>
  <c r="AO38" i="59"/>
  <c r="AO13" i="59"/>
  <c r="AO39" i="59"/>
  <c r="AO35" i="59"/>
  <c r="AO59" i="59"/>
  <c r="AO96" i="59"/>
  <c r="AO51" i="59"/>
  <c r="AO23" i="59"/>
  <c r="AO50" i="59"/>
  <c r="AO77" i="59"/>
  <c r="AO85" i="59"/>
  <c r="AO14" i="59"/>
  <c r="AO25" i="59"/>
  <c r="AO20" i="59"/>
  <c r="AO57" i="59"/>
  <c r="AO83" i="59"/>
  <c r="AO74" i="59"/>
  <c r="AO92" i="59"/>
  <c r="AO95" i="59"/>
  <c r="AO89" i="59"/>
  <c r="AO66" i="59"/>
  <c r="AO60" i="59"/>
  <c r="AO61" i="59"/>
  <c r="AO75" i="59"/>
  <c r="AO97" i="59"/>
  <c r="AO36" i="59"/>
  <c r="AO26" i="59"/>
  <c r="AO47" i="59"/>
  <c r="AO48" i="59"/>
  <c r="AO69" i="59"/>
  <c r="AO63" i="59"/>
  <c r="AO70" i="59"/>
  <c r="AO84" i="59"/>
  <c r="AO94" i="59"/>
  <c r="AO19" i="59"/>
  <c r="AO24" i="59"/>
  <c r="AO27" i="59"/>
  <c r="AO31" i="59"/>
  <c r="AO45" i="59"/>
  <c r="AO56" i="59"/>
  <c r="AO67" i="59"/>
  <c r="AO78" i="59"/>
  <c r="AO93" i="59"/>
  <c r="AO91" i="59"/>
  <c r="AP8" i="59"/>
  <c r="AP93" i="59" s="1"/>
  <c r="AQ7" i="59"/>
  <c r="AO40" i="59"/>
  <c r="AO52" i="59"/>
  <c r="AO64" i="59"/>
  <c r="AO55" i="59"/>
  <c r="AO79" i="59"/>
  <c r="AO90" i="59"/>
  <c r="AO41" i="59"/>
  <c r="AO15" i="59"/>
  <c r="AO22" i="59"/>
  <c r="AO42" i="59"/>
  <c r="AO28" i="59"/>
  <c r="AO72" i="59"/>
  <c r="AO68" i="59"/>
  <c r="AO73" i="59"/>
  <c r="AO81" i="59"/>
  <c r="AO51" i="113"/>
  <c r="AO56" i="113"/>
  <c r="AO36" i="113"/>
  <c r="AO41" i="113"/>
  <c r="AO44" i="113"/>
  <c r="AO78" i="113"/>
  <c r="AO69" i="113"/>
  <c r="AO73" i="113"/>
  <c r="AO89" i="113"/>
  <c r="AO64" i="113"/>
  <c r="AO61" i="113"/>
  <c r="AO93" i="113"/>
  <c r="AO79" i="113"/>
  <c r="AO91" i="113"/>
  <c r="AP97" i="113"/>
  <c r="AP73" i="113"/>
  <c r="AP72" i="113"/>
  <c r="AP56" i="113"/>
  <c r="AP70" i="113"/>
  <c r="AP59" i="113"/>
  <c r="AP42" i="113"/>
  <c r="AP49" i="113"/>
  <c r="AP22" i="113"/>
  <c r="AP20" i="113"/>
  <c r="AP8" i="113"/>
  <c r="AP89" i="113" s="1"/>
  <c r="AQ7" i="113"/>
  <c r="AP17" i="113"/>
  <c r="AO35" i="113"/>
  <c r="AO31" i="113"/>
  <c r="AO46" i="113"/>
  <c r="AO48" i="113"/>
  <c r="AO47" i="113"/>
  <c r="AO68" i="113"/>
  <c r="AO70" i="113"/>
  <c r="AO80" i="113"/>
  <c r="AO90" i="113"/>
  <c r="AO11" i="113"/>
  <c r="AO24" i="113"/>
  <c r="AO40" i="113"/>
  <c r="AO57" i="113"/>
  <c r="AO55" i="113"/>
  <c r="AO53" i="113"/>
  <c r="AO72" i="113"/>
  <c r="AO84" i="113"/>
  <c r="AO88" i="113"/>
  <c r="AO86" i="113"/>
  <c r="AO26" i="113"/>
  <c r="AO66" i="113"/>
  <c r="AO20" i="113"/>
  <c r="AO22" i="113"/>
  <c r="AO58" i="113"/>
  <c r="AO62" i="113"/>
  <c r="AO63" i="113"/>
  <c r="AO83" i="113"/>
  <c r="AO77" i="113"/>
  <c r="AO95" i="113"/>
  <c r="AO15" i="113"/>
  <c r="AO25" i="113"/>
  <c r="AO34" i="113"/>
  <c r="AO28" i="113"/>
  <c r="AO45" i="113"/>
  <c r="AO75" i="113"/>
  <c r="AO71" i="113"/>
  <c r="AO60" i="113"/>
  <c r="AO85" i="113"/>
  <c r="AP14" i="111"/>
  <c r="AP68" i="111"/>
  <c r="AP36" i="111"/>
  <c r="AP37" i="111"/>
  <c r="AP91" i="111"/>
  <c r="AP49" i="111"/>
  <c r="AP55" i="111"/>
  <c r="AP67" i="111"/>
  <c r="AP59" i="111"/>
  <c r="AP90" i="111"/>
  <c r="AP28" i="111"/>
  <c r="AP78" i="111"/>
  <c r="AP11" i="111"/>
  <c r="AP23" i="111"/>
  <c r="AP39" i="111"/>
  <c r="AP52" i="111"/>
  <c r="AP69" i="111"/>
  <c r="AP86" i="111"/>
  <c r="AP70" i="111"/>
  <c r="AP92" i="111"/>
  <c r="AP53" i="111"/>
  <c r="AP44" i="111"/>
  <c r="AP85" i="111"/>
  <c r="AP31" i="111"/>
  <c r="AP42" i="111"/>
  <c r="AP56" i="111"/>
  <c r="AP82" i="111"/>
  <c r="AP62" i="111"/>
  <c r="AP79" i="111"/>
  <c r="AP89" i="111"/>
  <c r="AP27" i="111"/>
  <c r="AQ79" i="111"/>
  <c r="AR7" i="111"/>
  <c r="AQ8" i="111"/>
  <c r="AQ89" i="111" s="1"/>
  <c r="AQ18" i="111"/>
  <c r="AQ23" i="111"/>
  <c r="AP75" i="111"/>
  <c r="AP16" i="111"/>
  <c r="AP25" i="111"/>
  <c r="AP45" i="111"/>
  <c r="AP58" i="111"/>
  <c r="AP60" i="111"/>
  <c r="AP66" i="111"/>
  <c r="AP84" i="111"/>
  <c r="AP97" i="111"/>
  <c r="AP17" i="111"/>
  <c r="AP12" i="111"/>
  <c r="AP18" i="111"/>
  <c r="AP19" i="111"/>
  <c r="AP34" i="111"/>
  <c r="AP46" i="111"/>
  <c r="AP63" i="111"/>
  <c r="AP61" i="111"/>
  <c r="AP73" i="111"/>
  <c r="AP88" i="111"/>
  <c r="AP94" i="111"/>
  <c r="AP20" i="111"/>
  <c r="AP15" i="111"/>
  <c r="AP33" i="111"/>
  <c r="AP26" i="111"/>
  <c r="AP22" i="111"/>
  <c r="AP38" i="111"/>
  <c r="AP64" i="111"/>
  <c r="AP71" i="111"/>
  <c r="AP72" i="111"/>
  <c r="AP95" i="111"/>
  <c r="AP40" i="111"/>
  <c r="AP13" i="111"/>
  <c r="AP30" i="111"/>
  <c r="AP47" i="111"/>
  <c r="AP48" i="111"/>
  <c r="AP83" i="111"/>
  <c r="AP41" i="111"/>
  <c r="AP96" i="109"/>
  <c r="AP74" i="109"/>
  <c r="AP70" i="109"/>
  <c r="AP83" i="109"/>
  <c r="AP56" i="109"/>
  <c r="AP82" i="109"/>
  <c r="AP39" i="109"/>
  <c r="AP45" i="109"/>
  <c r="AP47" i="109"/>
  <c r="AP19" i="109"/>
  <c r="AQ7" i="109"/>
  <c r="AP8" i="109"/>
  <c r="AP94" i="109" s="1"/>
  <c r="AP11" i="109"/>
  <c r="AO85" i="109"/>
  <c r="AO97" i="109"/>
  <c r="AO90" i="109"/>
  <c r="AO94" i="109"/>
  <c r="AO11" i="109"/>
  <c r="AO16" i="109"/>
  <c r="AO30" i="109"/>
  <c r="AO50" i="109"/>
  <c r="AO46" i="109"/>
  <c r="AO29" i="109"/>
  <c r="AO44" i="109"/>
  <c r="AO57" i="109"/>
  <c r="AO81" i="109"/>
  <c r="AO88" i="109"/>
  <c r="AO14" i="109"/>
  <c r="AO34" i="109"/>
  <c r="AO48" i="109"/>
  <c r="AO51" i="109"/>
  <c r="AO53" i="109"/>
  <c r="AO38" i="109"/>
  <c r="AO47" i="109"/>
  <c r="AO59" i="109"/>
  <c r="AO68" i="109"/>
  <c r="AO96" i="109"/>
  <c r="AO12" i="109"/>
  <c r="AO66" i="109"/>
  <c r="AO52" i="109"/>
  <c r="AO55" i="109"/>
  <c r="AO58" i="109"/>
  <c r="AO67" i="109"/>
  <c r="AO62" i="109"/>
  <c r="AO77" i="109"/>
  <c r="AO95" i="109"/>
  <c r="AO22" i="109"/>
  <c r="AO23" i="109"/>
  <c r="AO49" i="109"/>
  <c r="AO41" i="109"/>
  <c r="AO18" i="109"/>
  <c r="AO61" i="109"/>
  <c r="AO70" i="109"/>
  <c r="AO83" i="109"/>
  <c r="AO84" i="109"/>
  <c r="AP20" i="107"/>
  <c r="AP79" i="107"/>
  <c r="AP60" i="107"/>
  <c r="AP30" i="107"/>
  <c r="AP59" i="107"/>
  <c r="AP83" i="107"/>
  <c r="AP84" i="107"/>
  <c r="AP92" i="107"/>
  <c r="AP41" i="107"/>
  <c r="AP15" i="107"/>
  <c r="AP29" i="107"/>
  <c r="AP34" i="107"/>
  <c r="AP62" i="107"/>
  <c r="AP39" i="107"/>
  <c r="AP56" i="107"/>
  <c r="AP72" i="107"/>
  <c r="AP91" i="107"/>
  <c r="AP89" i="107"/>
  <c r="AP18" i="107"/>
  <c r="AQ89" i="107"/>
  <c r="AQ86" i="107"/>
  <c r="AQ91" i="107"/>
  <c r="AQ81" i="107"/>
  <c r="AQ71" i="107"/>
  <c r="AQ59" i="107"/>
  <c r="AQ84" i="107"/>
  <c r="AQ58" i="107"/>
  <c r="AQ55" i="107"/>
  <c r="AQ72" i="107"/>
  <c r="AQ63" i="107"/>
  <c r="AQ36" i="107"/>
  <c r="AQ29" i="107"/>
  <c r="AQ27" i="107"/>
  <c r="AQ22" i="107"/>
  <c r="AQ49" i="107"/>
  <c r="AQ25" i="107"/>
  <c r="AQ8" i="107"/>
  <c r="AQ90" i="107" s="1"/>
  <c r="AQ37" i="107"/>
  <c r="AQ15" i="107"/>
  <c r="AQ45" i="107"/>
  <c r="AQ23" i="107"/>
  <c r="AQ16" i="107"/>
  <c r="AQ14" i="107"/>
  <c r="AR7" i="107"/>
  <c r="AP42" i="107"/>
  <c r="AP17" i="107"/>
  <c r="AP55" i="107"/>
  <c r="AP69" i="107"/>
  <c r="AP81" i="107"/>
  <c r="AP64" i="107"/>
  <c r="AP66" i="107"/>
  <c r="AP96" i="107"/>
  <c r="AP94" i="107"/>
  <c r="AP12" i="107"/>
  <c r="AP14" i="107"/>
  <c r="AP27" i="107"/>
  <c r="AP26" i="107"/>
  <c r="AP57" i="107"/>
  <c r="AP35" i="107"/>
  <c r="AP36" i="107"/>
  <c r="AP68" i="107"/>
  <c r="AP74" i="107"/>
  <c r="AP93" i="107"/>
  <c r="AP11" i="107"/>
  <c r="AP22" i="107"/>
  <c r="AP24" i="107"/>
  <c r="AP31" i="107"/>
  <c r="AP50" i="107"/>
  <c r="AP49" i="107"/>
  <c r="AP45" i="107"/>
  <c r="AP80" i="107"/>
  <c r="AP77" i="107"/>
  <c r="AP90" i="107"/>
  <c r="AP16" i="107"/>
  <c r="AP13" i="107"/>
  <c r="AP40" i="107"/>
  <c r="AP33" i="107"/>
  <c r="AP63" i="107"/>
  <c r="AP51" i="107"/>
  <c r="AP53" i="107"/>
  <c r="AP71" i="107"/>
  <c r="AP85" i="107"/>
  <c r="AP39" i="105"/>
  <c r="AP30" i="105"/>
  <c r="AP93" i="105"/>
  <c r="AP18" i="105"/>
  <c r="AP36" i="105"/>
  <c r="AP90" i="105"/>
  <c r="AP27" i="105"/>
  <c r="AP42" i="105"/>
  <c r="AP86" i="105"/>
  <c r="AP31" i="105"/>
  <c r="AP22" i="105"/>
  <c r="AP16" i="105"/>
  <c r="AP45" i="105"/>
  <c r="AP56" i="105"/>
  <c r="AP58" i="105"/>
  <c r="AP69" i="105"/>
  <c r="AP68" i="105"/>
  <c r="AP75" i="105"/>
  <c r="AP95" i="105"/>
  <c r="AP63" i="105"/>
  <c r="AP59" i="105"/>
  <c r="AP17" i="105"/>
  <c r="AP26" i="105"/>
  <c r="AP15" i="105"/>
  <c r="AP46" i="105"/>
  <c r="AP38" i="105"/>
  <c r="AP64" i="105"/>
  <c r="AP73" i="105"/>
  <c r="AP83" i="105"/>
  <c r="AP84" i="105"/>
  <c r="AP92" i="105"/>
  <c r="AP52" i="105"/>
  <c r="AP60" i="105"/>
  <c r="AQ86" i="105"/>
  <c r="AQ90" i="105"/>
  <c r="AQ85" i="105"/>
  <c r="AQ91" i="105"/>
  <c r="AQ80" i="105"/>
  <c r="AQ72" i="105"/>
  <c r="AQ66" i="105"/>
  <c r="AQ57" i="105"/>
  <c r="AQ67" i="105"/>
  <c r="AQ58" i="105"/>
  <c r="AQ82" i="105"/>
  <c r="AQ56" i="105"/>
  <c r="AQ44" i="105"/>
  <c r="AQ53" i="105"/>
  <c r="AQ59" i="105"/>
  <c r="AQ48" i="105"/>
  <c r="AQ34" i="105"/>
  <c r="AQ45" i="105"/>
  <c r="AQ42" i="105"/>
  <c r="AQ36" i="105"/>
  <c r="AQ8" i="105"/>
  <c r="AQ96" i="105" s="1"/>
  <c r="AQ28" i="105"/>
  <c r="AQ26" i="105"/>
  <c r="AQ22" i="105"/>
  <c r="AQ30" i="105"/>
  <c r="AQ17" i="105"/>
  <c r="AQ60" i="105"/>
  <c r="AQ40" i="105"/>
  <c r="AR7" i="105"/>
  <c r="AQ25" i="105"/>
  <c r="AQ12" i="105"/>
  <c r="AQ14" i="105"/>
  <c r="AQ35" i="105"/>
  <c r="AQ24" i="105"/>
  <c r="AP34" i="105"/>
  <c r="AP24" i="105"/>
  <c r="AP57" i="105"/>
  <c r="AP47" i="105"/>
  <c r="AP61" i="105"/>
  <c r="AP79" i="105"/>
  <c r="AP80" i="105"/>
  <c r="AP72" i="105"/>
  <c r="AP89" i="105"/>
  <c r="AP40" i="105"/>
  <c r="AP85" i="105"/>
  <c r="AP29" i="105"/>
  <c r="AP28" i="105"/>
  <c r="AP82" i="105"/>
  <c r="AP11" i="105"/>
  <c r="AP13" i="105"/>
  <c r="AP48" i="105"/>
  <c r="AP88" i="105"/>
  <c r="AP41" i="105"/>
  <c r="AP14" i="105"/>
  <c r="AP37" i="105"/>
  <c r="AP25" i="105"/>
  <c r="AP74" i="105"/>
  <c r="AP35" i="105"/>
  <c r="AP70" i="105"/>
  <c r="AP66" i="105"/>
  <c r="AP91" i="105"/>
  <c r="AP81" i="105"/>
  <c r="AP97" i="105"/>
  <c r="AP12" i="105"/>
  <c r="AP71" i="105"/>
  <c r="AP67" i="105"/>
  <c r="AP20" i="105"/>
  <c r="AP23" i="105"/>
  <c r="AP50" i="105"/>
  <c r="AP33" i="105"/>
  <c r="AP51" i="105"/>
  <c r="AP44" i="105"/>
  <c r="AP53" i="105"/>
  <c r="AP78" i="105"/>
  <c r="AP77" i="105"/>
  <c r="AP96" i="105"/>
  <c r="AP25" i="103"/>
  <c r="AP24" i="103"/>
  <c r="AP26" i="103"/>
  <c r="AP27" i="103"/>
  <c r="AP45" i="103"/>
  <c r="AP57" i="103"/>
  <c r="AP69" i="103"/>
  <c r="AP66" i="103"/>
  <c r="AP80" i="103"/>
  <c r="AP90" i="103"/>
  <c r="AP41" i="103"/>
  <c r="AP36" i="103"/>
  <c r="AP51" i="103"/>
  <c r="AP53" i="103"/>
  <c r="AP52" i="103"/>
  <c r="AP75" i="103"/>
  <c r="AP74" i="103"/>
  <c r="AP85" i="103"/>
  <c r="AP86" i="103"/>
  <c r="AP15" i="103"/>
  <c r="AQ89" i="103"/>
  <c r="AQ92" i="103"/>
  <c r="AQ95" i="103"/>
  <c r="AQ96" i="103"/>
  <c r="AQ91" i="103"/>
  <c r="AQ82" i="103"/>
  <c r="AQ85" i="103"/>
  <c r="AQ78" i="103"/>
  <c r="AQ79" i="103"/>
  <c r="AQ68" i="103"/>
  <c r="AQ59" i="103"/>
  <c r="AQ66" i="103"/>
  <c r="AQ69" i="103"/>
  <c r="AQ77" i="103"/>
  <c r="AQ75" i="103"/>
  <c r="AQ72" i="103"/>
  <c r="AQ62" i="103"/>
  <c r="AQ63" i="103"/>
  <c r="AQ64" i="103"/>
  <c r="AQ61" i="103"/>
  <c r="AQ52" i="103"/>
  <c r="AQ44" i="103"/>
  <c r="AQ57" i="103"/>
  <c r="AQ47" i="103"/>
  <c r="AQ60" i="103"/>
  <c r="AQ55" i="103"/>
  <c r="AQ50" i="103"/>
  <c r="AQ41" i="103"/>
  <c r="AQ56" i="103"/>
  <c r="AQ70" i="103"/>
  <c r="AQ48" i="103"/>
  <c r="AQ46" i="103"/>
  <c r="AQ38" i="103"/>
  <c r="AQ42" i="103"/>
  <c r="AQ39" i="103"/>
  <c r="AQ36" i="103"/>
  <c r="AQ30" i="103"/>
  <c r="AQ34" i="103"/>
  <c r="AQ25" i="103"/>
  <c r="AQ45" i="103"/>
  <c r="AQ35" i="103"/>
  <c r="AQ31" i="103"/>
  <c r="AQ23" i="103"/>
  <c r="AQ40" i="103"/>
  <c r="AQ29" i="103"/>
  <c r="AQ20" i="103"/>
  <c r="AQ49" i="103"/>
  <c r="AQ33" i="103"/>
  <c r="AQ17" i="103"/>
  <c r="AQ14" i="103"/>
  <c r="AR7" i="103"/>
  <c r="AQ27" i="103"/>
  <c r="AQ24" i="103"/>
  <c r="AQ28" i="103"/>
  <c r="AQ12" i="103"/>
  <c r="AQ22" i="103"/>
  <c r="AQ18" i="103"/>
  <c r="AQ15" i="103"/>
  <c r="AQ8" i="103"/>
  <c r="AQ86" i="103" s="1"/>
  <c r="AQ13" i="103"/>
  <c r="AQ19" i="103"/>
  <c r="AQ26" i="103"/>
  <c r="AQ11" i="103"/>
  <c r="AQ16" i="103"/>
  <c r="AP19" i="103"/>
  <c r="AP39" i="103"/>
  <c r="AP56" i="103"/>
  <c r="AP63" i="103"/>
  <c r="AP67" i="103"/>
  <c r="AP71" i="103"/>
  <c r="AP91" i="103"/>
  <c r="AP95" i="103"/>
  <c r="AP18" i="103"/>
  <c r="AP14" i="103"/>
  <c r="AP28" i="103"/>
  <c r="AP70" i="103"/>
  <c r="AP68" i="103"/>
  <c r="AP40" i="103"/>
  <c r="AP58" i="103"/>
  <c r="AP81" i="103"/>
  <c r="AP82" i="103"/>
  <c r="AO19" i="101"/>
  <c r="AO30" i="101"/>
  <c r="AO49" i="101"/>
  <c r="AO39" i="101"/>
  <c r="AO50" i="101"/>
  <c r="AO57" i="101"/>
  <c r="AO52" i="101"/>
  <c r="AO74" i="101"/>
  <c r="AO79" i="101"/>
  <c r="AO97" i="101"/>
  <c r="AO17" i="101"/>
  <c r="AO29" i="101"/>
  <c r="AO37" i="101"/>
  <c r="AO42" i="101"/>
  <c r="AO47" i="101"/>
  <c r="AO75" i="101"/>
  <c r="AO67" i="101"/>
  <c r="AO73" i="101"/>
  <c r="AO90" i="101"/>
  <c r="AO23" i="101"/>
  <c r="AP94" i="101"/>
  <c r="AP89" i="101"/>
  <c r="AP95" i="101"/>
  <c r="AP91" i="101"/>
  <c r="AP88" i="101"/>
  <c r="AP80" i="101"/>
  <c r="AP75" i="101"/>
  <c r="AP81" i="101"/>
  <c r="AP78" i="101"/>
  <c r="AP70" i="101"/>
  <c r="AP64" i="101"/>
  <c r="AP79" i="101"/>
  <c r="AP69" i="101"/>
  <c r="AP47" i="101"/>
  <c r="AP38" i="101"/>
  <c r="AP72" i="101"/>
  <c r="AP41" i="101"/>
  <c r="AP45" i="101"/>
  <c r="AP36" i="101"/>
  <c r="AP55" i="101"/>
  <c r="AP48" i="101"/>
  <c r="AP46" i="101"/>
  <c r="AP28" i="101"/>
  <c r="AP52" i="101"/>
  <c r="AP42" i="101"/>
  <c r="AP31" i="101"/>
  <c r="AP26" i="101"/>
  <c r="AP60" i="101"/>
  <c r="AP57" i="101"/>
  <c r="AP51" i="101"/>
  <c r="AP27" i="101"/>
  <c r="AP66" i="101"/>
  <c r="AP40" i="101"/>
  <c r="AP37" i="101"/>
  <c r="AP29" i="101"/>
  <c r="AP35" i="101"/>
  <c r="AP30" i="101"/>
  <c r="AP24" i="101"/>
  <c r="AP14" i="101"/>
  <c r="AP20" i="101"/>
  <c r="AP19" i="101"/>
  <c r="AP12" i="101"/>
  <c r="AP15" i="101"/>
  <c r="AP16" i="101"/>
  <c r="AP25" i="101"/>
  <c r="AP23" i="101"/>
  <c r="AP8" i="101"/>
  <c r="AP86" i="101" s="1"/>
  <c r="AP18" i="101"/>
  <c r="AP11" i="101"/>
  <c r="AQ7" i="101"/>
  <c r="AO20" i="101"/>
  <c r="AO31" i="101"/>
  <c r="AO51" i="101"/>
  <c r="AO53" i="101"/>
  <c r="AO68" i="101"/>
  <c r="AO78" i="101"/>
  <c r="AO93" i="101"/>
  <c r="AO86" i="101"/>
  <c r="AO25" i="101"/>
  <c r="AO14" i="101"/>
  <c r="AO38" i="101"/>
  <c r="AO48" i="101"/>
  <c r="AO56" i="101"/>
  <c r="AO59" i="101"/>
  <c r="AO71" i="101"/>
  <c r="AO55" i="101"/>
  <c r="AO77" i="101"/>
  <c r="AO95" i="101"/>
  <c r="AO15" i="101"/>
  <c r="AO24" i="101"/>
  <c r="AO27" i="101"/>
  <c r="AO28" i="101"/>
  <c r="AO66" i="101"/>
  <c r="AO69" i="101"/>
  <c r="AO64" i="101"/>
  <c r="AO63" i="101"/>
  <c r="AO85" i="101"/>
  <c r="AO92" i="101"/>
  <c r="AO12" i="101"/>
  <c r="AO18" i="101"/>
  <c r="AO45" i="101"/>
  <c r="AO36" i="101"/>
  <c r="AO41" i="101"/>
  <c r="AO44" i="101"/>
  <c r="AO83" i="101"/>
  <c r="AO81" i="101"/>
  <c r="AO82" i="101"/>
  <c r="AO17" i="99"/>
  <c r="AO77" i="99"/>
  <c r="AO26" i="99"/>
  <c r="AO39" i="99"/>
  <c r="AO68" i="99"/>
  <c r="AO80" i="99"/>
  <c r="AO75" i="99"/>
  <c r="AO66" i="99"/>
  <c r="AO89" i="99"/>
  <c r="AO18" i="99"/>
  <c r="AP95" i="99"/>
  <c r="AP90" i="99"/>
  <c r="AP81" i="99"/>
  <c r="AP91" i="99"/>
  <c r="AP82" i="99"/>
  <c r="AP73" i="99"/>
  <c r="AP85" i="99"/>
  <c r="AP58" i="99"/>
  <c r="AP49" i="99"/>
  <c r="AP71" i="99"/>
  <c r="AP53" i="99"/>
  <c r="AP63" i="99"/>
  <c r="AP51" i="99"/>
  <c r="AP41" i="99"/>
  <c r="AP52" i="99"/>
  <c r="AP39" i="99"/>
  <c r="AP42" i="99"/>
  <c r="AP44" i="99"/>
  <c r="AP24" i="99"/>
  <c r="AP59" i="99"/>
  <c r="AP48" i="99"/>
  <c r="AP46" i="99"/>
  <c r="AP25" i="99"/>
  <c r="AP33" i="99"/>
  <c r="AP26" i="99"/>
  <c r="AP22" i="99"/>
  <c r="AP14" i="99"/>
  <c r="AQ7" i="99"/>
  <c r="AP28" i="99"/>
  <c r="AP12" i="99"/>
  <c r="AP15" i="99"/>
  <c r="AP47" i="99"/>
  <c r="AP35" i="99"/>
  <c r="AP23" i="99"/>
  <c r="AP13" i="99"/>
  <c r="AP50" i="99"/>
  <c r="AP40" i="99"/>
  <c r="AP31" i="99"/>
  <c r="AP19" i="99"/>
  <c r="AP16" i="99"/>
  <c r="AP8" i="99"/>
  <c r="AP93" i="99" s="1"/>
  <c r="AP11" i="99"/>
  <c r="AO30" i="99"/>
  <c r="AO34" i="99"/>
  <c r="AO53" i="99"/>
  <c r="AO38" i="99"/>
  <c r="AO55" i="99"/>
  <c r="AO84" i="99"/>
  <c r="AO74" i="99"/>
  <c r="AO97" i="99"/>
  <c r="AO64" i="99"/>
  <c r="AO63" i="99"/>
  <c r="AO83" i="99"/>
  <c r="AO94" i="99"/>
  <c r="AO44" i="99"/>
  <c r="AO22" i="99"/>
  <c r="AO27" i="99"/>
  <c r="AO37" i="99"/>
  <c r="AO36" i="99"/>
  <c r="AO59" i="99"/>
  <c r="AO73" i="99"/>
  <c r="AO72" i="99"/>
  <c r="AO93" i="99"/>
  <c r="AO91" i="99"/>
  <c r="AO16" i="99"/>
  <c r="AO49" i="99"/>
  <c r="AO33" i="99"/>
  <c r="AO57" i="99"/>
  <c r="AO42" i="99"/>
  <c r="AO45" i="99"/>
  <c r="AO85" i="99"/>
  <c r="AO82" i="99"/>
  <c r="AO81" i="99"/>
  <c r="AO90" i="99"/>
  <c r="AO25" i="99"/>
  <c r="AO47" i="99"/>
  <c r="AO11" i="99"/>
  <c r="AO62" i="99"/>
  <c r="AO67" i="99"/>
  <c r="AO60" i="99"/>
  <c r="AO52" i="99"/>
  <c r="AO70" i="99"/>
  <c r="AO69" i="99"/>
  <c r="AO92" i="97"/>
  <c r="AO68" i="97"/>
  <c r="AO80" i="97"/>
  <c r="AO75" i="97"/>
  <c r="AO74" i="97"/>
  <c r="AO97" i="97"/>
  <c r="AP94" i="97"/>
  <c r="AP97" i="97"/>
  <c r="AP89" i="97"/>
  <c r="AP86" i="97"/>
  <c r="AP90" i="97"/>
  <c r="AP93" i="97"/>
  <c r="AP96" i="97"/>
  <c r="AP88" i="97"/>
  <c r="AP78" i="97"/>
  <c r="AP91" i="97"/>
  <c r="AP84" i="97"/>
  <c r="AP75" i="97"/>
  <c r="AP67" i="97"/>
  <c r="AP79" i="97"/>
  <c r="AP70" i="97"/>
  <c r="AP85" i="97"/>
  <c r="AP71" i="97"/>
  <c r="AP80" i="97"/>
  <c r="AP77" i="97"/>
  <c r="AP58" i="97"/>
  <c r="AP57" i="97"/>
  <c r="AP55" i="97"/>
  <c r="AP50" i="97"/>
  <c r="AP83" i="97"/>
  <c r="AP73" i="97"/>
  <c r="AP72" i="97"/>
  <c r="AP64" i="97"/>
  <c r="AP68" i="97"/>
  <c r="AP51" i="97"/>
  <c r="AP42" i="97"/>
  <c r="AP40" i="97"/>
  <c r="AP31" i="97"/>
  <c r="AP82" i="97"/>
  <c r="AP38" i="97"/>
  <c r="AP61" i="97"/>
  <c r="AP52" i="97"/>
  <c r="AP63" i="97"/>
  <c r="AP44" i="97"/>
  <c r="AP28" i="97"/>
  <c r="AP24" i="97"/>
  <c r="AP41" i="97"/>
  <c r="AP37" i="97"/>
  <c r="AP34" i="97"/>
  <c r="AP33" i="97"/>
  <c r="AP29" i="97"/>
  <c r="AP8" i="97"/>
  <c r="AP92" i="97" s="1"/>
  <c r="AP46" i="97"/>
  <c r="AP27" i="97"/>
  <c r="AP39" i="97"/>
  <c r="AP36" i="97"/>
  <c r="AP25" i="97"/>
  <c r="AP23" i="97"/>
  <c r="AP26" i="97"/>
  <c r="AP13" i="97"/>
  <c r="AP45" i="97"/>
  <c r="AP17" i="97"/>
  <c r="AP11" i="97"/>
  <c r="AQ7" i="97"/>
  <c r="AP15" i="97"/>
  <c r="AP53" i="97"/>
  <c r="AP49" i="97"/>
  <c r="AP14" i="97"/>
  <c r="AP16" i="97"/>
  <c r="AP30" i="97"/>
  <c r="AP22" i="97"/>
  <c r="AP35" i="97"/>
  <c r="AO73" i="97"/>
  <c r="AO27" i="97"/>
  <c r="AO17" i="97"/>
  <c r="AO70" i="97"/>
  <c r="AO58" i="97"/>
  <c r="AO71" i="97"/>
  <c r="AO63" i="97"/>
  <c r="AO93" i="97"/>
  <c r="AO91" i="97"/>
  <c r="AO38" i="97"/>
  <c r="AO23" i="97"/>
  <c r="AO33" i="97"/>
  <c r="AO26" i="97"/>
  <c r="AO28" i="97"/>
  <c r="AO44" i="97"/>
  <c r="AO85" i="97"/>
  <c r="AO72" i="97"/>
  <c r="AO90" i="97"/>
  <c r="AO13" i="97"/>
  <c r="AO16" i="97"/>
  <c r="AO25" i="97"/>
  <c r="AO50" i="97"/>
  <c r="AO31" i="97"/>
  <c r="AO37" i="97"/>
  <c r="AO52" i="97"/>
  <c r="AO60" i="97"/>
  <c r="AO81" i="97"/>
  <c r="AR11" i="95"/>
  <c r="AR14" i="95"/>
  <c r="AR64" i="95"/>
  <c r="AR71" i="95"/>
  <c r="AR12" i="95"/>
  <c r="AR17" i="95"/>
  <c r="AR31" i="95"/>
  <c r="AR47" i="95"/>
  <c r="AR16" i="95"/>
  <c r="AR29" i="95"/>
  <c r="AR75" i="95"/>
  <c r="AR55" i="95"/>
  <c r="AR42" i="95"/>
  <c r="AR86" i="95"/>
  <c r="AR28" i="95"/>
  <c r="AR27" i="95"/>
  <c r="AR57" i="95"/>
  <c r="AR89" i="95"/>
  <c r="AR38" i="95"/>
  <c r="AR33" i="95"/>
  <c r="AR61" i="95"/>
  <c r="AR79" i="95"/>
  <c r="AR22" i="95"/>
  <c r="AR72" i="95"/>
  <c r="AR88" i="95"/>
  <c r="AR49" i="95"/>
  <c r="AR59" i="95"/>
  <c r="AR30" i="95"/>
  <c r="AR48" i="95"/>
  <c r="AR56" i="95"/>
  <c r="AR92" i="95"/>
  <c r="AR91" i="95"/>
  <c r="AR19" i="95"/>
  <c r="AR15" i="95"/>
  <c r="AR35" i="95"/>
  <c r="AR45" i="95"/>
  <c r="AR50" i="95"/>
  <c r="AR68" i="95"/>
  <c r="AR90" i="95"/>
  <c r="AR93" i="95"/>
  <c r="AR51" i="95"/>
  <c r="AR34" i="95"/>
  <c r="AR46" i="95"/>
  <c r="AR52" i="95"/>
  <c r="AR69" i="95"/>
  <c r="AR70" i="95"/>
  <c r="AR94" i="95"/>
  <c r="AR36" i="95"/>
  <c r="AR20" i="95"/>
  <c r="AR39" i="95"/>
  <c r="AR81" i="95"/>
  <c r="AR63" i="95"/>
  <c r="AR80" i="95"/>
  <c r="AR26" i="95"/>
  <c r="AR37" i="95"/>
  <c r="AR23" i="95"/>
  <c r="AR67" i="95"/>
  <c r="AR60" i="95"/>
  <c r="AR58" i="95"/>
  <c r="AR84" i="95"/>
  <c r="AR62" i="95"/>
  <c r="AR44" i="95"/>
  <c r="AR78" i="95"/>
  <c r="AR40" i="95"/>
  <c r="AR96" i="95"/>
  <c r="AR73" i="95"/>
  <c r="AR77" i="95"/>
  <c r="AR97" i="95"/>
  <c r="AS8" i="95"/>
  <c r="AS96" i="95" s="1"/>
  <c r="AT7" i="95"/>
  <c r="AR13" i="95"/>
  <c r="AR25" i="95"/>
  <c r="AR18" i="95"/>
  <c r="AR24" i="95"/>
  <c r="AR41" i="95"/>
  <c r="AR66" i="95"/>
  <c r="AR74" i="95"/>
  <c r="AR53" i="95"/>
  <c r="AR95" i="95"/>
  <c r="AR83" i="95"/>
  <c r="AR82" i="95"/>
  <c r="C22" i="2"/>
  <c r="AS17" i="95" l="1"/>
  <c r="AS12" i="95"/>
  <c r="AP75" i="59"/>
  <c r="AP84" i="59"/>
  <c r="AP30" i="59"/>
  <c r="AP49" i="59"/>
  <c r="AP40" i="59"/>
  <c r="AP77" i="59"/>
  <c r="AP68" i="59"/>
  <c r="AP45" i="59"/>
  <c r="AP95" i="59"/>
  <c r="AP82" i="59"/>
  <c r="AP36" i="59"/>
  <c r="AP73" i="59"/>
  <c r="AP13" i="59"/>
  <c r="AP28" i="59"/>
  <c r="AP24" i="59"/>
  <c r="AP42" i="59"/>
  <c r="AP31" i="59"/>
  <c r="AP56" i="59"/>
  <c r="AP69" i="59"/>
  <c r="AP64" i="59"/>
  <c r="AP81" i="59"/>
  <c r="AP90" i="59"/>
  <c r="AP92" i="59"/>
  <c r="AP19" i="59"/>
  <c r="AP18" i="59"/>
  <c r="AP39" i="59"/>
  <c r="AP29" i="59"/>
  <c r="AP46" i="59"/>
  <c r="AP57" i="59"/>
  <c r="AP60" i="59"/>
  <c r="AP80" i="59"/>
  <c r="AP79" i="59"/>
  <c r="AP89" i="59"/>
  <c r="AQ59" i="59"/>
  <c r="AQ79" i="59"/>
  <c r="AQ46" i="59"/>
  <c r="AQ55" i="59"/>
  <c r="AQ33" i="59"/>
  <c r="AQ28" i="59"/>
  <c r="AQ11" i="59"/>
  <c r="AQ8" i="59"/>
  <c r="AQ95" i="59" s="1"/>
  <c r="AQ22" i="59"/>
  <c r="AQ34" i="59"/>
  <c r="AR7" i="59"/>
  <c r="AQ42" i="59"/>
  <c r="AP37" i="59"/>
  <c r="AP16" i="59"/>
  <c r="AP17" i="59"/>
  <c r="AP38" i="59"/>
  <c r="AP50" i="59"/>
  <c r="AP59" i="59"/>
  <c r="AP63" i="59"/>
  <c r="AP83" i="59"/>
  <c r="AP91" i="59"/>
  <c r="AP97" i="59"/>
  <c r="AP12" i="59"/>
  <c r="AP41" i="59"/>
  <c r="AP55" i="59"/>
  <c r="AP11" i="59"/>
  <c r="AP44" i="59"/>
  <c r="AP25" i="59"/>
  <c r="AP26" i="59"/>
  <c r="AP35" i="59"/>
  <c r="AP53" i="59"/>
  <c r="AP61" i="59"/>
  <c r="AP67" i="59"/>
  <c r="AP86" i="59"/>
  <c r="AP88" i="59"/>
  <c r="AP94" i="59"/>
  <c r="AP14" i="59"/>
  <c r="AP22" i="59"/>
  <c r="AP33" i="59"/>
  <c r="AP27" i="59"/>
  <c r="AP47" i="59"/>
  <c r="AP71" i="59"/>
  <c r="AP62" i="59"/>
  <c r="AP70" i="59"/>
  <c r="AP85" i="59"/>
  <c r="AP96" i="59"/>
  <c r="AP20" i="59"/>
  <c r="AP51" i="59"/>
  <c r="AP58" i="59"/>
  <c r="AP23" i="59"/>
  <c r="AP72" i="59"/>
  <c r="AP15" i="59"/>
  <c r="AP34" i="59"/>
  <c r="AP52" i="59"/>
  <c r="AP48" i="59"/>
  <c r="AP66" i="59"/>
  <c r="AP74" i="59"/>
  <c r="AP78" i="59"/>
  <c r="AP12" i="113"/>
  <c r="AP26" i="113"/>
  <c r="AP31" i="113"/>
  <c r="AP23" i="113"/>
  <c r="AP51" i="113"/>
  <c r="AP33" i="113"/>
  <c r="AP52" i="113"/>
  <c r="AP71" i="113"/>
  <c r="AP81" i="113"/>
  <c r="AP82" i="113"/>
  <c r="AP94" i="113"/>
  <c r="AP18" i="113"/>
  <c r="AP19" i="113"/>
  <c r="AP44" i="113"/>
  <c r="AP29" i="113"/>
  <c r="AP66" i="113"/>
  <c r="AP41" i="113"/>
  <c r="AP61" i="113"/>
  <c r="AP78" i="113"/>
  <c r="AP91" i="113"/>
  <c r="AP96" i="113"/>
  <c r="AQ89" i="113"/>
  <c r="AQ95" i="113"/>
  <c r="AQ85" i="113"/>
  <c r="AQ80" i="113"/>
  <c r="AQ82" i="113"/>
  <c r="AQ67" i="113"/>
  <c r="AQ59" i="113"/>
  <c r="AQ73" i="113"/>
  <c r="AQ70" i="113"/>
  <c r="AQ53" i="113"/>
  <c r="AQ71" i="113"/>
  <c r="AQ48" i="113"/>
  <c r="AQ28" i="113"/>
  <c r="AQ33" i="113"/>
  <c r="AQ47" i="113"/>
  <c r="AQ34" i="113"/>
  <c r="AQ42" i="113"/>
  <c r="AQ14" i="113"/>
  <c r="AQ15" i="113"/>
  <c r="AR7" i="113"/>
  <c r="AQ8" i="113"/>
  <c r="AQ86" i="113" s="1"/>
  <c r="AQ13" i="113"/>
  <c r="AP28" i="113"/>
  <c r="AP24" i="113"/>
  <c r="AP37" i="113"/>
  <c r="AP67" i="113"/>
  <c r="AP50" i="113"/>
  <c r="AP69" i="113"/>
  <c r="AP79" i="113"/>
  <c r="AP83" i="113"/>
  <c r="AP93" i="113"/>
  <c r="AP11" i="113"/>
  <c r="AP36" i="113"/>
  <c r="AP27" i="113"/>
  <c r="AP46" i="113"/>
  <c r="AP48" i="113"/>
  <c r="AP74" i="113"/>
  <c r="AP75" i="113"/>
  <c r="AP64" i="113"/>
  <c r="AP80" i="113"/>
  <c r="AP90" i="113"/>
  <c r="AP15" i="113"/>
  <c r="AP16" i="113"/>
  <c r="AP35" i="113"/>
  <c r="AP57" i="113"/>
  <c r="AP55" i="113"/>
  <c r="AP38" i="113"/>
  <c r="AP53" i="113"/>
  <c r="AP84" i="113"/>
  <c r="AP88" i="113"/>
  <c r="AP95" i="113"/>
  <c r="AP30" i="113"/>
  <c r="AP40" i="113"/>
  <c r="AP25" i="113"/>
  <c r="AP58" i="113"/>
  <c r="AP47" i="113"/>
  <c r="AP60" i="113"/>
  <c r="AP86" i="113"/>
  <c r="AP77" i="113"/>
  <c r="AP92" i="113"/>
  <c r="AP14" i="113"/>
  <c r="AP13" i="113"/>
  <c r="AP39" i="113"/>
  <c r="AP34" i="113"/>
  <c r="AP45" i="113"/>
  <c r="AP62" i="113"/>
  <c r="AP68" i="113"/>
  <c r="AP63" i="113"/>
  <c r="AP85" i="113"/>
  <c r="AQ49" i="111"/>
  <c r="AQ22" i="111"/>
  <c r="AQ37" i="111"/>
  <c r="AQ36" i="111"/>
  <c r="AQ34" i="111"/>
  <c r="AQ39" i="111"/>
  <c r="AQ80" i="111"/>
  <c r="AQ68" i="111"/>
  <c r="AQ62" i="111"/>
  <c r="AQ88" i="111"/>
  <c r="AQ12" i="111"/>
  <c r="AQ33" i="111"/>
  <c r="AQ14" i="111"/>
  <c r="AQ16" i="111"/>
  <c r="AQ47" i="111"/>
  <c r="AQ42" i="111"/>
  <c r="AQ70" i="111"/>
  <c r="AQ74" i="111"/>
  <c r="AQ69" i="111"/>
  <c r="AQ96" i="111"/>
  <c r="AQ38" i="111"/>
  <c r="AQ56" i="111"/>
  <c r="AQ20" i="111"/>
  <c r="AQ26" i="111"/>
  <c r="AQ51" i="111"/>
  <c r="AQ46" i="111"/>
  <c r="AQ55" i="111"/>
  <c r="AQ94" i="111"/>
  <c r="AQ72" i="111"/>
  <c r="AQ93" i="111"/>
  <c r="AQ97" i="111"/>
  <c r="AQ52" i="111"/>
  <c r="AQ13" i="111"/>
  <c r="AQ30" i="111"/>
  <c r="AQ35" i="111"/>
  <c r="AQ40" i="111"/>
  <c r="AQ57" i="111"/>
  <c r="AQ60" i="111"/>
  <c r="AQ59" i="111"/>
  <c r="AQ75" i="111"/>
  <c r="AQ86" i="111"/>
  <c r="AQ25" i="111"/>
  <c r="AQ64" i="111"/>
  <c r="AQ53" i="111"/>
  <c r="AQ29" i="111"/>
  <c r="AQ31" i="111"/>
  <c r="AQ11" i="111"/>
  <c r="AQ28" i="111"/>
  <c r="AQ41" i="111"/>
  <c r="AQ78" i="111"/>
  <c r="AQ61" i="111"/>
  <c r="AQ67" i="111"/>
  <c r="AQ91" i="111"/>
  <c r="AQ95" i="111"/>
  <c r="AQ24" i="111"/>
  <c r="AQ17" i="111"/>
  <c r="AQ19" i="111"/>
  <c r="AQ77" i="111"/>
  <c r="AQ44" i="111"/>
  <c r="AQ85" i="111"/>
  <c r="AQ71" i="111"/>
  <c r="AQ66" i="111"/>
  <c r="AQ73" i="111"/>
  <c r="AQ92" i="111"/>
  <c r="AR90" i="111"/>
  <c r="AR96" i="111"/>
  <c r="AR91" i="111"/>
  <c r="AR82" i="111"/>
  <c r="AR77" i="111"/>
  <c r="AR68" i="111"/>
  <c r="AR79" i="111"/>
  <c r="AR66" i="111"/>
  <c r="AR73" i="111"/>
  <c r="AR67" i="111"/>
  <c r="AR59" i="111"/>
  <c r="AR94" i="111"/>
  <c r="AR55" i="111"/>
  <c r="AR69" i="111"/>
  <c r="AR80" i="111"/>
  <c r="AR75" i="111"/>
  <c r="AR64" i="111"/>
  <c r="AR51" i="111"/>
  <c r="AR49" i="111"/>
  <c r="AR47" i="111"/>
  <c r="AR53" i="111"/>
  <c r="AR46" i="111"/>
  <c r="AR42" i="111"/>
  <c r="AR35" i="111"/>
  <c r="AR58" i="111"/>
  <c r="AR56" i="111"/>
  <c r="AR71" i="111"/>
  <c r="AR70" i="111"/>
  <c r="AR84" i="111"/>
  <c r="AR28" i="111"/>
  <c r="AR37" i="111"/>
  <c r="AR29" i="111"/>
  <c r="AR25" i="111"/>
  <c r="AR19" i="111"/>
  <c r="AR11" i="111"/>
  <c r="AS7" i="111"/>
  <c r="AR30" i="111"/>
  <c r="AR26" i="111"/>
  <c r="AR20" i="111"/>
  <c r="AR14" i="111"/>
  <c r="AR15" i="111"/>
  <c r="AR24" i="111"/>
  <c r="AR27" i="111"/>
  <c r="AR33" i="111"/>
  <c r="AR22" i="111"/>
  <c r="AR18" i="111"/>
  <c r="AR16" i="111"/>
  <c r="AR34" i="111"/>
  <c r="AR8" i="111"/>
  <c r="AR92" i="111" s="1"/>
  <c r="AQ58" i="111"/>
  <c r="AQ84" i="111"/>
  <c r="AQ27" i="111"/>
  <c r="AQ15" i="111"/>
  <c r="AQ81" i="111"/>
  <c r="AQ48" i="111"/>
  <c r="AQ90" i="111"/>
  <c r="AQ50" i="111"/>
  <c r="AQ63" i="111"/>
  <c r="AQ83" i="111"/>
  <c r="AQ45" i="111"/>
  <c r="AQ82" i="111"/>
  <c r="AP51" i="109"/>
  <c r="AP91" i="109"/>
  <c r="AP36" i="109"/>
  <c r="AP34" i="109"/>
  <c r="AP40" i="109"/>
  <c r="AP67" i="109"/>
  <c r="AP24" i="109"/>
  <c r="AP29" i="109"/>
  <c r="AP61" i="109"/>
  <c r="AP73" i="109"/>
  <c r="AP81" i="109"/>
  <c r="AP90" i="109"/>
  <c r="AP71" i="109"/>
  <c r="AP55" i="109"/>
  <c r="AP44" i="109"/>
  <c r="AP57" i="109"/>
  <c r="AP75" i="109"/>
  <c r="AP33" i="109"/>
  <c r="AP38" i="109"/>
  <c r="AP60" i="109"/>
  <c r="AP78" i="109"/>
  <c r="AP84" i="109"/>
  <c r="AP95" i="109"/>
  <c r="AQ97" i="109"/>
  <c r="AQ90" i="109"/>
  <c r="AQ94" i="109"/>
  <c r="AQ96" i="109"/>
  <c r="AQ66" i="109"/>
  <c r="AQ85" i="109"/>
  <c r="AQ78" i="109"/>
  <c r="AQ84" i="109"/>
  <c r="AQ59" i="109"/>
  <c r="AQ53" i="109"/>
  <c r="AQ73" i="109"/>
  <c r="AQ72" i="109"/>
  <c r="AQ61" i="109"/>
  <c r="AQ67" i="109"/>
  <c r="AQ60" i="109"/>
  <c r="AQ91" i="109"/>
  <c r="AQ46" i="109"/>
  <c r="AQ41" i="109"/>
  <c r="AQ33" i="109"/>
  <c r="AQ24" i="109"/>
  <c r="AQ27" i="109"/>
  <c r="AQ18" i="109"/>
  <c r="AQ55" i="109"/>
  <c r="AQ50" i="109"/>
  <c r="AQ47" i="109"/>
  <c r="AQ16" i="109"/>
  <c r="AQ64" i="109"/>
  <c r="AQ51" i="109"/>
  <c r="AQ37" i="109"/>
  <c r="AQ88" i="109"/>
  <c r="AQ30" i="109"/>
  <c r="AQ56" i="109"/>
  <c r="AQ28" i="109"/>
  <c r="AQ20" i="109"/>
  <c r="AQ11" i="109"/>
  <c r="AR7" i="109"/>
  <c r="AQ13" i="109"/>
  <c r="AQ17" i="109"/>
  <c r="AQ12" i="109"/>
  <c r="AQ38" i="109"/>
  <c r="AQ29" i="109"/>
  <c r="AQ22" i="109"/>
  <c r="AQ8" i="109"/>
  <c r="AQ89" i="109" s="1"/>
  <c r="AQ19" i="109"/>
  <c r="AQ26" i="109"/>
  <c r="AQ35" i="109"/>
  <c r="AQ23" i="109"/>
  <c r="AQ40" i="109"/>
  <c r="AQ14" i="109"/>
  <c r="AQ31" i="109"/>
  <c r="AQ39" i="109"/>
  <c r="AP23" i="109"/>
  <c r="AP28" i="109"/>
  <c r="AP27" i="109"/>
  <c r="AP41" i="109"/>
  <c r="AP50" i="109"/>
  <c r="AP64" i="109"/>
  <c r="AP59" i="109"/>
  <c r="AP88" i="109"/>
  <c r="AP92" i="109"/>
  <c r="AP18" i="109"/>
  <c r="AP20" i="109"/>
  <c r="AP17" i="109"/>
  <c r="AP14" i="109"/>
  <c r="AP42" i="109"/>
  <c r="AP31" i="109"/>
  <c r="AP46" i="109"/>
  <c r="AP53" i="109"/>
  <c r="AP77" i="109"/>
  <c r="AP66" i="109"/>
  <c r="AP80" i="109"/>
  <c r="AP89" i="109"/>
  <c r="AP15" i="109"/>
  <c r="AP35" i="109"/>
  <c r="AP25" i="109"/>
  <c r="AP16" i="109"/>
  <c r="AP79" i="109"/>
  <c r="AP22" i="109"/>
  <c r="AP49" i="109"/>
  <c r="AP93" i="109"/>
  <c r="AP63" i="109"/>
  <c r="AP69" i="109"/>
  <c r="AP86" i="109"/>
  <c r="AP97" i="109"/>
  <c r="AP48" i="109"/>
  <c r="AP58" i="109"/>
  <c r="AP26" i="109"/>
  <c r="AP12" i="109"/>
  <c r="AP13" i="109"/>
  <c r="AP37" i="109"/>
  <c r="AP30" i="109"/>
  <c r="AP68" i="109"/>
  <c r="AP52" i="109"/>
  <c r="AP62" i="109"/>
  <c r="AP72" i="109"/>
  <c r="AP85" i="109"/>
  <c r="AQ83" i="107"/>
  <c r="AQ64" i="107"/>
  <c r="AQ24" i="107"/>
  <c r="AQ40" i="107"/>
  <c r="AQ77" i="107"/>
  <c r="AQ74" i="107"/>
  <c r="AQ78" i="107"/>
  <c r="AQ80" i="107"/>
  <c r="AQ95" i="107"/>
  <c r="AQ68" i="107"/>
  <c r="AQ20" i="107"/>
  <c r="AQ50" i="107"/>
  <c r="AQ52" i="107"/>
  <c r="AQ75" i="107"/>
  <c r="AQ85" i="107"/>
  <c r="AQ79" i="107"/>
  <c r="AQ92" i="107"/>
  <c r="AR93" i="107"/>
  <c r="AR96" i="107"/>
  <c r="AR88" i="107"/>
  <c r="AR91" i="107"/>
  <c r="AR83" i="107"/>
  <c r="AR85" i="107"/>
  <c r="AR78" i="107"/>
  <c r="AR72" i="107"/>
  <c r="AR79" i="107"/>
  <c r="AR73" i="107"/>
  <c r="AR70" i="107"/>
  <c r="AR69" i="107"/>
  <c r="AR81" i="107"/>
  <c r="AR75" i="107"/>
  <c r="AR71" i="107"/>
  <c r="AR58" i="107"/>
  <c r="AR52" i="107"/>
  <c r="AR46" i="107"/>
  <c r="AR37" i="107"/>
  <c r="AR28" i="107"/>
  <c r="AR80" i="107"/>
  <c r="AR61" i="107"/>
  <c r="AR56" i="107"/>
  <c r="AR44" i="107"/>
  <c r="AR39" i="107"/>
  <c r="AR60" i="107"/>
  <c r="AR40" i="107"/>
  <c r="AR59" i="107"/>
  <c r="AR33" i="107"/>
  <c r="AR64" i="107"/>
  <c r="AR38" i="107"/>
  <c r="AR48" i="107"/>
  <c r="AR27" i="107"/>
  <c r="AR47" i="107"/>
  <c r="AR22" i="107"/>
  <c r="AR41" i="107"/>
  <c r="AR25" i="107"/>
  <c r="AR77" i="107"/>
  <c r="AR13" i="107"/>
  <c r="AR68" i="107"/>
  <c r="AR35" i="107"/>
  <c r="AR19" i="107"/>
  <c r="AR17" i="107"/>
  <c r="AR11" i="107"/>
  <c r="AR16" i="107"/>
  <c r="AR29" i="107"/>
  <c r="AR15" i="107"/>
  <c r="AR31" i="107"/>
  <c r="AR30" i="107"/>
  <c r="AR14" i="107"/>
  <c r="AR8" i="107"/>
  <c r="AR94" i="107" s="1"/>
  <c r="AS7" i="107"/>
  <c r="AQ17" i="107"/>
  <c r="AQ66" i="107"/>
  <c r="AQ31" i="107"/>
  <c r="AQ47" i="107"/>
  <c r="AQ38" i="107"/>
  <c r="AQ44" i="107"/>
  <c r="AQ73" i="107"/>
  <c r="AQ30" i="107"/>
  <c r="AQ94" i="107"/>
  <c r="AQ88" i="107"/>
  <c r="AQ97" i="107"/>
  <c r="AQ26" i="107"/>
  <c r="AQ19" i="107"/>
  <c r="AQ57" i="107"/>
  <c r="AQ41" i="107"/>
  <c r="AQ56" i="107"/>
  <c r="AQ34" i="107"/>
  <c r="AQ39" i="107"/>
  <c r="AQ82" i="107"/>
  <c r="AQ96" i="107"/>
  <c r="AQ11" i="107"/>
  <c r="AQ13" i="107"/>
  <c r="AQ28" i="107"/>
  <c r="AQ70" i="107"/>
  <c r="AQ46" i="107"/>
  <c r="AQ61" i="107"/>
  <c r="AQ42" i="107"/>
  <c r="AQ48" i="107"/>
  <c r="AQ60" i="107"/>
  <c r="AQ93" i="107"/>
  <c r="AQ12" i="107"/>
  <c r="AQ33" i="107"/>
  <c r="AQ35" i="107"/>
  <c r="AQ18" i="107"/>
  <c r="AQ67" i="107"/>
  <c r="AQ62" i="107"/>
  <c r="AQ51" i="107"/>
  <c r="AQ53" i="107"/>
  <c r="AQ69" i="107"/>
  <c r="AQ93" i="105"/>
  <c r="AQ46" i="105"/>
  <c r="AQ64" i="105"/>
  <c r="AQ52" i="105"/>
  <c r="AQ94" i="105"/>
  <c r="AQ78" i="105"/>
  <c r="AQ79" i="105"/>
  <c r="AQ95" i="105"/>
  <c r="AQ33" i="105"/>
  <c r="AQ19" i="105"/>
  <c r="AQ18" i="105"/>
  <c r="AQ29" i="105"/>
  <c r="AQ41" i="105"/>
  <c r="AQ81" i="105"/>
  <c r="AQ63" i="105"/>
  <c r="AQ62" i="105"/>
  <c r="AQ75" i="105"/>
  <c r="AQ92" i="105"/>
  <c r="AR96" i="105"/>
  <c r="AR89" i="105"/>
  <c r="AR57" i="105"/>
  <c r="AR77" i="105"/>
  <c r="AR74" i="105"/>
  <c r="AR53" i="105"/>
  <c r="AR40" i="105"/>
  <c r="AR42" i="105"/>
  <c r="AR37" i="105"/>
  <c r="AR31" i="105"/>
  <c r="AR8" i="105"/>
  <c r="AR88" i="105" s="1"/>
  <c r="AR36" i="105"/>
  <c r="AS7" i="105"/>
  <c r="AQ16" i="105"/>
  <c r="AQ27" i="105"/>
  <c r="AQ37" i="105"/>
  <c r="AQ50" i="105"/>
  <c r="AQ61" i="105"/>
  <c r="AQ69" i="105"/>
  <c r="AQ71" i="105"/>
  <c r="AQ84" i="105"/>
  <c r="AQ89" i="105"/>
  <c r="AQ15" i="105"/>
  <c r="AQ51" i="105"/>
  <c r="AQ11" i="105"/>
  <c r="AQ39" i="105"/>
  <c r="AQ49" i="105"/>
  <c r="AQ38" i="105"/>
  <c r="AQ70" i="105"/>
  <c r="AQ73" i="105"/>
  <c r="AQ74" i="105"/>
  <c r="AQ88" i="105"/>
  <c r="AQ97" i="105"/>
  <c r="AQ23" i="105"/>
  <c r="AQ20" i="105"/>
  <c r="AQ13" i="105"/>
  <c r="AQ55" i="105"/>
  <c r="AQ31" i="105"/>
  <c r="AQ47" i="105"/>
  <c r="AQ68" i="105"/>
  <c r="AQ77" i="105"/>
  <c r="AQ83" i="105"/>
  <c r="AQ84" i="103"/>
  <c r="AQ88" i="103"/>
  <c r="AQ97" i="103"/>
  <c r="AQ74" i="103"/>
  <c r="AQ83" i="103"/>
  <c r="AQ93" i="103"/>
  <c r="AQ67" i="103"/>
  <c r="AQ71" i="103"/>
  <c r="AQ94" i="103"/>
  <c r="AQ90" i="103"/>
  <c r="AR72" i="103"/>
  <c r="AR60" i="103"/>
  <c r="AR8" i="103"/>
  <c r="AR88" i="103" s="1"/>
  <c r="AR35" i="103"/>
  <c r="AS7" i="103"/>
  <c r="AQ51" i="103"/>
  <c r="AQ37" i="103"/>
  <c r="AQ53" i="103"/>
  <c r="AQ58" i="103"/>
  <c r="AQ73" i="103"/>
  <c r="AQ81" i="103"/>
  <c r="AQ80" i="103"/>
  <c r="AP56" i="101"/>
  <c r="AP77" i="101"/>
  <c r="AP85" i="101"/>
  <c r="AP92" i="101"/>
  <c r="AQ81" i="101"/>
  <c r="AQ82" i="101"/>
  <c r="AQ41" i="101"/>
  <c r="AQ40" i="101"/>
  <c r="AQ44" i="101"/>
  <c r="AQ8" i="101"/>
  <c r="AQ86" i="101" s="1"/>
  <c r="AR7" i="101"/>
  <c r="AP53" i="101"/>
  <c r="AP61" i="101"/>
  <c r="AP71" i="101"/>
  <c r="AP82" i="101"/>
  <c r="AP97" i="101"/>
  <c r="AP59" i="101"/>
  <c r="AP73" i="101"/>
  <c r="AP84" i="101"/>
  <c r="AP93" i="101"/>
  <c r="AP13" i="101"/>
  <c r="AP22" i="101"/>
  <c r="AP34" i="101"/>
  <c r="AP44" i="101"/>
  <c r="AP39" i="101"/>
  <c r="AP50" i="101"/>
  <c r="AP68" i="101"/>
  <c r="AP58" i="101"/>
  <c r="AP96" i="101"/>
  <c r="AP90" i="101"/>
  <c r="AP17" i="101"/>
  <c r="AP33" i="101"/>
  <c r="AP49" i="101"/>
  <c r="AP63" i="101"/>
  <c r="AP62" i="101"/>
  <c r="AP74" i="101"/>
  <c r="AP67" i="101"/>
  <c r="AP83" i="101"/>
  <c r="AP61" i="99"/>
  <c r="AP64" i="99"/>
  <c r="AP72" i="99"/>
  <c r="AP86" i="99"/>
  <c r="AP69" i="99"/>
  <c r="AP92" i="99"/>
  <c r="AP38" i="99"/>
  <c r="AP55" i="99"/>
  <c r="AP62" i="99"/>
  <c r="AP70" i="99"/>
  <c r="AP79" i="99"/>
  <c r="AP78" i="99"/>
  <c r="AP89" i="99"/>
  <c r="AP57" i="99"/>
  <c r="AP74" i="99"/>
  <c r="AP66" i="99"/>
  <c r="AP80" i="99"/>
  <c r="AP67" i="99"/>
  <c r="AP88" i="99"/>
  <c r="AP97" i="99"/>
  <c r="AP18" i="99"/>
  <c r="AP34" i="99"/>
  <c r="AP17" i="99"/>
  <c r="AP36" i="99"/>
  <c r="AP20" i="99"/>
  <c r="AP45" i="99"/>
  <c r="AP83" i="99"/>
  <c r="AP68" i="99"/>
  <c r="AP75" i="99"/>
  <c r="AP96" i="99"/>
  <c r="AP94" i="99"/>
  <c r="AP37" i="99"/>
  <c r="AP27" i="99"/>
  <c r="AP30" i="99"/>
  <c r="AP29" i="99"/>
  <c r="AP60" i="99"/>
  <c r="AP56" i="99"/>
  <c r="AP77" i="99"/>
  <c r="AP84" i="99"/>
  <c r="AQ97" i="99"/>
  <c r="AQ88" i="99"/>
  <c r="AQ70" i="99"/>
  <c r="AQ8" i="99"/>
  <c r="AQ89" i="99" s="1"/>
  <c r="AQ41" i="99"/>
  <c r="AR7" i="99"/>
  <c r="AQ13" i="99"/>
  <c r="AQ97" i="97"/>
  <c r="AQ86" i="97"/>
  <c r="AQ90" i="97"/>
  <c r="AQ93" i="97"/>
  <c r="AQ96" i="97"/>
  <c r="AQ88" i="97"/>
  <c r="AQ84" i="97"/>
  <c r="AQ79" i="97"/>
  <c r="AQ70" i="97"/>
  <c r="AQ94" i="97"/>
  <c r="AQ82" i="97"/>
  <c r="AQ71" i="97"/>
  <c r="AQ55" i="97"/>
  <c r="AQ80" i="97"/>
  <c r="AQ77" i="97"/>
  <c r="AQ67" i="97"/>
  <c r="AQ61" i="97"/>
  <c r="AQ62" i="97"/>
  <c r="AQ50" i="97"/>
  <c r="AQ41" i="97"/>
  <c r="AQ83" i="97"/>
  <c r="AQ45" i="97"/>
  <c r="AQ63" i="97"/>
  <c r="AQ51" i="97"/>
  <c r="AQ74" i="97"/>
  <c r="AQ35" i="97"/>
  <c r="AQ59" i="97"/>
  <c r="AQ52" i="97"/>
  <c r="AQ57" i="97"/>
  <c r="AQ56" i="97"/>
  <c r="AQ44" i="97"/>
  <c r="AQ42" i="97"/>
  <c r="AQ37" i="97"/>
  <c r="AQ24" i="97"/>
  <c r="AQ29" i="97"/>
  <c r="AQ78" i="97"/>
  <c r="AQ34" i="97"/>
  <c r="AQ49" i="97"/>
  <c r="AQ46" i="97"/>
  <c r="AQ38" i="97"/>
  <c r="AQ64" i="97"/>
  <c r="AQ39" i="97"/>
  <c r="AQ36" i="97"/>
  <c r="AQ25" i="97"/>
  <c r="AQ23" i="97"/>
  <c r="AQ31" i="97"/>
  <c r="AQ12" i="97"/>
  <c r="AR7" i="97"/>
  <c r="AQ20" i="97"/>
  <c r="AQ47" i="97"/>
  <c r="AQ28" i="97"/>
  <c r="AQ26" i="97"/>
  <c r="AQ8" i="97"/>
  <c r="AQ89" i="97" s="1"/>
  <c r="AQ18" i="97"/>
  <c r="AQ19" i="97"/>
  <c r="AQ40" i="97"/>
  <c r="AQ27" i="97"/>
  <c r="AQ14" i="97"/>
  <c r="AQ17" i="97"/>
  <c r="AP12" i="97"/>
  <c r="AP56" i="97"/>
  <c r="AP48" i="97"/>
  <c r="AP62" i="97"/>
  <c r="AP60" i="97"/>
  <c r="AP81" i="97"/>
  <c r="AP95" i="97"/>
  <c r="AP19" i="97"/>
  <c r="AP18" i="97"/>
  <c r="AP20" i="97"/>
  <c r="AP74" i="97"/>
  <c r="AP59" i="97"/>
  <c r="AP47" i="97"/>
  <c r="AP66" i="97"/>
  <c r="AP69" i="97"/>
  <c r="AS82" i="95"/>
  <c r="AS19" i="95"/>
  <c r="AS22" i="95"/>
  <c r="AS64" i="95"/>
  <c r="AS68" i="95"/>
  <c r="AS33" i="95"/>
  <c r="AS69" i="95"/>
  <c r="AS30" i="95"/>
  <c r="AS61" i="95"/>
  <c r="AS14" i="95"/>
  <c r="AS70" i="95"/>
  <c r="AS35" i="95"/>
  <c r="AS20" i="95"/>
  <c r="AS37" i="95"/>
  <c r="AS29" i="95"/>
  <c r="AS72" i="95"/>
  <c r="AS83" i="95"/>
  <c r="AS86" i="95"/>
  <c r="AS66" i="95"/>
  <c r="AS75" i="95"/>
  <c r="AS31" i="95"/>
  <c r="AS45" i="95"/>
  <c r="AS42" i="95"/>
  <c r="AS74" i="95"/>
  <c r="AS85" i="95"/>
  <c r="AS95" i="95"/>
  <c r="AS56" i="95"/>
  <c r="AS48" i="95"/>
  <c r="AS44" i="95"/>
  <c r="AS91" i="95"/>
  <c r="AS92" i="95"/>
  <c r="AS97" i="95"/>
  <c r="AS26" i="95"/>
  <c r="AS13" i="95"/>
  <c r="AS50" i="95"/>
  <c r="AS39" i="95"/>
  <c r="AS78" i="95"/>
  <c r="AS93" i="95"/>
  <c r="AS49" i="95"/>
  <c r="AS62" i="95"/>
  <c r="AS27" i="95"/>
  <c r="AS53" i="95"/>
  <c r="AS60" i="95"/>
  <c r="AS81" i="95"/>
  <c r="AS24" i="95"/>
  <c r="AS18" i="95"/>
  <c r="AS47" i="95"/>
  <c r="AS36" i="95"/>
  <c r="AS25" i="95"/>
  <c r="AS23" i="95"/>
  <c r="AS55" i="95"/>
  <c r="AS38" i="95"/>
  <c r="AS73" i="95"/>
  <c r="AS58" i="95"/>
  <c r="AS80" i="95"/>
  <c r="AS63" i="95"/>
  <c r="AS90" i="95"/>
  <c r="AS84" i="95"/>
  <c r="AU7" i="95"/>
  <c r="AV7" i="95" s="1"/>
  <c r="AT8" i="95"/>
  <c r="AT97" i="95" s="1"/>
  <c r="AS79" i="95"/>
  <c r="AS40" i="95"/>
  <c r="AS77" i="95"/>
  <c r="AS46" i="95"/>
  <c r="AS71" i="95"/>
  <c r="AS88" i="95"/>
  <c r="AS89" i="95"/>
  <c r="AS11" i="95"/>
  <c r="AS28" i="95"/>
  <c r="AS34" i="95"/>
  <c r="AS15" i="95"/>
  <c r="AS16" i="95"/>
  <c r="AS51" i="95"/>
  <c r="AS41" i="95"/>
  <c r="AS59" i="95"/>
  <c r="AS52" i="95"/>
  <c r="AS67" i="95"/>
  <c r="AS57" i="95"/>
  <c r="AS94" i="95"/>
  <c r="AQ80" i="59" l="1"/>
  <c r="AQ36" i="59"/>
  <c r="AQ38" i="59"/>
  <c r="AQ85" i="59"/>
  <c r="AQ82" i="59"/>
  <c r="AQ17" i="59"/>
  <c r="AQ31" i="59"/>
  <c r="AQ51" i="59"/>
  <c r="AQ66" i="59"/>
  <c r="AQ70" i="59"/>
  <c r="AQ89" i="59"/>
  <c r="AQ27" i="59"/>
  <c r="AQ45" i="59"/>
  <c r="AQ30" i="59"/>
  <c r="AQ49" i="59"/>
  <c r="AQ72" i="59"/>
  <c r="AQ23" i="59"/>
  <c r="AQ13" i="59"/>
  <c r="AQ40" i="59"/>
  <c r="AQ41" i="59"/>
  <c r="AQ69" i="59"/>
  <c r="AQ75" i="59"/>
  <c r="AQ86" i="59"/>
  <c r="AQ92" i="59"/>
  <c r="AQ68" i="59"/>
  <c r="AQ91" i="59"/>
  <c r="AQ97" i="59"/>
  <c r="AQ64" i="59"/>
  <c r="AQ14" i="59"/>
  <c r="AQ16" i="59"/>
  <c r="AQ24" i="59"/>
  <c r="AQ29" i="59"/>
  <c r="AQ62" i="59"/>
  <c r="AQ57" i="59"/>
  <c r="AQ56" i="59"/>
  <c r="AQ74" i="59"/>
  <c r="AQ88" i="59"/>
  <c r="AR52" i="59"/>
  <c r="AR47" i="59"/>
  <c r="AR8" i="59"/>
  <c r="AR95" i="59" s="1"/>
  <c r="AS7" i="59"/>
  <c r="AR37" i="59"/>
  <c r="AQ50" i="59"/>
  <c r="AQ94" i="59"/>
  <c r="AQ71" i="59"/>
  <c r="AQ83" i="59"/>
  <c r="AQ96" i="59"/>
  <c r="AQ19" i="59"/>
  <c r="AQ20" i="59"/>
  <c r="AQ58" i="59"/>
  <c r="AQ53" i="59"/>
  <c r="AQ60" i="59"/>
  <c r="AQ77" i="59"/>
  <c r="AQ78" i="59"/>
  <c r="AQ93" i="59"/>
  <c r="AQ12" i="59"/>
  <c r="AQ15" i="59"/>
  <c r="AQ37" i="59"/>
  <c r="AQ39" i="59"/>
  <c r="AQ35" i="59"/>
  <c r="AQ61" i="59"/>
  <c r="AQ63" i="59"/>
  <c r="AQ52" i="59"/>
  <c r="AQ81" i="59"/>
  <c r="AQ90" i="59"/>
  <c r="AQ26" i="59"/>
  <c r="AQ25" i="59"/>
  <c r="AQ18" i="59"/>
  <c r="AQ44" i="59"/>
  <c r="AQ47" i="59"/>
  <c r="AQ48" i="59"/>
  <c r="AQ67" i="59"/>
  <c r="AQ73" i="59"/>
  <c r="AQ84" i="59"/>
  <c r="AQ11" i="113"/>
  <c r="AQ23" i="113"/>
  <c r="AQ38" i="113"/>
  <c r="AQ81" i="113"/>
  <c r="AQ55" i="113"/>
  <c r="AQ62" i="113"/>
  <c r="AQ63" i="113"/>
  <c r="AQ75" i="113"/>
  <c r="AQ77" i="113"/>
  <c r="AQ92" i="113"/>
  <c r="AQ17" i="113"/>
  <c r="AQ40" i="113"/>
  <c r="AQ16" i="113"/>
  <c r="AQ49" i="113"/>
  <c r="AQ37" i="113"/>
  <c r="AQ27" i="113"/>
  <c r="AQ66" i="113"/>
  <c r="AQ68" i="113"/>
  <c r="AQ72" i="113"/>
  <c r="AQ88" i="113"/>
  <c r="AQ97" i="113"/>
  <c r="AQ20" i="113"/>
  <c r="AQ31" i="113"/>
  <c r="AQ56" i="113"/>
  <c r="AQ46" i="113"/>
  <c r="AQ36" i="113"/>
  <c r="AQ61" i="113"/>
  <c r="AQ79" i="113"/>
  <c r="AQ84" i="113"/>
  <c r="AQ96" i="113"/>
  <c r="AQ12" i="113"/>
  <c r="AQ35" i="113"/>
  <c r="AQ52" i="113"/>
  <c r="AQ29" i="113"/>
  <c r="AQ51" i="113"/>
  <c r="AQ45" i="113"/>
  <c r="AQ69" i="113"/>
  <c r="AQ91" i="113"/>
  <c r="AQ78" i="113"/>
  <c r="AQ93" i="113"/>
  <c r="AQ22" i="113"/>
  <c r="AQ18" i="113"/>
  <c r="AQ30" i="113"/>
  <c r="AQ19" i="113"/>
  <c r="AQ60" i="113"/>
  <c r="AQ41" i="113"/>
  <c r="AQ57" i="113"/>
  <c r="AQ94" i="113"/>
  <c r="AQ74" i="113"/>
  <c r="AQ90" i="113"/>
  <c r="AQ44" i="113"/>
  <c r="AQ24" i="113"/>
  <c r="AQ26" i="113"/>
  <c r="AQ25" i="113"/>
  <c r="AQ39" i="113"/>
  <c r="AQ50" i="113"/>
  <c r="AQ64" i="113"/>
  <c r="AQ58" i="113"/>
  <c r="AQ83" i="113"/>
  <c r="AR93" i="113"/>
  <c r="AR78" i="113"/>
  <c r="AR84" i="113"/>
  <c r="AR53" i="113"/>
  <c r="AR45" i="113"/>
  <c r="AR42" i="113"/>
  <c r="AR37" i="113"/>
  <c r="AR44" i="113"/>
  <c r="AR27" i="113"/>
  <c r="AR28" i="113"/>
  <c r="AR41" i="113"/>
  <c r="AS7" i="113"/>
  <c r="AR16" i="113"/>
  <c r="AR33" i="113"/>
  <c r="AR8" i="113"/>
  <c r="AR96" i="113" s="1"/>
  <c r="AR50" i="111"/>
  <c r="AR81" i="111"/>
  <c r="AR62" i="111"/>
  <c r="AR83" i="111"/>
  <c r="AR88" i="111"/>
  <c r="AR12" i="111"/>
  <c r="AR36" i="111"/>
  <c r="AR23" i="111"/>
  <c r="AR61" i="111"/>
  <c r="AR38" i="111"/>
  <c r="AR72" i="111"/>
  <c r="AR60" i="111"/>
  <c r="AR39" i="111"/>
  <c r="AR85" i="111"/>
  <c r="AR86" i="111"/>
  <c r="AR13" i="111"/>
  <c r="AR17" i="111"/>
  <c r="AR31" i="111"/>
  <c r="AR40" i="111"/>
  <c r="AR41" i="111"/>
  <c r="AR78" i="111"/>
  <c r="AR63" i="111"/>
  <c r="AR48" i="111"/>
  <c r="AR89" i="111"/>
  <c r="AR95" i="111"/>
  <c r="AS90" i="111"/>
  <c r="AS93" i="111"/>
  <c r="AS96" i="111"/>
  <c r="AS91" i="111"/>
  <c r="AS94" i="111"/>
  <c r="AS97" i="111"/>
  <c r="AS85" i="111"/>
  <c r="AS77" i="111"/>
  <c r="AS80" i="111"/>
  <c r="AS71" i="111"/>
  <c r="AS60" i="111"/>
  <c r="AS51" i="111"/>
  <c r="AS42" i="111"/>
  <c r="AS68" i="111"/>
  <c r="AS63" i="111"/>
  <c r="AS88" i="111"/>
  <c r="AS75" i="111"/>
  <c r="AS69" i="111"/>
  <c r="AS82" i="111"/>
  <c r="AS81" i="111"/>
  <c r="AS66" i="111"/>
  <c r="AS64" i="111"/>
  <c r="AS59" i="111"/>
  <c r="AS58" i="111"/>
  <c r="AS56" i="111"/>
  <c r="AS52" i="111"/>
  <c r="AS49" i="111"/>
  <c r="AS57" i="111"/>
  <c r="AS53" i="111"/>
  <c r="AS50" i="111"/>
  <c r="AS47" i="111"/>
  <c r="AS48" i="111"/>
  <c r="AS78" i="111"/>
  <c r="AS67" i="111"/>
  <c r="AS62" i="111"/>
  <c r="AS61" i="111"/>
  <c r="AS39" i="111"/>
  <c r="AS45" i="111"/>
  <c r="AS41" i="111"/>
  <c r="AS31" i="111"/>
  <c r="AS23" i="111"/>
  <c r="AS46" i="111"/>
  <c r="AS26" i="111"/>
  <c r="AS83" i="111"/>
  <c r="AS44" i="111"/>
  <c r="AS38" i="111"/>
  <c r="AS33" i="111"/>
  <c r="AS24" i="111"/>
  <c r="AS30" i="111"/>
  <c r="AS20" i="111"/>
  <c r="AS14" i="111"/>
  <c r="AT7" i="111"/>
  <c r="AS27" i="111"/>
  <c r="AS17" i="111"/>
  <c r="AS12" i="111"/>
  <c r="AS13" i="111"/>
  <c r="AS29" i="111"/>
  <c r="AS37" i="111"/>
  <c r="AS11" i="111"/>
  <c r="AS35" i="111"/>
  <c r="AS16" i="111"/>
  <c r="AS79" i="111"/>
  <c r="AS8" i="111"/>
  <c r="AS95" i="111" s="1"/>
  <c r="AS15" i="111"/>
  <c r="AS70" i="111"/>
  <c r="AS34" i="111"/>
  <c r="AS22" i="111"/>
  <c r="AS18" i="111"/>
  <c r="AS84" i="111"/>
  <c r="AS28" i="111"/>
  <c r="AS25" i="111"/>
  <c r="AS40" i="111"/>
  <c r="AR52" i="111"/>
  <c r="AR44" i="111"/>
  <c r="AR45" i="111"/>
  <c r="AR93" i="111"/>
  <c r="AR74" i="111"/>
  <c r="AR57" i="111"/>
  <c r="AR97" i="111"/>
  <c r="AQ93" i="109"/>
  <c r="AQ49" i="109"/>
  <c r="AQ69" i="109"/>
  <c r="AQ63" i="109"/>
  <c r="AQ74" i="109"/>
  <c r="AQ86" i="109"/>
  <c r="AQ48" i="109"/>
  <c r="AQ25" i="109"/>
  <c r="AQ36" i="109"/>
  <c r="AQ58" i="109"/>
  <c r="AQ57" i="109"/>
  <c r="AQ62" i="109"/>
  <c r="AQ81" i="109"/>
  <c r="AQ95" i="109"/>
  <c r="AR92" i="109"/>
  <c r="AR95" i="109"/>
  <c r="AR90" i="109"/>
  <c r="AR96" i="109"/>
  <c r="AR97" i="109"/>
  <c r="AR89" i="109"/>
  <c r="AR86" i="109"/>
  <c r="AR83" i="109"/>
  <c r="AR78" i="109"/>
  <c r="AR69" i="109"/>
  <c r="AR77" i="109"/>
  <c r="AR73" i="109"/>
  <c r="AR72" i="109"/>
  <c r="AR71" i="109"/>
  <c r="AR70" i="109"/>
  <c r="AR64" i="109"/>
  <c r="AR84" i="109"/>
  <c r="AR81" i="109"/>
  <c r="AR75" i="109"/>
  <c r="AR67" i="109"/>
  <c r="AR66" i="109"/>
  <c r="AR94" i="109"/>
  <c r="AR79" i="109"/>
  <c r="AR63" i="109"/>
  <c r="AR59" i="109"/>
  <c r="AR48" i="109"/>
  <c r="AR61" i="109"/>
  <c r="AR27" i="109"/>
  <c r="AR39" i="109"/>
  <c r="AR30" i="109"/>
  <c r="AR22" i="109"/>
  <c r="AR56" i="109"/>
  <c r="AR53" i="109"/>
  <c r="AR37" i="109"/>
  <c r="AR19" i="109"/>
  <c r="AR45" i="109"/>
  <c r="AR41" i="109"/>
  <c r="AR50" i="109"/>
  <c r="AR42" i="109"/>
  <c r="AR38" i="109"/>
  <c r="AR91" i="109"/>
  <c r="AR49" i="109"/>
  <c r="AR44" i="109"/>
  <c r="AR33" i="109"/>
  <c r="AR47" i="109"/>
  <c r="AR16" i="109"/>
  <c r="AR62" i="109"/>
  <c r="AR46" i="109"/>
  <c r="AR13" i="109"/>
  <c r="AR26" i="109"/>
  <c r="AR35" i="109"/>
  <c r="AR15" i="109"/>
  <c r="AR29" i="109"/>
  <c r="AR8" i="109"/>
  <c r="AR93" i="109" s="1"/>
  <c r="AR68" i="109"/>
  <c r="AR55" i="109"/>
  <c r="AR40" i="109"/>
  <c r="AR24" i="109"/>
  <c r="AR14" i="109"/>
  <c r="AR31" i="109"/>
  <c r="AR17" i="109"/>
  <c r="AS7" i="109"/>
  <c r="AR25" i="109"/>
  <c r="AR23" i="109"/>
  <c r="AR12" i="109"/>
  <c r="AR51" i="109"/>
  <c r="AQ52" i="109"/>
  <c r="AQ34" i="109"/>
  <c r="AQ75" i="109"/>
  <c r="AQ68" i="109"/>
  <c r="AQ70" i="109"/>
  <c r="AQ79" i="109"/>
  <c r="AQ83" i="109"/>
  <c r="AQ92" i="109"/>
  <c r="AQ44" i="109"/>
  <c r="AQ77" i="109"/>
  <c r="AQ42" i="109"/>
  <c r="AQ15" i="109"/>
  <c r="AQ45" i="109"/>
  <c r="AQ71" i="109"/>
  <c r="AQ82" i="109"/>
  <c r="AQ80" i="109"/>
  <c r="AR55" i="107"/>
  <c r="AR84" i="107"/>
  <c r="AR53" i="107"/>
  <c r="AR82" i="107"/>
  <c r="AR90" i="107"/>
  <c r="AR20" i="107"/>
  <c r="AR12" i="107"/>
  <c r="AR26" i="107"/>
  <c r="AR18" i="107"/>
  <c r="AR36" i="107"/>
  <c r="AR67" i="107"/>
  <c r="AR34" i="107"/>
  <c r="AR57" i="107"/>
  <c r="AR74" i="107"/>
  <c r="AR86" i="107"/>
  <c r="AR95" i="107"/>
  <c r="AS95" i="107"/>
  <c r="AS86" i="107"/>
  <c r="AS94" i="107"/>
  <c r="AS97" i="107"/>
  <c r="AS89" i="107"/>
  <c r="AS79" i="107"/>
  <c r="AS73" i="107"/>
  <c r="AS84" i="107"/>
  <c r="AS62" i="107"/>
  <c r="AS57" i="107"/>
  <c r="AS82" i="107"/>
  <c r="AS28" i="107"/>
  <c r="AS49" i="107"/>
  <c r="AS40" i="107"/>
  <c r="AS64" i="107"/>
  <c r="AS63" i="107"/>
  <c r="AS61" i="107"/>
  <c r="AS47" i="107"/>
  <c r="AS45" i="107"/>
  <c r="AS51" i="107"/>
  <c r="AS58" i="107"/>
  <c r="AS39" i="107"/>
  <c r="AS22" i="107"/>
  <c r="AS17" i="107"/>
  <c r="AS33" i="107"/>
  <c r="AS56" i="107"/>
  <c r="AT7" i="107"/>
  <c r="AS29" i="107"/>
  <c r="AS23" i="107"/>
  <c r="AS15" i="107"/>
  <c r="AS8" i="107"/>
  <c r="AS90" i="107" s="1"/>
  <c r="AS12" i="107"/>
  <c r="AS20" i="107"/>
  <c r="AS16" i="107"/>
  <c r="AR42" i="107"/>
  <c r="AR62" i="107"/>
  <c r="AR97" i="107"/>
  <c r="AR89" i="107"/>
  <c r="AR92" i="107"/>
  <c r="AR45" i="107"/>
  <c r="AR23" i="107"/>
  <c r="AR24" i="107"/>
  <c r="AR50" i="107"/>
  <c r="AR49" i="107"/>
  <c r="AR51" i="107"/>
  <c r="AR66" i="107"/>
  <c r="AR63" i="107"/>
  <c r="AR12" i="105"/>
  <c r="AR14" i="105"/>
  <c r="AR28" i="105"/>
  <c r="AR51" i="105"/>
  <c r="AR59" i="105"/>
  <c r="AR58" i="105"/>
  <c r="AR66" i="105"/>
  <c r="AR73" i="105"/>
  <c r="AR90" i="105"/>
  <c r="AR49" i="105"/>
  <c r="AR18" i="105"/>
  <c r="AR44" i="105"/>
  <c r="AR20" i="105"/>
  <c r="AR16" i="105"/>
  <c r="AR39" i="105"/>
  <c r="AR45" i="105"/>
  <c r="AR75" i="105"/>
  <c r="AR67" i="105"/>
  <c r="AR72" i="105"/>
  <c r="AR82" i="105"/>
  <c r="AR86" i="105"/>
  <c r="AR46" i="105"/>
  <c r="AR81" i="105"/>
  <c r="AR93" i="105"/>
  <c r="AS96" i="105"/>
  <c r="AS94" i="105"/>
  <c r="AS77" i="105"/>
  <c r="AS78" i="105"/>
  <c r="AS69" i="105"/>
  <c r="AS55" i="105"/>
  <c r="AS70" i="105"/>
  <c r="AS56" i="105"/>
  <c r="AS59" i="105"/>
  <c r="AS50" i="105"/>
  <c r="AS46" i="105"/>
  <c r="AS29" i="105"/>
  <c r="AS34" i="105"/>
  <c r="AS26" i="105"/>
  <c r="AS11" i="105"/>
  <c r="AS38" i="105"/>
  <c r="AT7" i="105"/>
  <c r="AS40" i="105"/>
  <c r="AS15" i="105"/>
  <c r="AS42" i="105"/>
  <c r="AS8" i="105"/>
  <c r="AS95" i="105" s="1"/>
  <c r="AS13" i="105"/>
  <c r="AR30" i="105"/>
  <c r="AR23" i="105"/>
  <c r="AR34" i="105"/>
  <c r="AR33" i="105"/>
  <c r="AR68" i="105"/>
  <c r="AR56" i="105"/>
  <c r="AR94" i="105"/>
  <c r="AR84" i="105"/>
  <c r="AR97" i="105"/>
  <c r="AR95" i="105"/>
  <c r="AR64" i="105"/>
  <c r="AR62" i="105"/>
  <c r="AR85" i="105"/>
  <c r="AR17" i="105"/>
  <c r="AR38" i="105"/>
  <c r="AR11" i="105"/>
  <c r="AR48" i="105"/>
  <c r="AR35" i="105"/>
  <c r="AR41" i="105"/>
  <c r="AR55" i="105"/>
  <c r="AR63" i="105"/>
  <c r="AR78" i="105"/>
  <c r="AR79" i="105"/>
  <c r="AR92" i="105"/>
  <c r="AR71" i="105"/>
  <c r="AR27" i="105"/>
  <c r="AR24" i="105"/>
  <c r="AR19" i="105"/>
  <c r="AR13" i="105"/>
  <c r="AR52" i="105"/>
  <c r="AR50" i="105"/>
  <c r="AR61" i="105"/>
  <c r="AR60" i="105"/>
  <c r="AR83" i="105"/>
  <c r="AR91" i="105"/>
  <c r="AR15" i="105"/>
  <c r="AR25" i="105"/>
  <c r="AR29" i="105"/>
  <c r="AR22" i="105"/>
  <c r="AR26" i="105"/>
  <c r="AR47" i="105"/>
  <c r="AR70" i="105"/>
  <c r="AR69" i="105"/>
  <c r="AR80" i="105"/>
  <c r="AR17" i="103"/>
  <c r="AR38" i="103"/>
  <c r="AR80" i="103"/>
  <c r="AR18" i="103"/>
  <c r="AR51" i="103"/>
  <c r="AR89" i="103"/>
  <c r="AR11" i="103"/>
  <c r="AR13" i="103"/>
  <c r="AR12" i="103"/>
  <c r="AR19" i="103"/>
  <c r="AR44" i="103"/>
  <c r="AR45" i="103"/>
  <c r="AR58" i="103"/>
  <c r="AR67" i="103"/>
  <c r="AR71" i="103"/>
  <c r="AR85" i="103"/>
  <c r="AR95" i="103"/>
  <c r="AR16" i="103"/>
  <c r="AR15" i="103"/>
  <c r="AR46" i="103"/>
  <c r="AR42" i="103"/>
  <c r="AR59" i="103"/>
  <c r="AR93" i="103"/>
  <c r="AR22" i="103"/>
  <c r="AR41" i="103"/>
  <c r="AR74" i="103"/>
  <c r="AR36" i="103"/>
  <c r="AR57" i="103"/>
  <c r="AR86" i="103"/>
  <c r="AR14" i="103"/>
  <c r="AR20" i="103"/>
  <c r="AR40" i="103"/>
  <c r="AR28" i="103"/>
  <c r="AR49" i="103"/>
  <c r="AR53" i="103"/>
  <c r="AR79" i="103"/>
  <c r="AR73" i="103"/>
  <c r="AR84" i="103"/>
  <c r="AR94" i="103"/>
  <c r="AR92" i="103"/>
  <c r="AR34" i="103"/>
  <c r="AR33" i="103"/>
  <c r="AR68" i="103"/>
  <c r="AR96" i="103"/>
  <c r="AR39" i="103"/>
  <c r="AR48" i="103"/>
  <c r="AR78" i="103"/>
  <c r="AR77" i="103"/>
  <c r="AS94" i="103"/>
  <c r="AS97" i="103"/>
  <c r="AS84" i="103"/>
  <c r="AS86" i="103"/>
  <c r="AS75" i="103"/>
  <c r="AS67" i="103"/>
  <c r="AS56" i="103"/>
  <c r="AS82" i="103"/>
  <c r="AS50" i="103"/>
  <c r="AS41" i="103"/>
  <c r="AS64" i="103"/>
  <c r="AS58" i="103"/>
  <c r="AS37" i="103"/>
  <c r="AS28" i="103"/>
  <c r="AS33" i="103"/>
  <c r="AS27" i="103"/>
  <c r="AS8" i="103"/>
  <c r="AS95" i="103" s="1"/>
  <c r="AS13" i="103"/>
  <c r="AS30" i="103"/>
  <c r="AS26" i="103"/>
  <c r="AS14" i="103"/>
  <c r="AT7" i="103"/>
  <c r="AR29" i="103"/>
  <c r="AR27" i="103"/>
  <c r="AR37" i="103"/>
  <c r="AR61" i="103"/>
  <c r="AR50" i="103"/>
  <c r="AR82" i="103"/>
  <c r="AR70" i="103"/>
  <c r="AR81" i="103"/>
  <c r="AR91" i="103"/>
  <c r="AR52" i="103"/>
  <c r="AR83" i="103"/>
  <c r="AR69" i="103"/>
  <c r="AR26" i="103"/>
  <c r="AR47" i="103"/>
  <c r="AR75" i="103"/>
  <c r="AR90" i="103"/>
  <c r="AR30" i="103"/>
  <c r="AR66" i="103"/>
  <c r="AR62" i="103"/>
  <c r="AR23" i="103"/>
  <c r="AR31" i="103"/>
  <c r="AR24" i="103"/>
  <c r="AR25" i="103"/>
  <c r="AR64" i="103"/>
  <c r="AR55" i="103"/>
  <c r="AR56" i="103"/>
  <c r="AR63" i="103"/>
  <c r="AR97" i="103"/>
  <c r="AQ38" i="101"/>
  <c r="AQ85" i="101"/>
  <c r="AQ24" i="101"/>
  <c r="AQ50" i="101"/>
  <c r="AQ57" i="101"/>
  <c r="AQ17" i="101"/>
  <c r="AQ34" i="101"/>
  <c r="AQ29" i="101"/>
  <c r="AQ53" i="101"/>
  <c r="AQ45" i="101"/>
  <c r="AQ68" i="101"/>
  <c r="AQ78" i="101"/>
  <c r="AQ77" i="101"/>
  <c r="AQ95" i="101"/>
  <c r="AR92" i="101"/>
  <c r="AR95" i="101"/>
  <c r="AR86" i="101"/>
  <c r="AR88" i="101"/>
  <c r="AR97" i="101"/>
  <c r="AR89" i="101"/>
  <c r="AR80" i="101"/>
  <c r="AR81" i="101"/>
  <c r="AR74" i="101"/>
  <c r="AR85" i="101"/>
  <c r="AR82" i="101"/>
  <c r="AR71" i="101"/>
  <c r="AR53" i="101"/>
  <c r="AR84" i="101"/>
  <c r="AR66" i="101"/>
  <c r="AR61" i="101"/>
  <c r="AR45" i="101"/>
  <c r="AR70" i="101"/>
  <c r="AR55" i="101"/>
  <c r="AR42" i="101"/>
  <c r="AR67" i="101"/>
  <c r="AR60" i="101"/>
  <c r="AR57" i="101"/>
  <c r="AR26" i="101"/>
  <c r="AR49" i="101"/>
  <c r="AR37" i="101"/>
  <c r="AR33" i="101"/>
  <c r="AR40" i="101"/>
  <c r="AR34" i="101"/>
  <c r="AR75" i="101"/>
  <c r="AR41" i="101"/>
  <c r="AR22" i="101"/>
  <c r="AR35" i="101"/>
  <c r="AR30" i="101"/>
  <c r="AR31" i="101"/>
  <c r="AR18" i="101"/>
  <c r="AR8" i="101"/>
  <c r="AR90" i="101" s="1"/>
  <c r="AR14" i="101"/>
  <c r="AR23" i="101"/>
  <c r="AR13" i="101"/>
  <c r="AS7" i="101"/>
  <c r="AR20" i="101"/>
  <c r="AR17" i="101"/>
  <c r="AR12" i="101"/>
  <c r="AQ60" i="101"/>
  <c r="AQ94" i="101"/>
  <c r="AQ14" i="101"/>
  <c r="AQ33" i="101"/>
  <c r="AQ23" i="101"/>
  <c r="AQ67" i="101"/>
  <c r="AQ26" i="101"/>
  <c r="AQ51" i="101"/>
  <c r="AQ72" i="101"/>
  <c r="AQ52" i="101"/>
  <c r="AQ79" i="101"/>
  <c r="AQ88" i="101"/>
  <c r="AQ97" i="101"/>
  <c r="AQ20" i="101"/>
  <c r="AQ92" i="101"/>
  <c r="AQ25" i="101"/>
  <c r="AQ89" i="101"/>
  <c r="AQ27" i="101"/>
  <c r="AQ15" i="101"/>
  <c r="AQ22" i="101"/>
  <c r="AQ30" i="101"/>
  <c r="AQ47" i="101"/>
  <c r="AQ63" i="101"/>
  <c r="AQ66" i="101"/>
  <c r="AQ61" i="101"/>
  <c r="AQ75" i="101"/>
  <c r="AQ96" i="101"/>
  <c r="AQ74" i="101"/>
  <c r="AQ16" i="101"/>
  <c r="AQ12" i="101"/>
  <c r="AQ18" i="101"/>
  <c r="AQ35" i="101"/>
  <c r="AQ31" i="101"/>
  <c r="AQ39" i="101"/>
  <c r="AQ62" i="101"/>
  <c r="AQ70" i="101"/>
  <c r="AQ83" i="101"/>
  <c r="AQ93" i="101"/>
  <c r="AQ64" i="101"/>
  <c r="AQ37" i="101"/>
  <c r="AQ19" i="101"/>
  <c r="AQ28" i="101"/>
  <c r="AQ56" i="101"/>
  <c r="AQ36" i="101"/>
  <c r="AQ48" i="101"/>
  <c r="AQ71" i="101"/>
  <c r="AQ73" i="101"/>
  <c r="AQ91" i="101"/>
  <c r="AQ90" i="101"/>
  <c r="AQ58" i="101"/>
  <c r="AQ49" i="101"/>
  <c r="AQ13" i="101"/>
  <c r="AQ11" i="101"/>
  <c r="AQ46" i="101"/>
  <c r="AQ69" i="101"/>
  <c r="AQ42" i="101"/>
  <c r="AQ55" i="101"/>
  <c r="AQ59" i="101"/>
  <c r="AQ84" i="101"/>
  <c r="AQ80" i="101"/>
  <c r="AQ66" i="99"/>
  <c r="AQ37" i="99"/>
  <c r="AQ78" i="99"/>
  <c r="AQ64" i="99"/>
  <c r="AQ71" i="99"/>
  <c r="AQ29" i="99"/>
  <c r="AQ16" i="99"/>
  <c r="AQ17" i="99"/>
  <c r="AQ27" i="99"/>
  <c r="AQ46" i="99"/>
  <c r="AQ39" i="99"/>
  <c r="AQ74" i="99"/>
  <c r="AQ80" i="99"/>
  <c r="AQ79" i="99"/>
  <c r="AQ96" i="99"/>
  <c r="AR92" i="99"/>
  <c r="AR86" i="99"/>
  <c r="AR93" i="99"/>
  <c r="AR96" i="99"/>
  <c r="AR88" i="99"/>
  <c r="AR91" i="99"/>
  <c r="AR94" i="99"/>
  <c r="AR75" i="99"/>
  <c r="AR67" i="99"/>
  <c r="AR89" i="99"/>
  <c r="AR79" i="99"/>
  <c r="AR70" i="99"/>
  <c r="AR82" i="99"/>
  <c r="AR73" i="99"/>
  <c r="AR85" i="99"/>
  <c r="AR77" i="99"/>
  <c r="AR97" i="99"/>
  <c r="AR80" i="99"/>
  <c r="AR71" i="99"/>
  <c r="AR83" i="99"/>
  <c r="AR74" i="99"/>
  <c r="AR56" i="99"/>
  <c r="AR47" i="99"/>
  <c r="AR81" i="99"/>
  <c r="AR59" i="99"/>
  <c r="AR62" i="99"/>
  <c r="AR53" i="99"/>
  <c r="AR60" i="99"/>
  <c r="AR55" i="99"/>
  <c r="AR39" i="99"/>
  <c r="AR78" i="99"/>
  <c r="AR52" i="99"/>
  <c r="AR42" i="99"/>
  <c r="AR61" i="99"/>
  <c r="AR49" i="99"/>
  <c r="AR37" i="99"/>
  <c r="AR57" i="99"/>
  <c r="AR40" i="99"/>
  <c r="AR69" i="99"/>
  <c r="AR51" i="99"/>
  <c r="AR41" i="99"/>
  <c r="AR44" i="99"/>
  <c r="AR27" i="99"/>
  <c r="AR30" i="99"/>
  <c r="AR22" i="99"/>
  <c r="AR72" i="99"/>
  <c r="AR63" i="99"/>
  <c r="AR36" i="99"/>
  <c r="AR33" i="99"/>
  <c r="AR31" i="99"/>
  <c r="AR50" i="99"/>
  <c r="AR35" i="99"/>
  <c r="AR12" i="99"/>
  <c r="AR23" i="99"/>
  <c r="AR15" i="99"/>
  <c r="AR18" i="99"/>
  <c r="AR8" i="99"/>
  <c r="AR95" i="99" s="1"/>
  <c r="AR13" i="99"/>
  <c r="AR29" i="99"/>
  <c r="AR48" i="99"/>
  <c r="AR45" i="99"/>
  <c r="AR34" i="99"/>
  <c r="AR25" i="99"/>
  <c r="AR20" i="99"/>
  <c r="AR19" i="99"/>
  <c r="AR11" i="99"/>
  <c r="AR58" i="99"/>
  <c r="AR16" i="99"/>
  <c r="AS7" i="99"/>
  <c r="AR26" i="99"/>
  <c r="AR24" i="99"/>
  <c r="AR17" i="99"/>
  <c r="AR14" i="99"/>
  <c r="AQ30" i="99"/>
  <c r="AQ31" i="99"/>
  <c r="AQ44" i="99"/>
  <c r="AQ47" i="99"/>
  <c r="AQ55" i="99"/>
  <c r="AQ50" i="99"/>
  <c r="AQ68" i="99"/>
  <c r="AQ67" i="99"/>
  <c r="AQ93" i="99"/>
  <c r="AQ19" i="99"/>
  <c r="AQ18" i="99"/>
  <c r="AQ40" i="99"/>
  <c r="AQ24" i="99"/>
  <c r="AQ49" i="99"/>
  <c r="AQ36" i="99"/>
  <c r="AQ59" i="99"/>
  <c r="AQ77" i="99"/>
  <c r="AQ75" i="99"/>
  <c r="AQ90" i="99"/>
  <c r="AQ11" i="99"/>
  <c r="AQ15" i="99"/>
  <c r="AQ51" i="99"/>
  <c r="AQ38" i="99"/>
  <c r="AQ62" i="99"/>
  <c r="AQ45" i="99"/>
  <c r="AQ83" i="99"/>
  <c r="AQ85" i="99"/>
  <c r="AQ84" i="99"/>
  <c r="AQ86" i="99"/>
  <c r="AQ14" i="99"/>
  <c r="AQ23" i="99"/>
  <c r="AQ28" i="99"/>
  <c r="AQ48" i="99"/>
  <c r="AQ34" i="99"/>
  <c r="AQ60" i="99"/>
  <c r="AQ56" i="99"/>
  <c r="AQ73" i="99"/>
  <c r="AQ72" i="99"/>
  <c r="AQ95" i="99"/>
  <c r="AQ22" i="99"/>
  <c r="AQ35" i="99"/>
  <c r="AQ33" i="99"/>
  <c r="AQ58" i="99"/>
  <c r="AQ42" i="99"/>
  <c r="AQ57" i="99"/>
  <c r="AQ52" i="99"/>
  <c r="AQ82" i="99"/>
  <c r="AQ81" i="99"/>
  <c r="AQ92" i="99"/>
  <c r="AQ20" i="99"/>
  <c r="AQ26" i="99"/>
  <c r="AQ12" i="99"/>
  <c r="AQ25" i="99"/>
  <c r="AQ69" i="99"/>
  <c r="AQ53" i="99"/>
  <c r="AQ63" i="99"/>
  <c r="AQ61" i="99"/>
  <c r="AQ94" i="99"/>
  <c r="AQ91" i="99"/>
  <c r="AR95" i="97"/>
  <c r="AR84" i="97"/>
  <c r="AR85" i="97"/>
  <c r="AR63" i="97"/>
  <c r="AR71" i="97"/>
  <c r="AR74" i="97"/>
  <c r="AR42" i="97"/>
  <c r="AR8" i="97"/>
  <c r="AR92" i="97" s="1"/>
  <c r="AR69" i="97"/>
  <c r="AR19" i="97"/>
  <c r="AR30" i="97"/>
  <c r="AR17" i="97"/>
  <c r="AR40" i="97"/>
  <c r="AR14" i="97"/>
  <c r="AS7" i="97"/>
  <c r="AR12" i="97"/>
  <c r="AQ75" i="97"/>
  <c r="AQ72" i="97"/>
  <c r="AQ95" i="97"/>
  <c r="AQ16" i="97"/>
  <c r="AQ13" i="97"/>
  <c r="AQ33" i="97"/>
  <c r="AQ60" i="97"/>
  <c r="AQ66" i="97"/>
  <c r="AQ68" i="97"/>
  <c r="AQ85" i="97"/>
  <c r="AQ81" i="97"/>
  <c r="AQ92" i="97"/>
  <c r="AQ53" i="97"/>
  <c r="AQ11" i="97"/>
  <c r="AQ30" i="97"/>
  <c r="AQ22" i="97"/>
  <c r="AQ15" i="97"/>
  <c r="AQ48" i="97"/>
  <c r="AQ69" i="97"/>
  <c r="AQ58" i="97"/>
  <c r="AQ73" i="97"/>
  <c r="AQ91" i="97"/>
  <c r="AT41" i="95"/>
  <c r="AT58" i="95"/>
  <c r="AT52" i="95"/>
  <c r="AT66" i="95"/>
  <c r="AT95" i="95"/>
  <c r="AT36" i="95"/>
  <c r="AT60" i="95"/>
  <c r="AT91" i="95"/>
  <c r="AT33" i="95"/>
  <c r="AT61" i="95"/>
  <c r="AT75" i="95"/>
  <c r="AT46" i="95"/>
  <c r="AT70" i="95"/>
  <c r="AT84" i="95"/>
  <c r="AT16" i="95"/>
  <c r="AT64" i="95"/>
  <c r="AT12" i="95"/>
  <c r="AT29" i="95"/>
  <c r="AT53" i="95"/>
  <c r="AT78" i="95"/>
  <c r="AT48" i="95"/>
  <c r="AT89" i="95"/>
  <c r="AT17" i="95"/>
  <c r="AT94" i="95"/>
  <c r="AT31" i="95"/>
  <c r="AT47" i="95"/>
  <c r="AT67" i="95"/>
  <c r="AT88" i="95"/>
  <c r="AT86" i="95"/>
  <c r="AT63" i="95"/>
  <c r="AT85" i="95"/>
  <c r="AT38" i="95"/>
  <c r="AT56" i="95"/>
  <c r="AT83" i="95"/>
  <c r="AT14" i="95"/>
  <c r="AT23" i="95"/>
  <c r="AT30" i="95"/>
  <c r="AT19" i="95"/>
  <c r="AT22" i="95"/>
  <c r="AT69" i="95"/>
  <c r="AT37" i="95"/>
  <c r="AT40" i="95"/>
  <c r="AT73" i="95"/>
  <c r="AT45" i="95"/>
  <c r="AT90" i="95"/>
  <c r="AT62" i="95"/>
  <c r="AT74" i="95"/>
  <c r="AT92" i="95"/>
  <c r="AU8" i="95"/>
  <c r="AU82" i="95" s="1"/>
  <c r="AT44" i="95"/>
  <c r="AT15" i="95"/>
  <c r="AT34" i="95"/>
  <c r="AT71" i="95"/>
  <c r="AT81" i="95"/>
  <c r="AT68" i="95"/>
  <c r="AT20" i="95"/>
  <c r="AT25" i="95"/>
  <c r="AT24" i="95"/>
  <c r="AT11" i="95"/>
  <c r="AT28" i="95"/>
  <c r="AT49" i="95"/>
  <c r="AT39" i="95"/>
  <c r="AT42" i="95"/>
  <c r="AT55" i="95"/>
  <c r="AT51" i="95"/>
  <c r="AT93" i="95"/>
  <c r="AT79" i="95"/>
  <c r="AT96" i="95"/>
  <c r="AT18" i="95"/>
  <c r="AT27" i="95"/>
  <c r="AT26" i="95"/>
  <c r="AT13" i="95"/>
  <c r="AT35" i="95"/>
  <c r="AT82" i="95"/>
  <c r="AT50" i="95"/>
  <c r="AT59" i="95"/>
  <c r="AT57" i="95"/>
  <c r="AT72" i="95"/>
  <c r="AT77" i="95"/>
  <c r="AT80" i="95"/>
  <c r="C10" i="2"/>
  <c r="C11" i="2" s="1"/>
  <c r="AR35" i="59" l="1"/>
  <c r="AR39" i="59"/>
  <c r="AR36" i="59"/>
  <c r="AR70" i="59"/>
  <c r="AR75" i="59"/>
  <c r="AR89" i="59"/>
  <c r="AR17" i="59"/>
  <c r="AR44" i="59"/>
  <c r="AR57" i="59"/>
  <c r="AR11" i="59"/>
  <c r="AR23" i="59"/>
  <c r="AR38" i="59"/>
  <c r="AR81" i="59"/>
  <c r="AR19" i="59"/>
  <c r="AR28" i="59"/>
  <c r="AR46" i="59"/>
  <c r="AR94" i="59"/>
  <c r="AR85" i="59"/>
  <c r="AR92" i="59"/>
  <c r="AR16" i="59"/>
  <c r="AT7" i="59"/>
  <c r="AS8" i="59"/>
  <c r="AS88" i="59" s="1"/>
  <c r="AR66" i="59"/>
  <c r="AR15" i="59"/>
  <c r="AR48" i="59"/>
  <c r="AR58" i="59"/>
  <c r="AR74" i="59"/>
  <c r="AR83" i="59"/>
  <c r="AR62" i="59"/>
  <c r="AR91" i="59"/>
  <c r="AR20" i="59"/>
  <c r="AR14" i="59"/>
  <c r="AR69" i="59"/>
  <c r="AR24" i="59"/>
  <c r="AR67" i="59"/>
  <c r="AR60" i="59"/>
  <c r="AR42" i="59"/>
  <c r="AR61" i="59"/>
  <c r="AR71" i="59"/>
  <c r="AR88" i="59"/>
  <c r="AR78" i="59"/>
  <c r="AR30" i="59"/>
  <c r="AR33" i="59"/>
  <c r="AR51" i="59"/>
  <c r="AR50" i="59"/>
  <c r="AR64" i="59"/>
  <c r="AR84" i="59"/>
  <c r="AR96" i="59"/>
  <c r="AR26" i="59"/>
  <c r="AR25" i="59"/>
  <c r="AR22" i="59"/>
  <c r="AR59" i="59"/>
  <c r="AR41" i="59"/>
  <c r="AR63" i="59"/>
  <c r="AR53" i="59"/>
  <c r="AR68" i="59"/>
  <c r="AR86" i="59"/>
  <c r="AR93" i="59"/>
  <c r="AR34" i="59"/>
  <c r="AR31" i="59"/>
  <c r="AR40" i="59"/>
  <c r="AR80" i="59"/>
  <c r="AR55" i="59"/>
  <c r="AR49" i="59"/>
  <c r="AR79" i="59"/>
  <c r="AR82" i="59"/>
  <c r="AR97" i="59"/>
  <c r="AR90" i="59"/>
  <c r="AR12" i="59"/>
  <c r="AR13" i="59"/>
  <c r="AR45" i="59"/>
  <c r="AR18" i="59"/>
  <c r="AR27" i="59"/>
  <c r="AR29" i="59"/>
  <c r="AR73" i="59"/>
  <c r="AR72" i="59"/>
  <c r="AR56" i="59"/>
  <c r="AR77" i="59"/>
  <c r="AS91" i="113"/>
  <c r="AS84" i="113"/>
  <c r="AS57" i="113"/>
  <c r="AS62" i="113"/>
  <c r="AS51" i="113"/>
  <c r="AS56" i="113"/>
  <c r="AS30" i="113"/>
  <c r="AS27" i="113"/>
  <c r="AS20" i="113"/>
  <c r="AT7" i="113"/>
  <c r="AS13" i="113"/>
  <c r="AS8" i="113"/>
  <c r="AS95" i="113" s="1"/>
  <c r="AR36" i="113"/>
  <c r="AR35" i="113"/>
  <c r="AR31" i="113"/>
  <c r="AR51" i="113"/>
  <c r="AR50" i="113"/>
  <c r="AR60" i="113"/>
  <c r="AR94" i="113"/>
  <c r="AR74" i="113"/>
  <c r="AR90" i="113"/>
  <c r="AR11" i="113"/>
  <c r="AR17" i="113"/>
  <c r="AR20" i="113"/>
  <c r="AR40" i="113"/>
  <c r="AR58" i="113"/>
  <c r="AR63" i="113"/>
  <c r="AR68" i="113"/>
  <c r="AR61" i="113"/>
  <c r="AR83" i="113"/>
  <c r="AR86" i="113"/>
  <c r="AR14" i="113"/>
  <c r="AR15" i="113"/>
  <c r="AR18" i="113"/>
  <c r="AR34" i="113"/>
  <c r="AR49" i="113"/>
  <c r="AR30" i="113"/>
  <c r="AR66" i="113"/>
  <c r="AR73" i="113"/>
  <c r="AR70" i="113"/>
  <c r="AR97" i="113"/>
  <c r="AR95" i="113"/>
  <c r="AR26" i="113"/>
  <c r="AR24" i="113"/>
  <c r="AR38" i="113"/>
  <c r="AR56" i="113"/>
  <c r="AR39" i="113"/>
  <c r="AR69" i="113"/>
  <c r="AR62" i="113"/>
  <c r="AR75" i="113"/>
  <c r="AR80" i="113"/>
  <c r="AR92" i="113"/>
  <c r="AR13" i="113"/>
  <c r="AR52" i="113"/>
  <c r="AR25" i="113"/>
  <c r="AR47" i="113"/>
  <c r="AR57" i="113"/>
  <c r="AR48" i="113"/>
  <c r="AR64" i="113"/>
  <c r="AR71" i="113"/>
  <c r="AR82" i="113"/>
  <c r="AR91" i="113"/>
  <c r="AR23" i="113"/>
  <c r="AR46" i="113"/>
  <c r="AR55" i="113"/>
  <c r="AR72" i="113"/>
  <c r="AR85" i="113"/>
  <c r="AR81" i="113"/>
  <c r="AR88" i="113"/>
  <c r="AR12" i="113"/>
  <c r="AR19" i="113"/>
  <c r="AR22" i="113"/>
  <c r="AR29" i="113"/>
  <c r="AR67" i="113"/>
  <c r="AR59" i="113"/>
  <c r="AR77" i="113"/>
  <c r="AR79" i="113"/>
  <c r="AR89" i="113"/>
  <c r="AT35" i="111"/>
  <c r="AT8" i="111"/>
  <c r="AT93" i="111" s="1"/>
  <c r="AU7" i="111"/>
  <c r="AS86" i="111"/>
  <c r="AS19" i="111"/>
  <c r="AS36" i="111"/>
  <c r="AS55" i="111"/>
  <c r="AS92" i="111"/>
  <c r="AS73" i="111"/>
  <c r="AS72" i="111"/>
  <c r="AS74" i="111"/>
  <c r="AS89" i="111"/>
  <c r="AS8" i="109"/>
  <c r="AS95" i="109" s="1"/>
  <c r="AS19" i="109"/>
  <c r="AT7" i="109"/>
  <c r="AR11" i="109"/>
  <c r="AR34" i="109"/>
  <c r="AR28" i="109"/>
  <c r="AR18" i="109"/>
  <c r="AR80" i="109"/>
  <c r="AR60" i="109"/>
  <c r="AR82" i="109"/>
  <c r="AR88" i="109"/>
  <c r="AR20" i="109"/>
  <c r="AR74" i="109"/>
  <c r="AR52" i="109"/>
  <c r="AR36" i="109"/>
  <c r="AR58" i="109"/>
  <c r="AR57" i="109"/>
  <c r="AR85" i="109"/>
  <c r="AS13" i="107"/>
  <c r="AT97" i="107"/>
  <c r="AT95" i="107"/>
  <c r="AT71" i="107"/>
  <c r="AT35" i="107"/>
  <c r="AT72" i="107"/>
  <c r="AT63" i="107"/>
  <c r="AT53" i="107"/>
  <c r="AT57" i="107"/>
  <c r="AT68" i="107"/>
  <c r="AT16" i="107"/>
  <c r="AT50" i="107"/>
  <c r="AT29" i="107"/>
  <c r="AT20" i="107"/>
  <c r="AT14" i="107"/>
  <c r="AU7" i="107"/>
  <c r="AT8" i="107"/>
  <c r="AT89" i="107" s="1"/>
  <c r="AT13" i="107"/>
  <c r="AT12" i="107"/>
  <c r="AS26" i="107"/>
  <c r="AS18" i="107"/>
  <c r="AS53" i="107"/>
  <c r="AS68" i="107"/>
  <c r="AS37" i="107"/>
  <c r="AS66" i="107"/>
  <c r="AS67" i="107"/>
  <c r="AS91" i="107"/>
  <c r="AS14" i="107"/>
  <c r="AS44" i="107"/>
  <c r="AS27" i="107"/>
  <c r="AS36" i="107"/>
  <c r="AS72" i="107"/>
  <c r="AS46" i="107"/>
  <c r="AS70" i="107"/>
  <c r="AS78" i="107"/>
  <c r="AS88" i="107"/>
  <c r="AS30" i="107"/>
  <c r="AS34" i="107"/>
  <c r="AS19" i="107"/>
  <c r="AS75" i="107"/>
  <c r="AS50" i="107"/>
  <c r="AS59" i="107"/>
  <c r="AS52" i="107"/>
  <c r="AS69" i="107"/>
  <c r="AS77" i="107"/>
  <c r="AS96" i="107"/>
  <c r="AS42" i="107"/>
  <c r="AS11" i="107"/>
  <c r="AS25" i="107"/>
  <c r="AS35" i="107"/>
  <c r="AS60" i="107"/>
  <c r="AS80" i="107"/>
  <c r="AS55" i="107"/>
  <c r="AS83" i="107"/>
  <c r="AS85" i="107"/>
  <c r="AS93" i="107"/>
  <c r="AS24" i="107"/>
  <c r="AS38" i="107"/>
  <c r="AS41" i="107"/>
  <c r="AS48" i="107"/>
  <c r="AS81" i="107"/>
  <c r="AS31" i="107"/>
  <c r="AS71" i="107"/>
  <c r="AS74" i="107"/>
  <c r="AS92" i="107"/>
  <c r="AS24" i="105"/>
  <c r="AS44" i="105"/>
  <c r="AS28" i="105"/>
  <c r="AS37" i="105"/>
  <c r="AS53" i="105"/>
  <c r="AS64" i="105"/>
  <c r="AS63" i="105"/>
  <c r="AS83" i="105"/>
  <c r="AS91" i="105"/>
  <c r="AS12" i="105"/>
  <c r="AS25" i="105"/>
  <c r="AS51" i="105"/>
  <c r="AS31" i="105"/>
  <c r="AS49" i="105"/>
  <c r="AS68" i="105"/>
  <c r="AS61" i="105"/>
  <c r="AS60" i="105"/>
  <c r="AS89" i="105"/>
  <c r="AS88" i="105"/>
  <c r="AS18" i="105"/>
  <c r="AT90" i="105"/>
  <c r="AT93" i="105"/>
  <c r="AT96" i="105"/>
  <c r="AT88" i="105"/>
  <c r="AT85" i="105"/>
  <c r="AT77" i="105"/>
  <c r="AT86" i="105"/>
  <c r="AT80" i="105"/>
  <c r="AT84" i="105"/>
  <c r="AT75" i="105"/>
  <c r="AT95" i="105"/>
  <c r="AT63" i="105"/>
  <c r="AT74" i="105"/>
  <c r="AT70" i="105"/>
  <c r="AT64" i="105"/>
  <c r="AT56" i="105"/>
  <c r="AT72" i="105"/>
  <c r="AT71" i="105"/>
  <c r="AT62" i="105"/>
  <c r="AT53" i="105"/>
  <c r="AT51" i="105"/>
  <c r="AT42" i="105"/>
  <c r="AT60" i="105"/>
  <c r="AT49" i="105"/>
  <c r="AT50" i="105"/>
  <c r="AT44" i="105"/>
  <c r="AT38" i="105"/>
  <c r="AT30" i="105"/>
  <c r="AT55" i="105"/>
  <c r="AT19" i="105"/>
  <c r="AT11" i="105"/>
  <c r="AT37" i="105"/>
  <c r="AT29" i="105"/>
  <c r="AT23" i="105"/>
  <c r="AU7" i="105"/>
  <c r="AT20" i="105"/>
  <c r="AT17" i="105"/>
  <c r="AT12" i="105"/>
  <c r="AT31" i="105"/>
  <c r="AT18" i="105"/>
  <c r="AT8" i="105"/>
  <c r="AT91" i="105" s="1"/>
  <c r="AT41" i="105"/>
  <c r="AT22" i="105"/>
  <c r="AT25" i="105"/>
  <c r="AT66" i="105"/>
  <c r="AT13" i="105"/>
  <c r="AT46" i="105"/>
  <c r="AT26" i="105"/>
  <c r="AT15" i="105"/>
  <c r="AT28" i="105"/>
  <c r="AT24" i="105"/>
  <c r="AT16" i="105"/>
  <c r="AT57" i="105"/>
  <c r="AS19" i="105"/>
  <c r="AS47" i="105"/>
  <c r="AS39" i="105"/>
  <c r="AS66" i="105"/>
  <c r="AS74" i="105"/>
  <c r="AS84" i="105"/>
  <c r="AS85" i="105"/>
  <c r="AS93" i="105"/>
  <c r="AS33" i="105"/>
  <c r="AS14" i="105"/>
  <c r="AS17" i="105"/>
  <c r="AS57" i="105"/>
  <c r="AS48" i="105"/>
  <c r="AS75" i="105"/>
  <c r="AS80" i="105"/>
  <c r="AS72" i="105"/>
  <c r="AS73" i="105"/>
  <c r="AS90" i="105"/>
  <c r="AS22" i="105"/>
  <c r="AS35" i="105"/>
  <c r="AS23" i="105"/>
  <c r="AS58" i="105"/>
  <c r="AS27" i="105"/>
  <c r="AS36" i="105"/>
  <c r="AS62" i="105"/>
  <c r="AS67" i="105"/>
  <c r="AS81" i="105"/>
  <c r="AS82" i="105"/>
  <c r="AS86" i="105"/>
  <c r="AS20" i="105"/>
  <c r="AS52" i="105"/>
  <c r="AS30" i="105"/>
  <c r="AS16" i="105"/>
  <c r="AS41" i="105"/>
  <c r="AS45" i="105"/>
  <c r="AS71" i="105"/>
  <c r="AS79" i="105"/>
  <c r="AS92" i="105"/>
  <c r="AS97" i="105"/>
  <c r="AS52" i="103"/>
  <c r="AS55" i="103"/>
  <c r="AS63" i="103"/>
  <c r="AS91" i="103"/>
  <c r="AS25" i="103"/>
  <c r="AS15" i="103"/>
  <c r="AS42" i="103"/>
  <c r="AS44" i="103"/>
  <c r="AS39" i="103"/>
  <c r="AS71" i="103"/>
  <c r="AS59" i="103"/>
  <c r="AS85" i="103"/>
  <c r="AS92" i="103"/>
  <c r="AS96" i="103"/>
  <c r="AS19" i="103"/>
  <c r="AS29" i="103"/>
  <c r="AS51" i="103"/>
  <c r="AS69" i="103"/>
  <c r="AS72" i="103"/>
  <c r="AS34" i="103"/>
  <c r="AS18" i="103"/>
  <c r="AS23" i="103"/>
  <c r="AS49" i="103"/>
  <c r="AS48" i="103"/>
  <c r="AS60" i="103"/>
  <c r="AS62" i="103"/>
  <c r="AS57" i="103"/>
  <c r="AS83" i="103"/>
  <c r="AS93" i="103"/>
  <c r="AS20" i="103"/>
  <c r="AS38" i="103"/>
  <c r="AS40" i="103"/>
  <c r="AS61" i="103"/>
  <c r="AS78" i="103"/>
  <c r="AS17" i="103"/>
  <c r="AS16" i="103"/>
  <c r="AS12" i="103"/>
  <c r="AS31" i="103"/>
  <c r="AS47" i="103"/>
  <c r="AS45" i="103"/>
  <c r="AS70" i="103"/>
  <c r="AS77" i="103"/>
  <c r="AS66" i="103"/>
  <c r="AS80" i="103"/>
  <c r="AS90" i="103"/>
  <c r="AS11" i="103"/>
  <c r="AS46" i="103"/>
  <c r="AS68" i="103"/>
  <c r="AS81" i="103"/>
  <c r="AS88" i="103"/>
  <c r="AT93" i="103"/>
  <c r="AT96" i="103"/>
  <c r="AT88" i="103"/>
  <c r="AT91" i="103"/>
  <c r="AT94" i="103"/>
  <c r="AT83" i="103"/>
  <c r="AT81" i="103"/>
  <c r="AT95" i="103"/>
  <c r="AT84" i="103"/>
  <c r="AT86" i="103"/>
  <c r="AT80" i="103"/>
  <c r="AT69" i="103"/>
  <c r="AT60" i="103"/>
  <c r="AT72" i="103"/>
  <c r="AT75" i="103"/>
  <c r="AT70" i="103"/>
  <c r="AT73" i="103"/>
  <c r="AT74" i="103"/>
  <c r="AT68" i="103"/>
  <c r="AT56" i="103"/>
  <c r="AT66" i="103"/>
  <c r="AT53" i="103"/>
  <c r="AT45" i="103"/>
  <c r="AT48" i="103"/>
  <c r="AT51" i="103"/>
  <c r="AT59" i="103"/>
  <c r="AT49" i="103"/>
  <c r="AT71" i="103"/>
  <c r="AT47" i="103"/>
  <c r="AT39" i="103"/>
  <c r="AT40" i="103"/>
  <c r="AT38" i="103"/>
  <c r="AT35" i="103"/>
  <c r="AT31" i="103"/>
  <c r="AT26" i="103"/>
  <c r="AT50" i="103"/>
  <c r="AT30" i="103"/>
  <c r="AT22" i="103"/>
  <c r="AT18" i="103"/>
  <c r="AT15" i="103"/>
  <c r="AT8" i="103"/>
  <c r="AT97" i="103" s="1"/>
  <c r="AT20" i="103"/>
  <c r="AT13" i="103"/>
  <c r="AT52" i="103"/>
  <c r="AT17" i="103"/>
  <c r="AT16" i="103"/>
  <c r="AT25" i="103"/>
  <c r="AT11" i="103"/>
  <c r="AT58" i="103"/>
  <c r="AT37" i="103"/>
  <c r="AT14" i="103"/>
  <c r="AU7" i="103"/>
  <c r="AT33" i="103"/>
  <c r="AT12" i="103"/>
  <c r="AS22" i="103"/>
  <c r="AS24" i="103"/>
  <c r="AS35" i="103"/>
  <c r="AS36" i="103"/>
  <c r="AS53" i="103"/>
  <c r="AS79" i="103"/>
  <c r="AS73" i="103"/>
  <c r="AS74" i="103"/>
  <c r="AS89" i="103"/>
  <c r="AR50" i="101"/>
  <c r="AR38" i="101"/>
  <c r="AR29" i="101"/>
  <c r="AR46" i="101"/>
  <c r="AR59" i="101"/>
  <c r="AR62" i="101"/>
  <c r="AR79" i="101"/>
  <c r="AR91" i="101"/>
  <c r="AS91" i="101"/>
  <c r="AS97" i="101"/>
  <c r="AS85" i="101"/>
  <c r="AS72" i="101"/>
  <c r="AS68" i="101"/>
  <c r="AS59" i="101"/>
  <c r="AS71" i="101"/>
  <c r="AS79" i="101"/>
  <c r="AS69" i="101"/>
  <c r="AS60" i="101"/>
  <c r="AS70" i="101"/>
  <c r="AS48" i="101"/>
  <c r="AS42" i="101"/>
  <c r="AS46" i="101"/>
  <c r="AS37" i="101"/>
  <c r="AS64" i="101"/>
  <c r="AS56" i="101"/>
  <c r="AS52" i="101"/>
  <c r="AS29" i="101"/>
  <c r="AS44" i="101"/>
  <c r="AS33" i="101"/>
  <c r="AS27" i="101"/>
  <c r="AS67" i="101"/>
  <c r="AS28" i="101"/>
  <c r="AS41" i="101"/>
  <c r="AS34" i="101"/>
  <c r="AS38" i="101"/>
  <c r="AS35" i="101"/>
  <c r="AS30" i="101"/>
  <c r="AS26" i="101"/>
  <c r="AS53" i="101"/>
  <c r="AS31" i="101"/>
  <c r="AS8" i="101"/>
  <c r="AS95" i="101" s="1"/>
  <c r="AS25" i="101"/>
  <c r="AS23" i="101"/>
  <c r="AS13" i="101"/>
  <c r="AS16" i="101"/>
  <c r="AT7" i="101"/>
  <c r="AS11" i="101"/>
  <c r="AS18" i="101"/>
  <c r="AS14" i="101"/>
  <c r="AS40" i="101"/>
  <c r="AS24" i="101"/>
  <c r="AS19" i="101"/>
  <c r="AR27" i="101"/>
  <c r="AR15" i="101"/>
  <c r="AR36" i="101"/>
  <c r="AR58" i="101"/>
  <c r="AR47" i="101"/>
  <c r="AR51" i="101"/>
  <c r="AR73" i="101"/>
  <c r="AR68" i="101"/>
  <c r="AR94" i="101"/>
  <c r="AR96" i="101"/>
  <c r="AR11" i="101"/>
  <c r="AR19" i="101"/>
  <c r="AR28" i="101"/>
  <c r="AR77" i="101"/>
  <c r="AR44" i="101"/>
  <c r="AR63" i="101"/>
  <c r="AR69" i="101"/>
  <c r="AR56" i="101"/>
  <c r="AR78" i="101"/>
  <c r="AR93" i="101"/>
  <c r="AR16" i="101"/>
  <c r="AR25" i="101"/>
  <c r="AR39" i="101"/>
  <c r="AR24" i="101"/>
  <c r="AR52" i="101"/>
  <c r="AR48" i="101"/>
  <c r="AR72" i="101"/>
  <c r="AR64" i="101"/>
  <c r="AR83" i="101"/>
  <c r="AS86" i="99"/>
  <c r="AS93" i="99"/>
  <c r="AS96" i="99"/>
  <c r="AS88" i="99"/>
  <c r="AS91" i="99"/>
  <c r="AS94" i="99"/>
  <c r="AS89" i="99"/>
  <c r="AS70" i="99"/>
  <c r="AS82" i="99"/>
  <c r="AS73" i="99"/>
  <c r="AS92" i="99"/>
  <c r="AS85" i="99"/>
  <c r="AS68" i="99"/>
  <c r="AS71" i="99"/>
  <c r="AS83" i="99"/>
  <c r="AS74" i="99"/>
  <c r="AS66" i="99"/>
  <c r="AS78" i="99"/>
  <c r="AS81" i="99"/>
  <c r="AS50" i="99"/>
  <c r="AS62" i="99"/>
  <c r="AS72" i="99"/>
  <c r="AS63" i="99"/>
  <c r="AS57" i="99"/>
  <c r="AS67" i="99"/>
  <c r="AS52" i="99"/>
  <c r="AS42" i="99"/>
  <c r="AS61" i="99"/>
  <c r="AS53" i="99"/>
  <c r="AS49" i="99"/>
  <c r="AS56" i="99"/>
  <c r="AS40" i="99"/>
  <c r="AS64" i="99"/>
  <c r="AS44" i="99"/>
  <c r="AS45" i="99"/>
  <c r="AS30" i="99"/>
  <c r="AS48" i="99"/>
  <c r="AS31" i="99"/>
  <c r="AS51" i="99"/>
  <c r="AS39" i="99"/>
  <c r="AS35" i="99"/>
  <c r="AS26" i="99"/>
  <c r="AS34" i="99"/>
  <c r="AS27" i="99"/>
  <c r="AS23" i="99"/>
  <c r="AS15" i="99"/>
  <c r="AS60" i="99"/>
  <c r="AS38" i="99"/>
  <c r="AS18" i="99"/>
  <c r="AS8" i="99"/>
  <c r="AS95" i="99" s="1"/>
  <c r="AS75" i="99"/>
  <c r="AS36" i="99"/>
  <c r="AS29" i="99"/>
  <c r="AS13" i="99"/>
  <c r="AS16" i="99"/>
  <c r="AS37" i="99"/>
  <c r="AS41" i="99"/>
  <c r="AS14" i="99"/>
  <c r="AT7" i="99"/>
  <c r="AS19" i="99"/>
  <c r="AS17" i="99"/>
  <c r="AS11" i="99"/>
  <c r="AS12" i="99"/>
  <c r="AR90" i="99"/>
  <c r="AR28" i="99"/>
  <c r="AR38" i="99"/>
  <c r="AR46" i="99"/>
  <c r="AR68" i="99"/>
  <c r="AR66" i="99"/>
  <c r="AR64" i="99"/>
  <c r="AR84" i="99"/>
  <c r="AR51" i="97"/>
  <c r="AR28" i="97"/>
  <c r="AR15" i="97"/>
  <c r="AR25" i="97"/>
  <c r="AR44" i="97"/>
  <c r="AR38" i="97"/>
  <c r="AR59" i="97"/>
  <c r="AR61" i="97"/>
  <c r="AR73" i="97"/>
  <c r="AR91" i="97"/>
  <c r="AR49" i="97"/>
  <c r="AR47" i="97"/>
  <c r="AR45" i="97"/>
  <c r="AR58" i="97"/>
  <c r="AR82" i="97"/>
  <c r="AR88" i="97"/>
  <c r="AR22" i="97"/>
  <c r="AR35" i="97"/>
  <c r="AR23" i="97"/>
  <c r="AR18" i="97"/>
  <c r="AR62" i="97"/>
  <c r="AR66" i="97"/>
  <c r="AR55" i="97"/>
  <c r="AR80" i="97"/>
  <c r="AR79" i="97"/>
  <c r="AR96" i="97"/>
  <c r="AR27" i="97"/>
  <c r="AR37" i="97"/>
  <c r="AR24" i="97"/>
  <c r="AR33" i="97"/>
  <c r="AR36" i="97"/>
  <c r="AR78" i="97"/>
  <c r="AR83" i="97"/>
  <c r="AR97" i="97"/>
  <c r="AR89" i="97"/>
  <c r="AR93" i="97"/>
  <c r="AR13" i="97"/>
  <c r="AR53" i="97"/>
  <c r="AR50" i="97"/>
  <c r="AR34" i="97"/>
  <c r="AR57" i="97"/>
  <c r="AR46" i="97"/>
  <c r="AR81" i="97"/>
  <c r="AR68" i="97"/>
  <c r="AR67" i="97"/>
  <c r="AR90" i="97"/>
  <c r="AR20" i="97"/>
  <c r="AR26" i="97"/>
  <c r="AR52" i="97"/>
  <c r="AR41" i="97"/>
  <c r="AR60" i="97"/>
  <c r="AR70" i="97"/>
  <c r="AR56" i="97"/>
  <c r="AR77" i="97"/>
  <c r="AR75" i="97"/>
  <c r="AR86" i="97"/>
  <c r="AS86" i="97"/>
  <c r="AS93" i="97"/>
  <c r="AS96" i="97"/>
  <c r="AS88" i="97"/>
  <c r="AS91" i="97"/>
  <c r="AS94" i="97"/>
  <c r="AS89" i="97"/>
  <c r="AS70" i="97"/>
  <c r="AS82" i="97"/>
  <c r="AS92" i="97"/>
  <c r="AS85" i="97"/>
  <c r="AS77" i="97"/>
  <c r="AS80" i="97"/>
  <c r="AS67" i="97"/>
  <c r="AS61" i="97"/>
  <c r="AS72" i="97"/>
  <c r="AS63" i="97"/>
  <c r="AS56" i="97"/>
  <c r="AS59" i="97"/>
  <c r="AS48" i="97"/>
  <c r="AS69" i="97"/>
  <c r="AS66" i="97"/>
  <c r="AS64" i="97"/>
  <c r="AS51" i="97"/>
  <c r="AS74" i="97"/>
  <c r="AS53" i="97"/>
  <c r="AS49" i="97"/>
  <c r="AS75" i="97"/>
  <c r="AS52" i="97"/>
  <c r="AS33" i="97"/>
  <c r="AS44" i="97"/>
  <c r="AS39" i="97"/>
  <c r="AS83" i="97"/>
  <c r="AS41" i="97"/>
  <c r="AS78" i="97"/>
  <c r="AS57" i="97"/>
  <c r="AS55" i="97"/>
  <c r="AS22" i="97"/>
  <c r="AS13" i="97"/>
  <c r="AS25" i="97"/>
  <c r="AS46" i="97"/>
  <c r="AS38" i="97"/>
  <c r="AS50" i="97"/>
  <c r="AS47" i="97"/>
  <c r="AS35" i="97"/>
  <c r="AS30" i="97"/>
  <c r="AS27" i="97"/>
  <c r="AS19" i="97"/>
  <c r="AS11" i="97"/>
  <c r="AS36" i="97"/>
  <c r="AS31" i="97"/>
  <c r="AS34" i="97"/>
  <c r="AS26" i="97"/>
  <c r="AS42" i="97"/>
  <c r="AS20" i="97"/>
  <c r="AS40" i="97"/>
  <c r="AS28" i="97"/>
  <c r="AS14" i="97"/>
  <c r="AS8" i="97"/>
  <c r="AS95" i="97" s="1"/>
  <c r="AS37" i="97"/>
  <c r="AS15" i="97"/>
  <c r="AS17" i="97"/>
  <c r="AS18" i="97"/>
  <c r="AS16" i="97"/>
  <c r="AS23" i="97"/>
  <c r="AT7" i="97"/>
  <c r="AS73" i="97"/>
  <c r="AS24" i="97"/>
  <c r="AR11" i="97"/>
  <c r="AR31" i="97"/>
  <c r="AR16" i="97"/>
  <c r="AR39" i="97"/>
  <c r="AR29" i="97"/>
  <c r="AR48" i="97"/>
  <c r="AR72" i="97"/>
  <c r="AR64" i="97"/>
  <c r="AR94" i="97"/>
  <c r="AU95" i="95"/>
  <c r="AU53" i="95"/>
  <c r="AU93" i="95"/>
  <c r="AU52" i="95"/>
  <c r="AU11" i="95"/>
  <c r="AU20" i="95"/>
  <c r="AU77" i="95"/>
  <c r="AU39" i="95"/>
  <c r="AU28" i="95"/>
  <c r="AU74" i="95"/>
  <c r="AU46" i="95"/>
  <c r="AU22" i="95"/>
  <c r="AU33" i="95"/>
  <c r="AU61" i="95"/>
  <c r="AU71" i="95"/>
  <c r="AU90" i="95"/>
  <c r="AU29" i="95"/>
  <c r="AU45" i="95"/>
  <c r="AU72" i="95"/>
  <c r="AU50" i="95"/>
  <c r="AU48" i="95"/>
  <c r="AU16" i="95"/>
  <c r="AU69" i="95"/>
  <c r="AU57" i="95"/>
  <c r="AU86" i="95"/>
  <c r="AU23" i="95"/>
  <c r="AU19" i="95"/>
  <c r="AU84" i="95"/>
  <c r="AU79" i="95"/>
  <c r="AU25" i="95"/>
  <c r="AU15" i="95"/>
  <c r="AU12" i="95"/>
  <c r="AU26" i="95"/>
  <c r="AU17" i="95"/>
  <c r="AU34" i="95"/>
  <c r="AU64" i="95"/>
  <c r="AU49" i="95"/>
  <c r="AU51" i="95"/>
  <c r="AU44" i="95"/>
  <c r="AU55" i="95"/>
  <c r="AU85" i="95"/>
  <c r="AU94" i="95"/>
  <c r="AU89" i="95"/>
  <c r="AU13" i="95"/>
  <c r="AU30" i="95"/>
  <c r="AU41" i="95"/>
  <c r="AU59" i="95"/>
  <c r="AU40" i="95"/>
  <c r="AU38" i="95"/>
  <c r="AU58" i="95"/>
  <c r="AU56" i="95"/>
  <c r="AU83" i="95"/>
  <c r="AU68" i="95"/>
  <c r="AU67" i="95"/>
  <c r="AU88" i="95"/>
  <c r="AU91" i="95"/>
  <c r="AU18" i="95"/>
  <c r="AU42" i="95"/>
  <c r="AU35" i="95"/>
  <c r="AU63" i="95"/>
  <c r="AU14" i="95"/>
  <c r="AU60" i="95"/>
  <c r="AU36" i="95"/>
  <c r="AU80" i="95"/>
  <c r="AU62" i="95"/>
  <c r="AU66" i="95"/>
  <c r="AU70" i="95"/>
  <c r="AU73" i="95"/>
  <c r="AU92" i="95"/>
  <c r="AU97" i="95"/>
  <c r="AU24" i="95"/>
  <c r="AU31" i="95"/>
  <c r="AU27" i="95"/>
  <c r="AU47" i="95"/>
  <c r="AU78" i="95"/>
  <c r="AU37" i="95"/>
  <c r="AU75" i="95"/>
  <c r="AU96" i="95"/>
  <c r="AU81" i="95"/>
  <c r="AS42" i="59" l="1"/>
  <c r="AS20" i="59"/>
  <c r="AS26" i="59"/>
  <c r="AS35" i="59"/>
  <c r="AS47" i="59"/>
  <c r="AS68" i="59"/>
  <c r="AS12" i="59"/>
  <c r="AS27" i="59"/>
  <c r="AS16" i="59"/>
  <c r="AS30" i="59"/>
  <c r="AS63" i="59"/>
  <c r="AS85" i="59"/>
  <c r="AS17" i="59"/>
  <c r="AS18" i="59"/>
  <c r="AS67" i="59"/>
  <c r="AS64" i="59"/>
  <c r="AS24" i="59"/>
  <c r="AS60" i="59"/>
  <c r="AS25" i="59"/>
  <c r="AS39" i="59"/>
  <c r="AS49" i="59"/>
  <c r="AS80" i="59"/>
  <c r="AS38" i="59"/>
  <c r="AS13" i="59"/>
  <c r="AS31" i="59"/>
  <c r="AS41" i="59"/>
  <c r="AS69" i="59"/>
  <c r="AS96" i="59"/>
  <c r="AS53" i="59"/>
  <c r="AS15" i="59"/>
  <c r="AS40" i="59"/>
  <c r="AS55" i="59"/>
  <c r="AS84" i="59"/>
  <c r="AS93" i="59"/>
  <c r="AT66" i="59"/>
  <c r="AU7" i="59"/>
  <c r="AT8" i="59"/>
  <c r="AT89" i="59" s="1"/>
  <c r="AS62" i="59"/>
  <c r="AS58" i="59"/>
  <c r="AS71" i="59"/>
  <c r="AS92" i="59"/>
  <c r="AS90" i="59"/>
  <c r="AS14" i="59"/>
  <c r="AS19" i="59"/>
  <c r="AS45" i="59"/>
  <c r="AS36" i="59"/>
  <c r="AS57" i="59"/>
  <c r="AS73" i="59"/>
  <c r="AS72" i="59"/>
  <c r="AS77" i="59"/>
  <c r="AS89" i="59"/>
  <c r="AS86" i="59"/>
  <c r="AS11" i="59"/>
  <c r="AS37" i="59"/>
  <c r="AS22" i="59"/>
  <c r="AS48" i="59"/>
  <c r="AS59" i="59"/>
  <c r="AS46" i="59"/>
  <c r="AS75" i="59"/>
  <c r="AS81" i="59"/>
  <c r="AS97" i="59"/>
  <c r="AS95" i="59"/>
  <c r="AS33" i="59"/>
  <c r="AS78" i="59"/>
  <c r="AS56" i="59"/>
  <c r="AS83" i="59"/>
  <c r="AS66" i="59"/>
  <c r="AS94" i="59"/>
  <c r="AS44" i="59"/>
  <c r="AS70" i="59"/>
  <c r="AS50" i="59"/>
  <c r="AS79" i="59"/>
  <c r="AS91" i="59"/>
  <c r="AS29" i="59"/>
  <c r="AS23" i="59"/>
  <c r="AS34" i="59"/>
  <c r="AS28" i="59"/>
  <c r="AS52" i="59"/>
  <c r="AS51" i="59"/>
  <c r="AS74" i="59"/>
  <c r="AS61" i="59"/>
  <c r="AS82" i="59"/>
  <c r="AS33" i="113"/>
  <c r="AS23" i="113"/>
  <c r="AS24" i="113"/>
  <c r="AS49" i="113"/>
  <c r="AS42" i="113"/>
  <c r="AS53" i="113"/>
  <c r="AS80" i="113"/>
  <c r="AS92" i="113"/>
  <c r="AS94" i="113"/>
  <c r="AS45" i="113"/>
  <c r="AS19" i="113"/>
  <c r="AS28" i="113"/>
  <c r="AS38" i="113"/>
  <c r="AS46" i="113"/>
  <c r="AS58" i="113"/>
  <c r="AS75" i="113"/>
  <c r="AS66" i="113"/>
  <c r="AS81" i="113"/>
  <c r="AS88" i="113"/>
  <c r="AS12" i="113"/>
  <c r="AS29" i="113"/>
  <c r="AS36" i="113"/>
  <c r="AS47" i="113"/>
  <c r="AS60" i="113"/>
  <c r="AS71" i="113"/>
  <c r="AS55" i="113"/>
  <c r="AS73" i="113"/>
  <c r="AS89" i="113"/>
  <c r="AS96" i="113"/>
  <c r="AS16" i="113"/>
  <c r="AS37" i="113"/>
  <c r="AS41" i="113"/>
  <c r="AS26" i="113"/>
  <c r="AS67" i="113"/>
  <c r="AS79" i="113"/>
  <c r="AS61" i="113"/>
  <c r="AS85" i="113"/>
  <c r="AS78" i="113"/>
  <c r="AS93" i="113"/>
  <c r="AT22" i="113"/>
  <c r="AU7" i="113"/>
  <c r="AT8" i="113"/>
  <c r="AT93" i="113" s="1"/>
  <c r="AS17" i="113"/>
  <c r="AS63" i="113"/>
  <c r="AS35" i="113"/>
  <c r="AS68" i="113"/>
  <c r="AS39" i="113"/>
  <c r="AS69" i="113"/>
  <c r="AS64" i="113"/>
  <c r="AS74" i="113"/>
  <c r="AS90" i="113"/>
  <c r="AS15" i="113"/>
  <c r="AS11" i="113"/>
  <c r="AS18" i="113"/>
  <c r="AS40" i="113"/>
  <c r="AS44" i="113"/>
  <c r="AS25" i="113"/>
  <c r="AS48" i="113"/>
  <c r="AS72" i="113"/>
  <c r="AS70" i="113"/>
  <c r="AS83" i="113"/>
  <c r="AS86" i="113"/>
  <c r="AS31" i="113"/>
  <c r="AS22" i="113"/>
  <c r="AS14" i="113"/>
  <c r="AS50" i="113"/>
  <c r="AS52" i="113"/>
  <c r="AS34" i="113"/>
  <c r="AS59" i="113"/>
  <c r="AS77" i="113"/>
  <c r="AS82" i="113"/>
  <c r="AS97" i="113"/>
  <c r="AT45" i="111"/>
  <c r="AT41" i="111"/>
  <c r="AT48" i="111"/>
  <c r="AT36" i="111"/>
  <c r="AT50" i="111"/>
  <c r="AT85" i="111"/>
  <c r="AT72" i="111"/>
  <c r="AT37" i="111"/>
  <c r="AT83" i="111"/>
  <c r="AT90" i="111"/>
  <c r="AT25" i="111"/>
  <c r="AT34" i="111"/>
  <c r="AT38" i="111"/>
  <c r="AT12" i="111"/>
  <c r="AT40" i="111"/>
  <c r="AT57" i="111"/>
  <c r="AT92" i="111"/>
  <c r="AT81" i="111"/>
  <c r="AT46" i="111"/>
  <c r="AT80" i="111"/>
  <c r="AT89" i="111"/>
  <c r="AT23" i="111"/>
  <c r="AT19" i="111"/>
  <c r="AT71" i="111"/>
  <c r="AT33" i="111"/>
  <c r="AT29" i="111"/>
  <c r="AT78" i="111"/>
  <c r="AT56" i="111"/>
  <c r="AT60" i="111"/>
  <c r="AT63" i="111"/>
  <c r="AT97" i="111"/>
  <c r="AT18" i="111"/>
  <c r="AT11" i="111"/>
  <c r="AT82" i="111"/>
  <c r="AT24" i="111"/>
  <c r="AT51" i="111"/>
  <c r="AT91" i="111"/>
  <c r="AT15" i="111"/>
  <c r="AT47" i="111"/>
  <c r="AT61" i="111"/>
  <c r="AT58" i="111"/>
  <c r="AT69" i="111"/>
  <c r="AT67" i="111"/>
  <c r="AT94" i="111"/>
  <c r="AT39" i="111"/>
  <c r="AT55" i="111"/>
  <c r="AT79" i="111"/>
  <c r="AT14" i="111"/>
  <c r="AT42" i="111"/>
  <c r="AT22" i="111"/>
  <c r="AT26" i="111"/>
  <c r="AT62" i="111"/>
  <c r="AT59" i="111"/>
  <c r="AT75" i="111"/>
  <c r="AT70" i="111"/>
  <c r="AT88" i="111"/>
  <c r="AT16" i="111"/>
  <c r="AT20" i="111"/>
  <c r="AT52" i="111"/>
  <c r="AT13" i="111"/>
  <c r="AT30" i="111"/>
  <c r="AT44" i="111"/>
  <c r="AT17" i="111"/>
  <c r="AT53" i="111"/>
  <c r="AT77" i="111"/>
  <c r="AT64" i="111"/>
  <c r="AT86" i="111"/>
  <c r="AT73" i="111"/>
  <c r="AT96" i="111"/>
  <c r="AU96" i="111"/>
  <c r="AU91" i="111"/>
  <c r="AU97" i="111"/>
  <c r="AU89" i="111"/>
  <c r="AU83" i="111"/>
  <c r="AU78" i="111"/>
  <c r="AU84" i="111"/>
  <c r="AU80" i="111"/>
  <c r="AU58" i="111"/>
  <c r="AU40" i="111"/>
  <c r="AU86" i="111"/>
  <c r="AU63" i="111"/>
  <c r="AU60" i="111"/>
  <c r="AU81" i="111"/>
  <c r="AU64" i="111"/>
  <c r="AU72" i="111"/>
  <c r="AU59" i="111"/>
  <c r="AU56" i="111"/>
  <c r="AU52" i="111"/>
  <c r="AU79" i="111"/>
  <c r="AU67" i="111"/>
  <c r="AU53" i="111"/>
  <c r="AU46" i="111"/>
  <c r="AU42" i="111"/>
  <c r="AU85" i="111"/>
  <c r="AU62" i="111"/>
  <c r="AU44" i="111"/>
  <c r="AU36" i="111"/>
  <c r="AU51" i="111"/>
  <c r="AU47" i="111"/>
  <c r="AU48" i="111"/>
  <c r="AU55" i="111"/>
  <c r="AU29" i="111"/>
  <c r="AU20" i="111"/>
  <c r="AU82" i="111"/>
  <c r="AU50" i="111"/>
  <c r="AU45" i="111"/>
  <c r="AU38" i="111"/>
  <c r="AU35" i="111"/>
  <c r="AU33" i="111"/>
  <c r="AU24" i="111"/>
  <c r="AU30" i="111"/>
  <c r="AU26" i="111"/>
  <c r="AU12" i="111"/>
  <c r="AU18" i="111"/>
  <c r="AU8" i="111"/>
  <c r="AU92" i="111" s="1"/>
  <c r="AU74" i="111"/>
  <c r="AU31" i="111"/>
  <c r="AU27" i="111"/>
  <c r="AU22" i="111"/>
  <c r="AU15" i="111"/>
  <c r="AU23" i="111"/>
  <c r="AU41" i="111"/>
  <c r="AU16" i="111"/>
  <c r="AV7" i="111"/>
  <c r="AU11" i="111"/>
  <c r="AU34" i="111"/>
  <c r="AU13" i="111"/>
  <c r="AU19" i="111"/>
  <c r="AU17" i="111"/>
  <c r="AU28" i="111"/>
  <c r="AU25" i="111"/>
  <c r="AU14" i="111"/>
  <c r="AT49" i="111"/>
  <c r="AT28" i="111"/>
  <c r="AT31" i="111"/>
  <c r="AT27" i="111"/>
  <c r="AT95" i="111"/>
  <c r="AT84" i="111"/>
  <c r="AT66" i="111"/>
  <c r="AT68" i="111"/>
  <c r="AT74" i="111"/>
  <c r="AS12" i="109"/>
  <c r="AS24" i="109"/>
  <c r="AS46" i="109"/>
  <c r="AS57" i="109"/>
  <c r="AS31" i="109"/>
  <c r="AS47" i="109"/>
  <c r="AS68" i="109"/>
  <c r="AS74" i="109"/>
  <c r="AS92" i="109"/>
  <c r="AT88" i="109"/>
  <c r="AT91" i="109"/>
  <c r="AT94" i="109"/>
  <c r="AT95" i="109"/>
  <c r="AT82" i="109"/>
  <c r="AT92" i="109"/>
  <c r="AT79" i="109"/>
  <c r="AT75" i="109"/>
  <c r="AT55" i="109"/>
  <c r="AT66" i="109"/>
  <c r="AT58" i="109"/>
  <c r="AT68" i="109"/>
  <c r="AT71" i="109"/>
  <c r="AT59" i="109"/>
  <c r="AT64" i="109"/>
  <c r="AT46" i="109"/>
  <c r="AT34" i="109"/>
  <c r="AT25" i="109"/>
  <c r="AT16" i="109"/>
  <c r="AT83" i="109"/>
  <c r="AT70" i="109"/>
  <c r="AT57" i="109"/>
  <c r="AT51" i="109"/>
  <c r="AT48" i="109"/>
  <c r="AT44" i="109"/>
  <c r="AT17" i="109"/>
  <c r="AT38" i="109"/>
  <c r="AT85" i="109"/>
  <c r="AT78" i="109"/>
  <c r="AT73" i="109"/>
  <c r="AT30" i="109"/>
  <c r="AT62" i="109"/>
  <c r="AT53" i="109"/>
  <c r="AT31" i="109"/>
  <c r="AT12" i="109"/>
  <c r="AT23" i="109"/>
  <c r="AT41" i="109"/>
  <c r="AT40" i="109"/>
  <c r="AT36" i="109"/>
  <c r="AT13" i="109"/>
  <c r="AT8" i="109"/>
  <c r="AT97" i="109" s="1"/>
  <c r="AU7" i="109"/>
  <c r="AT27" i="109"/>
  <c r="AT18" i="109"/>
  <c r="AT39" i="109"/>
  <c r="AT20" i="109"/>
  <c r="AT33" i="109"/>
  <c r="AS20" i="109"/>
  <c r="AS56" i="109"/>
  <c r="AS38" i="109"/>
  <c r="AS40" i="109"/>
  <c r="AS50" i="109"/>
  <c r="AS53" i="109"/>
  <c r="AS83" i="109"/>
  <c r="AS63" i="109"/>
  <c r="AS91" i="109"/>
  <c r="AS94" i="109"/>
  <c r="AS11" i="109"/>
  <c r="AS35" i="109"/>
  <c r="AS66" i="109"/>
  <c r="AS58" i="109"/>
  <c r="AS59" i="109"/>
  <c r="AS89" i="109"/>
  <c r="AS84" i="109"/>
  <c r="AS60" i="109"/>
  <c r="AS72" i="109"/>
  <c r="AS88" i="109"/>
  <c r="AS48" i="109"/>
  <c r="AS28" i="109"/>
  <c r="AS62" i="109"/>
  <c r="AS22" i="109"/>
  <c r="AS61" i="109"/>
  <c r="AS67" i="109"/>
  <c r="AS78" i="109"/>
  <c r="AS96" i="109"/>
  <c r="AS27" i="109"/>
  <c r="AS18" i="109"/>
  <c r="AS69" i="109"/>
  <c r="AS33" i="109"/>
  <c r="AS16" i="109"/>
  <c r="AS30" i="109"/>
  <c r="AS80" i="109"/>
  <c r="AS70" i="109"/>
  <c r="AS82" i="109"/>
  <c r="AS93" i="109"/>
  <c r="AS15" i="109"/>
  <c r="AS17" i="109"/>
  <c r="AS29" i="109"/>
  <c r="AS52" i="109"/>
  <c r="AS25" i="109"/>
  <c r="AS39" i="109"/>
  <c r="AS77" i="109"/>
  <c r="AS73" i="109"/>
  <c r="AS85" i="109"/>
  <c r="AS90" i="109"/>
  <c r="AS41" i="109"/>
  <c r="AS36" i="109"/>
  <c r="AS26" i="109"/>
  <c r="AS44" i="109"/>
  <c r="AS14" i="109"/>
  <c r="AS34" i="109"/>
  <c r="AS51" i="109"/>
  <c r="AS64" i="109"/>
  <c r="AS75" i="109"/>
  <c r="AS81" i="109"/>
  <c r="AS86" i="109"/>
  <c r="AS37" i="109"/>
  <c r="AS13" i="109"/>
  <c r="AS45" i="109"/>
  <c r="AS49" i="109"/>
  <c r="AS23" i="109"/>
  <c r="AS42" i="109"/>
  <c r="AS55" i="109"/>
  <c r="AS71" i="109"/>
  <c r="AS79" i="109"/>
  <c r="AS97" i="109"/>
  <c r="AT24" i="107"/>
  <c r="AT17" i="107"/>
  <c r="AT30" i="107"/>
  <c r="AT25" i="107"/>
  <c r="AT86" i="107"/>
  <c r="AT52" i="107"/>
  <c r="AT44" i="107"/>
  <c r="AT73" i="107"/>
  <c r="AT61" i="107"/>
  <c r="AT94" i="107"/>
  <c r="AT28" i="107"/>
  <c r="AT60" i="107"/>
  <c r="AT33" i="107"/>
  <c r="AT67" i="107"/>
  <c r="AT37" i="107"/>
  <c r="AT62" i="107"/>
  <c r="AT59" i="107"/>
  <c r="AT79" i="107"/>
  <c r="AT70" i="107"/>
  <c r="AT91" i="107"/>
  <c r="AT48" i="107"/>
  <c r="AT11" i="107"/>
  <c r="AT36" i="107"/>
  <c r="AT22" i="107"/>
  <c r="AT41" i="107"/>
  <c r="AT66" i="107"/>
  <c r="AT31" i="107"/>
  <c r="AT69" i="107"/>
  <c r="AT82" i="107"/>
  <c r="AT88" i="107"/>
  <c r="AT26" i="107"/>
  <c r="AT23" i="107"/>
  <c r="AT39" i="107"/>
  <c r="AT51" i="107"/>
  <c r="AT77" i="107"/>
  <c r="AT40" i="107"/>
  <c r="AT78" i="107"/>
  <c r="AT81" i="107"/>
  <c r="AT96" i="107"/>
  <c r="AT18" i="107"/>
  <c r="AT46" i="107"/>
  <c r="AT38" i="107"/>
  <c r="AT34" i="107"/>
  <c r="AT58" i="107"/>
  <c r="AT64" i="107"/>
  <c r="AT47" i="107"/>
  <c r="AT49" i="107"/>
  <c r="AT85" i="107"/>
  <c r="AT80" i="107"/>
  <c r="AT93" i="107"/>
  <c r="AT15" i="107"/>
  <c r="AT27" i="107"/>
  <c r="AT84" i="107"/>
  <c r="AT19" i="107"/>
  <c r="AT42" i="107"/>
  <c r="AT45" i="107"/>
  <c r="AT56" i="107"/>
  <c r="AT74" i="107"/>
  <c r="AT75" i="107"/>
  <c r="AT92" i="107"/>
  <c r="AT90" i="107"/>
  <c r="AU88" i="107"/>
  <c r="AU91" i="107"/>
  <c r="AU89" i="107"/>
  <c r="AU90" i="107"/>
  <c r="AU83" i="107"/>
  <c r="AU79" i="107"/>
  <c r="AU77" i="107"/>
  <c r="AU85" i="107"/>
  <c r="AU55" i="107"/>
  <c r="AU60" i="107"/>
  <c r="AU58" i="107"/>
  <c r="AU44" i="107"/>
  <c r="AU47" i="107"/>
  <c r="AU38" i="107"/>
  <c r="AU68" i="107"/>
  <c r="AU45" i="107"/>
  <c r="AU40" i="107"/>
  <c r="AU37" i="107"/>
  <c r="AU66" i="107"/>
  <c r="AU74" i="107"/>
  <c r="AU16" i="107"/>
  <c r="AU28" i="107"/>
  <c r="AU26" i="107"/>
  <c r="AU17" i="107"/>
  <c r="AV7" i="107"/>
  <c r="AU27" i="107"/>
  <c r="AU20" i="107"/>
  <c r="AU48" i="107"/>
  <c r="AU49" i="107"/>
  <c r="AU61" i="107"/>
  <c r="AU22" i="107"/>
  <c r="AU8" i="107"/>
  <c r="AU94" i="107" s="1"/>
  <c r="AT55" i="107"/>
  <c r="AT83" i="107"/>
  <c r="AT39" i="105"/>
  <c r="AT61" i="105"/>
  <c r="AT58" i="105"/>
  <c r="AT81" i="105"/>
  <c r="AT89" i="105"/>
  <c r="AT27" i="105"/>
  <c r="AT36" i="105"/>
  <c r="AT40" i="105"/>
  <c r="AT33" i="105"/>
  <c r="AT48" i="105"/>
  <c r="AT69" i="105"/>
  <c r="AT67" i="105"/>
  <c r="AT92" i="105"/>
  <c r="AT97" i="105"/>
  <c r="AU80" i="105"/>
  <c r="AU57" i="105"/>
  <c r="AU34" i="105"/>
  <c r="AV7" i="105"/>
  <c r="AU8" i="105"/>
  <c r="AU88" i="105" s="1"/>
  <c r="AT34" i="105"/>
  <c r="AT35" i="105"/>
  <c r="AT45" i="105"/>
  <c r="AT59" i="105"/>
  <c r="AT73" i="105"/>
  <c r="AT78" i="105"/>
  <c r="AT94" i="105"/>
  <c r="AT14" i="105"/>
  <c r="AT47" i="105"/>
  <c r="AT52" i="105"/>
  <c r="AT82" i="105"/>
  <c r="AT68" i="105"/>
  <c r="AT79" i="105"/>
  <c r="AT83" i="105"/>
  <c r="AU92" i="103"/>
  <c r="AU82" i="103"/>
  <c r="AU64" i="103"/>
  <c r="AU83" i="103"/>
  <c r="AU62" i="103"/>
  <c r="AU40" i="103"/>
  <c r="AU20" i="103"/>
  <c r="AU28" i="103"/>
  <c r="AU8" i="103"/>
  <c r="AU93" i="103" s="1"/>
  <c r="AU11" i="103"/>
  <c r="AU53" i="103"/>
  <c r="AV7" i="103"/>
  <c r="AU24" i="103"/>
  <c r="AU15" i="103"/>
  <c r="AT27" i="103"/>
  <c r="AT19" i="103"/>
  <c r="AT29" i="103"/>
  <c r="AT24" i="103"/>
  <c r="AT55" i="103"/>
  <c r="AT62" i="103"/>
  <c r="AT57" i="103"/>
  <c r="AT77" i="103"/>
  <c r="AT85" i="103"/>
  <c r="AT92" i="103"/>
  <c r="AT90" i="103"/>
  <c r="AT36" i="103"/>
  <c r="AT44" i="103"/>
  <c r="AT46" i="103"/>
  <c r="AT64" i="103"/>
  <c r="AT78" i="103"/>
  <c r="AT82" i="103"/>
  <c r="AT89" i="103"/>
  <c r="AT23" i="103"/>
  <c r="AT34" i="103"/>
  <c r="AT28" i="103"/>
  <c r="AT41" i="103"/>
  <c r="AT61" i="103"/>
  <c r="AT42" i="103"/>
  <c r="AT63" i="103"/>
  <c r="AT67" i="103"/>
  <c r="AT79" i="103"/>
  <c r="AS55" i="101"/>
  <c r="AS62" i="101"/>
  <c r="AS77" i="101"/>
  <c r="AS94" i="101"/>
  <c r="AS88" i="101"/>
  <c r="AS84" i="101"/>
  <c r="AS96" i="101"/>
  <c r="AS61" i="101"/>
  <c r="AS75" i="101"/>
  <c r="AS47" i="101"/>
  <c r="AS51" i="101"/>
  <c r="AS57" i="101"/>
  <c r="AS78" i="101"/>
  <c r="AS81" i="101"/>
  <c r="AS93" i="101"/>
  <c r="AS17" i="101"/>
  <c r="AS22" i="101"/>
  <c r="AS73" i="101"/>
  <c r="AS45" i="101"/>
  <c r="AS58" i="101"/>
  <c r="AS63" i="101"/>
  <c r="AS66" i="101"/>
  <c r="AS82" i="101"/>
  <c r="AS89" i="101"/>
  <c r="AS90" i="101"/>
  <c r="AS12" i="101"/>
  <c r="AS20" i="101"/>
  <c r="AS15" i="101"/>
  <c r="AS36" i="101"/>
  <c r="AS50" i="101"/>
  <c r="AS49" i="101"/>
  <c r="AS39" i="101"/>
  <c r="AS74" i="101"/>
  <c r="AS80" i="101"/>
  <c r="AS83" i="101"/>
  <c r="AS86" i="101"/>
  <c r="AT93" i="101"/>
  <c r="AT96" i="101"/>
  <c r="AT88" i="101"/>
  <c r="AT94" i="101"/>
  <c r="AT97" i="101"/>
  <c r="AT89" i="101"/>
  <c r="AT86" i="101"/>
  <c r="AT78" i="101"/>
  <c r="AT81" i="101"/>
  <c r="AT84" i="101"/>
  <c r="AT75" i="101"/>
  <c r="AT77" i="101"/>
  <c r="AT80" i="101"/>
  <c r="AT82" i="101"/>
  <c r="AT85" i="101"/>
  <c r="AT62" i="101"/>
  <c r="AT53" i="101"/>
  <c r="AT79" i="101"/>
  <c r="AT66" i="101"/>
  <c r="AT83" i="101"/>
  <c r="AT69" i="101"/>
  <c r="AT63" i="101"/>
  <c r="AT67" i="101"/>
  <c r="AT51" i="101"/>
  <c r="AT46" i="101"/>
  <c r="AT64" i="101"/>
  <c r="AT56" i="101"/>
  <c r="AT40" i="101"/>
  <c r="AT52" i="101"/>
  <c r="AT50" i="101"/>
  <c r="AT44" i="101"/>
  <c r="AT33" i="101"/>
  <c r="AT48" i="101"/>
  <c r="AT27" i="101"/>
  <c r="AT45" i="101"/>
  <c r="AT35" i="101"/>
  <c r="AT57" i="101"/>
  <c r="AT68" i="101"/>
  <c r="AT36" i="101"/>
  <c r="AT73" i="101"/>
  <c r="AT61" i="101"/>
  <c r="AT55" i="101"/>
  <c r="AT59" i="101"/>
  <c r="AT38" i="101"/>
  <c r="AT28" i="101"/>
  <c r="AT26" i="101"/>
  <c r="AT19" i="101"/>
  <c r="AT58" i="101"/>
  <c r="AT23" i="101"/>
  <c r="AT47" i="101"/>
  <c r="AT70" i="101"/>
  <c r="AT25" i="101"/>
  <c r="AT13" i="101"/>
  <c r="AT16" i="101"/>
  <c r="AT18" i="101"/>
  <c r="AT14" i="101"/>
  <c r="AU7" i="101"/>
  <c r="AT17" i="101"/>
  <c r="AT34" i="101"/>
  <c r="AT15" i="101"/>
  <c r="AT8" i="101"/>
  <c r="AT91" i="101" s="1"/>
  <c r="AT12" i="101"/>
  <c r="AS92" i="101"/>
  <c r="AT97" i="99"/>
  <c r="AT77" i="99"/>
  <c r="AT69" i="99"/>
  <c r="AT66" i="99"/>
  <c r="AT60" i="99"/>
  <c r="AT37" i="99"/>
  <c r="AT56" i="99"/>
  <c r="AT50" i="99"/>
  <c r="AT48" i="99"/>
  <c r="AT36" i="99"/>
  <c r="AT33" i="99"/>
  <c r="AT41" i="99"/>
  <c r="AT18" i="99"/>
  <c r="AT8" i="99"/>
  <c r="AT90" i="99" s="1"/>
  <c r="AT16" i="99"/>
  <c r="AT19" i="99"/>
  <c r="AT30" i="99"/>
  <c r="AT42" i="99"/>
  <c r="AT23" i="99"/>
  <c r="AT15" i="99"/>
  <c r="AU7" i="99"/>
  <c r="AT22" i="99"/>
  <c r="AT12" i="99"/>
  <c r="AS33" i="99"/>
  <c r="AS25" i="99"/>
  <c r="AS47" i="99"/>
  <c r="AS55" i="99"/>
  <c r="AS59" i="99"/>
  <c r="AS80" i="99"/>
  <c r="AS79" i="99"/>
  <c r="AS90" i="99"/>
  <c r="AS20" i="99"/>
  <c r="AS24" i="99"/>
  <c r="AS28" i="99"/>
  <c r="AS58" i="99"/>
  <c r="AS22" i="99"/>
  <c r="AS46" i="99"/>
  <c r="AS84" i="99"/>
  <c r="AS69" i="99"/>
  <c r="AS77" i="99"/>
  <c r="AS97" i="99"/>
  <c r="AT97" i="97"/>
  <c r="AT42" i="97"/>
  <c r="AT36" i="97"/>
  <c r="AT38" i="97"/>
  <c r="AT35" i="97"/>
  <c r="AT39" i="97"/>
  <c r="AU7" i="97"/>
  <c r="AT26" i="97"/>
  <c r="AT40" i="97"/>
  <c r="AT8" i="97"/>
  <c r="AT90" i="97" s="1"/>
  <c r="AT11" i="97"/>
  <c r="AT24" i="97"/>
  <c r="AS60" i="97"/>
  <c r="AS58" i="97"/>
  <c r="AS71" i="97"/>
  <c r="AS79" i="97"/>
  <c r="AS90" i="97"/>
  <c r="AS12" i="97"/>
  <c r="AS45" i="97"/>
  <c r="AS29" i="97"/>
  <c r="AS62" i="97"/>
  <c r="AS84" i="97"/>
  <c r="AS81" i="97"/>
  <c r="AS68" i="97"/>
  <c r="AS97" i="97"/>
  <c r="AV8" i="95"/>
  <c r="AV96" i="95" s="1"/>
  <c r="AW7" i="95"/>
  <c r="AV34" i="95" l="1"/>
  <c r="AT97" i="59"/>
  <c r="AT18" i="59"/>
  <c r="AT17" i="59"/>
  <c r="AT38" i="59"/>
  <c r="AT40" i="59"/>
  <c r="AT27" i="59"/>
  <c r="AT51" i="59"/>
  <c r="AT67" i="59"/>
  <c r="AT72" i="59"/>
  <c r="AT79" i="59"/>
  <c r="AT94" i="59"/>
  <c r="AT95" i="59"/>
  <c r="AT13" i="59"/>
  <c r="AT33" i="59"/>
  <c r="AT41" i="59"/>
  <c r="AT56" i="59"/>
  <c r="AT36" i="59"/>
  <c r="AT71" i="59"/>
  <c r="AT70" i="59"/>
  <c r="AT53" i="59"/>
  <c r="AT82" i="59"/>
  <c r="AT91" i="59"/>
  <c r="AT68" i="59"/>
  <c r="AT57" i="59"/>
  <c r="AT15" i="59"/>
  <c r="AT11" i="59"/>
  <c r="AT19" i="59"/>
  <c r="AT42" i="59"/>
  <c r="AT48" i="59"/>
  <c r="AT84" i="59"/>
  <c r="AT55" i="59"/>
  <c r="AT77" i="59"/>
  <c r="AT85" i="59"/>
  <c r="AT88" i="59"/>
  <c r="AT81" i="59"/>
  <c r="AT28" i="59"/>
  <c r="AT26" i="59"/>
  <c r="AT37" i="59"/>
  <c r="AT45" i="59"/>
  <c r="AT50" i="59"/>
  <c r="AT49" i="59"/>
  <c r="AT58" i="59"/>
  <c r="AT60" i="59"/>
  <c r="AT86" i="59"/>
  <c r="AT96" i="59"/>
  <c r="AT44" i="59"/>
  <c r="AT24" i="59"/>
  <c r="AV7" i="59"/>
  <c r="AU8" i="59"/>
  <c r="AU96" i="59" s="1"/>
  <c r="AT46" i="59"/>
  <c r="AT25" i="59"/>
  <c r="AT34" i="59"/>
  <c r="AT64" i="59"/>
  <c r="AT61" i="59"/>
  <c r="AT73" i="59"/>
  <c r="AT69" i="59"/>
  <c r="AT83" i="59"/>
  <c r="AT93" i="59"/>
  <c r="AT29" i="59"/>
  <c r="AT14" i="59"/>
  <c r="AT12" i="59"/>
  <c r="AT31" i="59"/>
  <c r="AT30" i="59"/>
  <c r="AT47" i="59"/>
  <c r="AT62" i="59"/>
  <c r="AT78" i="59"/>
  <c r="AT75" i="59"/>
  <c r="AT92" i="59"/>
  <c r="AT90" i="59"/>
  <c r="AT20" i="59"/>
  <c r="AT22" i="59"/>
  <c r="AT35" i="59"/>
  <c r="AT16" i="59"/>
  <c r="AT23" i="59"/>
  <c r="AT52" i="59"/>
  <c r="AT39" i="59"/>
  <c r="AT59" i="59"/>
  <c r="AT63" i="59"/>
  <c r="AT80" i="59"/>
  <c r="AT74" i="59"/>
  <c r="AT11" i="113"/>
  <c r="AT45" i="113"/>
  <c r="AT19" i="113"/>
  <c r="AT50" i="113"/>
  <c r="AT47" i="113"/>
  <c r="AT37" i="113"/>
  <c r="AT70" i="113"/>
  <c r="AT64" i="113"/>
  <c r="AT77" i="113"/>
  <c r="AT78" i="113"/>
  <c r="AT90" i="113"/>
  <c r="AT33" i="113"/>
  <c r="AT46" i="113"/>
  <c r="AT62" i="113"/>
  <c r="AT89" i="113"/>
  <c r="AT13" i="113"/>
  <c r="AT41" i="113"/>
  <c r="AT31" i="113"/>
  <c r="AT53" i="113"/>
  <c r="AT52" i="113"/>
  <c r="AT42" i="113"/>
  <c r="AT58" i="113"/>
  <c r="AT95" i="113"/>
  <c r="AT85" i="113"/>
  <c r="AT97" i="113"/>
  <c r="AT12" i="113"/>
  <c r="AT15" i="113"/>
  <c r="AT18" i="113"/>
  <c r="AT20" i="113"/>
  <c r="AT72" i="113"/>
  <c r="AT51" i="113"/>
  <c r="AT66" i="113"/>
  <c r="AT60" i="113"/>
  <c r="AT79" i="113"/>
  <c r="AT94" i="113"/>
  <c r="AT16" i="113"/>
  <c r="AT36" i="113"/>
  <c r="AT27" i="113"/>
  <c r="AT26" i="113"/>
  <c r="AT40" i="113"/>
  <c r="AT55" i="113"/>
  <c r="AT82" i="113"/>
  <c r="AT69" i="113"/>
  <c r="AT86" i="113"/>
  <c r="AT91" i="113"/>
  <c r="AT30" i="113"/>
  <c r="AT92" i="113"/>
  <c r="AT63" i="113"/>
  <c r="AT24" i="113"/>
  <c r="AT35" i="113"/>
  <c r="AT34" i="113"/>
  <c r="AT49" i="113"/>
  <c r="AT71" i="113"/>
  <c r="AT61" i="113"/>
  <c r="AT80" i="113"/>
  <c r="AT75" i="113"/>
  <c r="AT88" i="113"/>
  <c r="AT44" i="113"/>
  <c r="AT83" i="113"/>
  <c r="AU91" i="113"/>
  <c r="AU94" i="113"/>
  <c r="AU89" i="113"/>
  <c r="AU92" i="113"/>
  <c r="AU86" i="113"/>
  <c r="AU79" i="113"/>
  <c r="AU82" i="113"/>
  <c r="AU83" i="113"/>
  <c r="AU78" i="113"/>
  <c r="AU62" i="113"/>
  <c r="AU85" i="113"/>
  <c r="AU95" i="113"/>
  <c r="AU72" i="113"/>
  <c r="AU63" i="113"/>
  <c r="AU74" i="113"/>
  <c r="AU73" i="113"/>
  <c r="AU69" i="113"/>
  <c r="AU61" i="113"/>
  <c r="AU66" i="113"/>
  <c r="AU52" i="113"/>
  <c r="AU70" i="113"/>
  <c r="AU67" i="113"/>
  <c r="AU59" i="113"/>
  <c r="AU51" i="113"/>
  <c r="AU58" i="113"/>
  <c r="AU37" i="113"/>
  <c r="AU68" i="113"/>
  <c r="AU60" i="113"/>
  <c r="AU56" i="113"/>
  <c r="AU49" i="113"/>
  <c r="AU40" i="113"/>
  <c r="AU31" i="113"/>
  <c r="AU57" i="113"/>
  <c r="AU47" i="113"/>
  <c r="AU50" i="113"/>
  <c r="AU41" i="113"/>
  <c r="AU33" i="113"/>
  <c r="AU64" i="113"/>
  <c r="AU53" i="113"/>
  <c r="AU24" i="113"/>
  <c r="AU48" i="113"/>
  <c r="AU39" i="113"/>
  <c r="AU35" i="113"/>
  <c r="AU22" i="113"/>
  <c r="AU36" i="113"/>
  <c r="AU45" i="113"/>
  <c r="AU23" i="113"/>
  <c r="AU42" i="113"/>
  <c r="AU18" i="113"/>
  <c r="AU29" i="113"/>
  <c r="AU19" i="113"/>
  <c r="AU15" i="113"/>
  <c r="AU28" i="113"/>
  <c r="AU26" i="113"/>
  <c r="AU34" i="113"/>
  <c r="AU38" i="113"/>
  <c r="AU27" i="113"/>
  <c r="AU16" i="113"/>
  <c r="AU12" i="113"/>
  <c r="AU13" i="113"/>
  <c r="AU8" i="113"/>
  <c r="AU97" i="113" s="1"/>
  <c r="AU17" i="113"/>
  <c r="AU14" i="113"/>
  <c r="AU11" i="113"/>
  <c r="AV7" i="113"/>
  <c r="AT25" i="113"/>
  <c r="AT39" i="113"/>
  <c r="AT29" i="113"/>
  <c r="AT56" i="113"/>
  <c r="AT74" i="113"/>
  <c r="AT73" i="113"/>
  <c r="AT59" i="113"/>
  <c r="AT84" i="113"/>
  <c r="AT96" i="113"/>
  <c r="AT14" i="113"/>
  <c r="AT23" i="113"/>
  <c r="AT17" i="113"/>
  <c r="AT48" i="113"/>
  <c r="AT38" i="113"/>
  <c r="AT28" i="113"/>
  <c r="AT67" i="113"/>
  <c r="AT57" i="113"/>
  <c r="AT68" i="113"/>
  <c r="AT81" i="113"/>
  <c r="AV92" i="111"/>
  <c r="AV95" i="111"/>
  <c r="AV61" i="111"/>
  <c r="AV52" i="111"/>
  <c r="AV84" i="111"/>
  <c r="AV82" i="111"/>
  <c r="AV57" i="111"/>
  <c r="AV53" i="111"/>
  <c r="AV73" i="111"/>
  <c r="AV63" i="111"/>
  <c r="AV56" i="111"/>
  <c r="AV60" i="111"/>
  <c r="AV24" i="111"/>
  <c r="AV39" i="111"/>
  <c r="AV22" i="111"/>
  <c r="AV15" i="111"/>
  <c r="AV8" i="111"/>
  <c r="AV96" i="111" s="1"/>
  <c r="AV13" i="111"/>
  <c r="AV20" i="111"/>
  <c r="AV14" i="111"/>
  <c r="AV26" i="111"/>
  <c r="AV11" i="111"/>
  <c r="AW7" i="111"/>
  <c r="AV36" i="111"/>
  <c r="AU68" i="111"/>
  <c r="AU57" i="111"/>
  <c r="AU66" i="111"/>
  <c r="AU75" i="111"/>
  <c r="AU69" i="111"/>
  <c r="AU88" i="111"/>
  <c r="AU37" i="111"/>
  <c r="AU77" i="111"/>
  <c r="AU73" i="111"/>
  <c r="AU71" i="111"/>
  <c r="AU61" i="111"/>
  <c r="AU94" i="111"/>
  <c r="AU90" i="111"/>
  <c r="AU93" i="111"/>
  <c r="AU39" i="111"/>
  <c r="AU95" i="111"/>
  <c r="AU70" i="111"/>
  <c r="AU49" i="111"/>
  <c r="AT11" i="109"/>
  <c r="AT24" i="109"/>
  <c r="AT61" i="109"/>
  <c r="AT26" i="109"/>
  <c r="AT19" i="109"/>
  <c r="AT42" i="109"/>
  <c r="AT74" i="109"/>
  <c r="AT60" i="109"/>
  <c r="AT86" i="109"/>
  <c r="AT96" i="109"/>
  <c r="AT29" i="109"/>
  <c r="AT69" i="109"/>
  <c r="AT35" i="109"/>
  <c r="AT28" i="109"/>
  <c r="AT47" i="109"/>
  <c r="AT72" i="109"/>
  <c r="AT77" i="109"/>
  <c r="AT84" i="109"/>
  <c r="AT93" i="109"/>
  <c r="AT37" i="109"/>
  <c r="AT50" i="109"/>
  <c r="AT80" i="109"/>
  <c r="AT63" i="109"/>
  <c r="AT81" i="109"/>
  <c r="AT90" i="109"/>
  <c r="AU93" i="109"/>
  <c r="AU94" i="109"/>
  <c r="AU97" i="109"/>
  <c r="AU89" i="109"/>
  <c r="AU90" i="109"/>
  <c r="AU84" i="109"/>
  <c r="AU70" i="109"/>
  <c r="AU83" i="109"/>
  <c r="AU73" i="109"/>
  <c r="AU80" i="109"/>
  <c r="AU66" i="109"/>
  <c r="AU74" i="109"/>
  <c r="AU71" i="109"/>
  <c r="AU67" i="109"/>
  <c r="AU63" i="109"/>
  <c r="AU60" i="109"/>
  <c r="AU85" i="109"/>
  <c r="AU75" i="109"/>
  <c r="AU49" i="109"/>
  <c r="AU82" i="109"/>
  <c r="AU52" i="109"/>
  <c r="AU37" i="109"/>
  <c r="AU62" i="109"/>
  <c r="AU56" i="109"/>
  <c r="AU55" i="109"/>
  <c r="AU53" i="109"/>
  <c r="AU40" i="109"/>
  <c r="AU31" i="109"/>
  <c r="AU38" i="109"/>
  <c r="AU29" i="109"/>
  <c r="AU20" i="109"/>
  <c r="AU77" i="109"/>
  <c r="AU50" i="109"/>
  <c r="AU42" i="109"/>
  <c r="AU44" i="109"/>
  <c r="AU34" i="109"/>
  <c r="AU48" i="109"/>
  <c r="AU39" i="109"/>
  <c r="AU35" i="109"/>
  <c r="AU25" i="109"/>
  <c r="AU46" i="109"/>
  <c r="AU45" i="109"/>
  <c r="AU26" i="109"/>
  <c r="AU22" i="109"/>
  <c r="AU17" i="109"/>
  <c r="AU12" i="109"/>
  <c r="AU51" i="109"/>
  <c r="AU16" i="109"/>
  <c r="AU11" i="109"/>
  <c r="AV7" i="109"/>
  <c r="AU68" i="109"/>
  <c r="AU18" i="109"/>
  <c r="AU8" i="109"/>
  <c r="AU96" i="109" s="1"/>
  <c r="AU30" i="109"/>
  <c r="AU41" i="109"/>
  <c r="AU27" i="109"/>
  <c r="AU13" i="109"/>
  <c r="AU59" i="109"/>
  <c r="AU33" i="109"/>
  <c r="AU64" i="109"/>
  <c r="AT15" i="109"/>
  <c r="AT14" i="109"/>
  <c r="AT22" i="109"/>
  <c r="AT49" i="109"/>
  <c r="AT45" i="109"/>
  <c r="AT52" i="109"/>
  <c r="AT89" i="109"/>
  <c r="AT56" i="109"/>
  <c r="AT67" i="109"/>
  <c r="AU11" i="107"/>
  <c r="AU52" i="107"/>
  <c r="AU36" i="107"/>
  <c r="AU42" i="107"/>
  <c r="AU71" i="107"/>
  <c r="AU53" i="107"/>
  <c r="AU56" i="107"/>
  <c r="AU63" i="107"/>
  <c r="AU81" i="107"/>
  <c r="AU86" i="107"/>
  <c r="AU96" i="107"/>
  <c r="AU13" i="107"/>
  <c r="AV91" i="107"/>
  <c r="AV94" i="107"/>
  <c r="AV93" i="107"/>
  <c r="AV78" i="107"/>
  <c r="AV77" i="107"/>
  <c r="AV81" i="107"/>
  <c r="AV52" i="107"/>
  <c r="AV56" i="107"/>
  <c r="AV33" i="107"/>
  <c r="AV69" i="107"/>
  <c r="AV59" i="107"/>
  <c r="AV57" i="107"/>
  <c r="AV75" i="107"/>
  <c r="AV84" i="107"/>
  <c r="AV42" i="107"/>
  <c r="AV28" i="107"/>
  <c r="AV27" i="107"/>
  <c r="AV18" i="107"/>
  <c r="AV11" i="107"/>
  <c r="AV25" i="107"/>
  <c r="AW7" i="107"/>
  <c r="AV8" i="107"/>
  <c r="AV97" i="107" s="1"/>
  <c r="AU23" i="107"/>
  <c r="AU34" i="107"/>
  <c r="AU62" i="107"/>
  <c r="AU80" i="107"/>
  <c r="AU67" i="107"/>
  <c r="AU64" i="107"/>
  <c r="AU95" i="107"/>
  <c r="AU93" i="107"/>
  <c r="AU46" i="107"/>
  <c r="AU30" i="107"/>
  <c r="AU14" i="107"/>
  <c r="AU19" i="107"/>
  <c r="AU57" i="107"/>
  <c r="AU70" i="107"/>
  <c r="AU35" i="107"/>
  <c r="AU72" i="107"/>
  <c r="AU73" i="107"/>
  <c r="AU92" i="107"/>
  <c r="AU15" i="107"/>
  <c r="AU12" i="107"/>
  <c r="AU24" i="107"/>
  <c r="AU25" i="107"/>
  <c r="AU41" i="107"/>
  <c r="AU50" i="107"/>
  <c r="AU59" i="107"/>
  <c r="AU69" i="107"/>
  <c r="AU75" i="107"/>
  <c r="AU97" i="107"/>
  <c r="AU33" i="107"/>
  <c r="AU18" i="107"/>
  <c r="AU31" i="107"/>
  <c r="AU39" i="107"/>
  <c r="AU51" i="107"/>
  <c r="AU29" i="107"/>
  <c r="AU78" i="107"/>
  <c r="AU82" i="107"/>
  <c r="AU84" i="107"/>
  <c r="AU16" i="105"/>
  <c r="AU13" i="105"/>
  <c r="AU44" i="105"/>
  <c r="AV94" i="105"/>
  <c r="AV97" i="105"/>
  <c r="AV89" i="105"/>
  <c r="AV92" i="105"/>
  <c r="AV74" i="105"/>
  <c r="AV78" i="105"/>
  <c r="AV90" i="105"/>
  <c r="AV84" i="105"/>
  <c r="AV79" i="105"/>
  <c r="AV85" i="105"/>
  <c r="AV70" i="105"/>
  <c r="AV61" i="105"/>
  <c r="AV64" i="105"/>
  <c r="AV56" i="105"/>
  <c r="AV75" i="105"/>
  <c r="AV71" i="105"/>
  <c r="AV62" i="105"/>
  <c r="AV66" i="105"/>
  <c r="AV57" i="105"/>
  <c r="AV60" i="105"/>
  <c r="AV69" i="105"/>
  <c r="AV55" i="105"/>
  <c r="AV51" i="105"/>
  <c r="AV72" i="105"/>
  <c r="AV49" i="105"/>
  <c r="AV40" i="105"/>
  <c r="AV52" i="105"/>
  <c r="AV47" i="105"/>
  <c r="AV50" i="105"/>
  <c r="AV42" i="105"/>
  <c r="AV28" i="105"/>
  <c r="AV53" i="105"/>
  <c r="AV48" i="105"/>
  <c r="AV35" i="105"/>
  <c r="AV29" i="105"/>
  <c r="AV17" i="105"/>
  <c r="AV18" i="105"/>
  <c r="AV20" i="105"/>
  <c r="AV12" i="105"/>
  <c r="AV39" i="105"/>
  <c r="AV24" i="105"/>
  <c r="AV15" i="105"/>
  <c r="AV31" i="105"/>
  <c r="AV41" i="105"/>
  <c r="AV27" i="105"/>
  <c r="AV26" i="105"/>
  <c r="AV13" i="105"/>
  <c r="AV22" i="105"/>
  <c r="AV14" i="105"/>
  <c r="AV23" i="105"/>
  <c r="AV45" i="105"/>
  <c r="AV11" i="105"/>
  <c r="AW7" i="105"/>
  <c r="AV8" i="105"/>
  <c r="AV95" i="105" s="1"/>
  <c r="AU40" i="105"/>
  <c r="AU42" i="105"/>
  <c r="AU72" i="105"/>
  <c r="AU61" i="105"/>
  <c r="AU95" i="105"/>
  <c r="AU86" i="105"/>
  <c r="AU93" i="105"/>
  <c r="AU38" i="105"/>
  <c r="AU25" i="105"/>
  <c r="AU53" i="105"/>
  <c r="AU96" i="105"/>
  <c r="AU19" i="105"/>
  <c r="AU22" i="105"/>
  <c r="AU50" i="105"/>
  <c r="AU14" i="105"/>
  <c r="AU36" i="105"/>
  <c r="AU51" i="105"/>
  <c r="AU62" i="105"/>
  <c r="AU70" i="105"/>
  <c r="AU79" i="105"/>
  <c r="AU92" i="105"/>
  <c r="AU18" i="105"/>
  <c r="AU33" i="105"/>
  <c r="AU15" i="105"/>
  <c r="AU23" i="105"/>
  <c r="AU27" i="105"/>
  <c r="AU69" i="105"/>
  <c r="AU71" i="105"/>
  <c r="AU58" i="105"/>
  <c r="AU84" i="105"/>
  <c r="AU89" i="105"/>
  <c r="AU39" i="105"/>
  <c r="AU35" i="105"/>
  <c r="AU56" i="105"/>
  <c r="AU45" i="105"/>
  <c r="AU41" i="105"/>
  <c r="AU48" i="105"/>
  <c r="AU75" i="105"/>
  <c r="AU67" i="105"/>
  <c r="AU81" i="105"/>
  <c r="AU97" i="105"/>
  <c r="AU64" i="105"/>
  <c r="AU11" i="105"/>
  <c r="AU12" i="105"/>
  <c r="AU17" i="105"/>
  <c r="AU47" i="105"/>
  <c r="AU37" i="105"/>
  <c r="AU60" i="105"/>
  <c r="AU82" i="105"/>
  <c r="AU73" i="105"/>
  <c r="AU90" i="105"/>
  <c r="AU94" i="105"/>
  <c r="AU28" i="105"/>
  <c r="AU85" i="105"/>
  <c r="AU31" i="105"/>
  <c r="AU20" i="105"/>
  <c r="AU49" i="105"/>
  <c r="AU55" i="105"/>
  <c r="AU46" i="105"/>
  <c r="AU63" i="105"/>
  <c r="AU59" i="105"/>
  <c r="AU77" i="105"/>
  <c r="AU74" i="105"/>
  <c r="AU91" i="105"/>
  <c r="AU26" i="105"/>
  <c r="AU30" i="105"/>
  <c r="AU24" i="105"/>
  <c r="AU29" i="105"/>
  <c r="AU66" i="105"/>
  <c r="AU52" i="105"/>
  <c r="AU68" i="105"/>
  <c r="AU78" i="105"/>
  <c r="AU83" i="105"/>
  <c r="AU17" i="103"/>
  <c r="AU19" i="103"/>
  <c r="AU25" i="103"/>
  <c r="AU29" i="103"/>
  <c r="AU55" i="103"/>
  <c r="AU37" i="103"/>
  <c r="AU80" i="103"/>
  <c r="AU73" i="103"/>
  <c r="AU79" i="103"/>
  <c r="AU89" i="103"/>
  <c r="AU23" i="103"/>
  <c r="AU22" i="103"/>
  <c r="AU18" i="103"/>
  <c r="AU26" i="103"/>
  <c r="AU34" i="103"/>
  <c r="AU46" i="103"/>
  <c r="AU57" i="103"/>
  <c r="AU70" i="103"/>
  <c r="AU84" i="103"/>
  <c r="AU97" i="103"/>
  <c r="AU31" i="103"/>
  <c r="AU30" i="103"/>
  <c r="AU27" i="103"/>
  <c r="AU42" i="103"/>
  <c r="AU44" i="103"/>
  <c r="AU56" i="103"/>
  <c r="AU60" i="103"/>
  <c r="AU77" i="103"/>
  <c r="AU81" i="103"/>
  <c r="AU94" i="103"/>
  <c r="AU35" i="103"/>
  <c r="AU16" i="103"/>
  <c r="AU33" i="103"/>
  <c r="AU58" i="103"/>
  <c r="AU61" i="103"/>
  <c r="AU51" i="103"/>
  <c r="AU69" i="103"/>
  <c r="AU75" i="103"/>
  <c r="AU90" i="103"/>
  <c r="AU91" i="103"/>
  <c r="AV97" i="103"/>
  <c r="AV95" i="103"/>
  <c r="AV93" i="103"/>
  <c r="AV85" i="103"/>
  <c r="AV78" i="103"/>
  <c r="AV68" i="103"/>
  <c r="AV57" i="103"/>
  <c r="AV61" i="103"/>
  <c r="AV42" i="103"/>
  <c r="AV83" i="103"/>
  <c r="AV47" i="103"/>
  <c r="AV66" i="103"/>
  <c r="AV41" i="103"/>
  <c r="AV29" i="103"/>
  <c r="AV30" i="103"/>
  <c r="AV28" i="103"/>
  <c r="AV19" i="103"/>
  <c r="AV25" i="103"/>
  <c r="AW7" i="103"/>
  <c r="AV17" i="103"/>
  <c r="AV15" i="103"/>
  <c r="AV8" i="103"/>
  <c r="AV96" i="103" s="1"/>
  <c r="AU13" i="103"/>
  <c r="AU38" i="103"/>
  <c r="AU45" i="103"/>
  <c r="AU52" i="103"/>
  <c r="AU39" i="103"/>
  <c r="AU68" i="103"/>
  <c r="AU63" i="103"/>
  <c r="AU78" i="103"/>
  <c r="AU88" i="103"/>
  <c r="AU12" i="103"/>
  <c r="AU14" i="103"/>
  <c r="AU47" i="103"/>
  <c r="AU36" i="103"/>
  <c r="AU50" i="103"/>
  <c r="AU49" i="103"/>
  <c r="AU48" i="103"/>
  <c r="AU74" i="103"/>
  <c r="AU72" i="103"/>
  <c r="AU86" i="103"/>
  <c r="AU96" i="103"/>
  <c r="AU41" i="103"/>
  <c r="AU66" i="103"/>
  <c r="AU59" i="103"/>
  <c r="AU67" i="103"/>
  <c r="AU71" i="103"/>
  <c r="AU85" i="103"/>
  <c r="AU95" i="103"/>
  <c r="AU89" i="101"/>
  <c r="AU82" i="101"/>
  <c r="AU60" i="101"/>
  <c r="AU73" i="101"/>
  <c r="AU52" i="101"/>
  <c r="AU48" i="101"/>
  <c r="AU41" i="101"/>
  <c r="AU24" i="101"/>
  <c r="AU19" i="101"/>
  <c r="AV7" i="101"/>
  <c r="AU17" i="101"/>
  <c r="AU8" i="101"/>
  <c r="AU93" i="101" s="1"/>
  <c r="AT11" i="101"/>
  <c r="AT24" i="101"/>
  <c r="AT39" i="101"/>
  <c r="AT30" i="101"/>
  <c r="AT41" i="101"/>
  <c r="AT42" i="101"/>
  <c r="AT74" i="101"/>
  <c r="AT72" i="101"/>
  <c r="AT95" i="101"/>
  <c r="AT90" i="101"/>
  <c r="AT20" i="101"/>
  <c r="AT22" i="101"/>
  <c r="AT29" i="101"/>
  <c r="AT31" i="101"/>
  <c r="AT37" i="101"/>
  <c r="AT49" i="101"/>
  <c r="AT60" i="101"/>
  <c r="AT71" i="101"/>
  <c r="AT92" i="101"/>
  <c r="AT81" i="99"/>
  <c r="AT68" i="99"/>
  <c r="AT89" i="99"/>
  <c r="AU91" i="99"/>
  <c r="AU94" i="99"/>
  <c r="AU77" i="99"/>
  <c r="AU68" i="99"/>
  <c r="AU78" i="99"/>
  <c r="AU81" i="99"/>
  <c r="AU82" i="99"/>
  <c r="AU63" i="99"/>
  <c r="AU53" i="99"/>
  <c r="AU47" i="99"/>
  <c r="AU79" i="99"/>
  <c r="AU58" i="99"/>
  <c r="AU28" i="99"/>
  <c r="AU31" i="99"/>
  <c r="AU34" i="99"/>
  <c r="AU29" i="99"/>
  <c r="AU11" i="99"/>
  <c r="AU14" i="99"/>
  <c r="AV7" i="99"/>
  <c r="AU12" i="99"/>
  <c r="AU27" i="99"/>
  <c r="AU25" i="99"/>
  <c r="AU8" i="99"/>
  <c r="AU97" i="99" s="1"/>
  <c r="AT20" i="99"/>
  <c r="AT29" i="99"/>
  <c r="AT45" i="99"/>
  <c r="AT67" i="99"/>
  <c r="AT46" i="99"/>
  <c r="AT84" i="99"/>
  <c r="AT78" i="99"/>
  <c r="AT85" i="99"/>
  <c r="AT94" i="99"/>
  <c r="AT34" i="99"/>
  <c r="AT25" i="99"/>
  <c r="AT35" i="99"/>
  <c r="AT49" i="99"/>
  <c r="AT57" i="99"/>
  <c r="AT74" i="99"/>
  <c r="AT64" i="99"/>
  <c r="AT91" i="99"/>
  <c r="AT27" i="99"/>
  <c r="AT24" i="99"/>
  <c r="AT26" i="99"/>
  <c r="AT55" i="99"/>
  <c r="AT44" i="99"/>
  <c r="AT61" i="99"/>
  <c r="AT53" i="99"/>
  <c r="AT83" i="99"/>
  <c r="AT73" i="99"/>
  <c r="AT88" i="99"/>
  <c r="AT17" i="99"/>
  <c r="AT13" i="99"/>
  <c r="AT52" i="99"/>
  <c r="AT39" i="99"/>
  <c r="AT70" i="99"/>
  <c r="AT58" i="99"/>
  <c r="AT62" i="99"/>
  <c r="AT95" i="99"/>
  <c r="AT82" i="99"/>
  <c r="AT96" i="99"/>
  <c r="AT14" i="99"/>
  <c r="AT31" i="99"/>
  <c r="AT11" i="99"/>
  <c r="AT79" i="99"/>
  <c r="AT59" i="99"/>
  <c r="AT40" i="99"/>
  <c r="AT75" i="99"/>
  <c r="AT63" i="99"/>
  <c r="AT71" i="99"/>
  <c r="AT86" i="99"/>
  <c r="AT93" i="99"/>
  <c r="AT28" i="99"/>
  <c r="AT38" i="99"/>
  <c r="AT47" i="99"/>
  <c r="AT51" i="99"/>
  <c r="AT72" i="99"/>
  <c r="AT80" i="99"/>
  <c r="AT92" i="99"/>
  <c r="AT44" i="97"/>
  <c r="AT53" i="97"/>
  <c r="AT20" i="97"/>
  <c r="AT79" i="97"/>
  <c r="AT48" i="97"/>
  <c r="AT25" i="97"/>
  <c r="AT27" i="97"/>
  <c r="AT84" i="97"/>
  <c r="AT56" i="97"/>
  <c r="AT71" i="97"/>
  <c r="AT89" i="97"/>
  <c r="AT60" i="97"/>
  <c r="AT15" i="97"/>
  <c r="AT31" i="97"/>
  <c r="AT45" i="97"/>
  <c r="AT55" i="97"/>
  <c r="AT57" i="97"/>
  <c r="AT51" i="97"/>
  <c r="AT72" i="97"/>
  <c r="AT85" i="97"/>
  <c r="AT94" i="97"/>
  <c r="AT12" i="97"/>
  <c r="AT22" i="97"/>
  <c r="AT33" i="97"/>
  <c r="AT47" i="97"/>
  <c r="AT34" i="97"/>
  <c r="AT70" i="97"/>
  <c r="AT62" i="97"/>
  <c r="AT77" i="97"/>
  <c r="AT64" i="97"/>
  <c r="AT91" i="97"/>
  <c r="AT80" i="97"/>
  <c r="AT28" i="97"/>
  <c r="AT13" i="97"/>
  <c r="AU8" i="97"/>
  <c r="AU89" i="97" s="1"/>
  <c r="AV7" i="97"/>
  <c r="AT50" i="97"/>
  <c r="AT41" i="97"/>
  <c r="AT52" i="97"/>
  <c r="AT69" i="97"/>
  <c r="AT66" i="97"/>
  <c r="AT73" i="97"/>
  <c r="AT88" i="97"/>
  <c r="AT63" i="97"/>
  <c r="AT18" i="97"/>
  <c r="AT17" i="97"/>
  <c r="AT14" i="97"/>
  <c r="AT67" i="97"/>
  <c r="AT49" i="97"/>
  <c r="AT78" i="97"/>
  <c r="AT59" i="97"/>
  <c r="AT74" i="97"/>
  <c r="AT82" i="97"/>
  <c r="AT96" i="97"/>
  <c r="AT19" i="97"/>
  <c r="AT29" i="97"/>
  <c r="AT37" i="97"/>
  <c r="AT23" i="97"/>
  <c r="AT30" i="97"/>
  <c r="AT58" i="97"/>
  <c r="AT46" i="97"/>
  <c r="AT68" i="97"/>
  <c r="AT83" i="97"/>
  <c r="AT86" i="97"/>
  <c r="AT93" i="97"/>
  <c r="AT16" i="97"/>
  <c r="AT61" i="97"/>
  <c r="AT75" i="97"/>
  <c r="AT81" i="97"/>
  <c r="AT95" i="97"/>
  <c r="AT92" i="97"/>
  <c r="AV78" i="95"/>
  <c r="AV70" i="95"/>
  <c r="AV14" i="95"/>
  <c r="AV92" i="95"/>
  <c r="AV86" i="95"/>
  <c r="AV28" i="95"/>
  <c r="AV56" i="95"/>
  <c r="AV47" i="95"/>
  <c r="AV22" i="95"/>
  <c r="AV58" i="95"/>
  <c r="AV24" i="95"/>
  <c r="AV63" i="95"/>
  <c r="AV73" i="95"/>
  <c r="AV75" i="95"/>
  <c r="AV33" i="95"/>
  <c r="AV29" i="95"/>
  <c r="AV26" i="95"/>
  <c r="AV36" i="95"/>
  <c r="AV69" i="95"/>
  <c r="AV80" i="95"/>
  <c r="AV42" i="95"/>
  <c r="AV60" i="95"/>
  <c r="AV18" i="95"/>
  <c r="AV39" i="95"/>
  <c r="AV66" i="95"/>
  <c r="AV15" i="95"/>
  <c r="AV31" i="95"/>
  <c r="AV55" i="95"/>
  <c r="AV93" i="95"/>
  <c r="AV17" i="95"/>
  <c r="AV20" i="95"/>
  <c r="AV57" i="95"/>
  <c r="AV62" i="95"/>
  <c r="AV82" i="95"/>
  <c r="AV38" i="95"/>
  <c r="AV23" i="95"/>
  <c r="AV52" i="95"/>
  <c r="AV41" i="95"/>
  <c r="AV71" i="95"/>
  <c r="AV49" i="95"/>
  <c r="AV61" i="95"/>
  <c r="AV85" i="95"/>
  <c r="AV13" i="95"/>
  <c r="AV19" i="95"/>
  <c r="AV50" i="95"/>
  <c r="AV27" i="95"/>
  <c r="AV12" i="95"/>
  <c r="AV45" i="95"/>
  <c r="AV68" i="95"/>
  <c r="AV37" i="95"/>
  <c r="AV81" i="95"/>
  <c r="AV97" i="95"/>
  <c r="AV59" i="95"/>
  <c r="AV84" i="95"/>
  <c r="AV91" i="95"/>
  <c r="AV95" i="95"/>
  <c r="AX7" i="95"/>
  <c r="AW8" i="95"/>
  <c r="AW77" i="95" s="1"/>
  <c r="AV25" i="95"/>
  <c r="AV46" i="95"/>
  <c r="AV30" i="95"/>
  <c r="AV53" i="95"/>
  <c r="AV48" i="95"/>
  <c r="AV77" i="95"/>
  <c r="AV89" i="95"/>
  <c r="AV94" i="95"/>
  <c r="AV90" i="95"/>
  <c r="AV11" i="95"/>
  <c r="AV16" i="95"/>
  <c r="AV67" i="95"/>
  <c r="AV40" i="95"/>
  <c r="AV35" i="95"/>
  <c r="AV44" i="95"/>
  <c r="AV51" i="95"/>
  <c r="AV64" i="95"/>
  <c r="AV74" i="95"/>
  <c r="AV79" i="95"/>
  <c r="AV72" i="95"/>
  <c r="AV83" i="95"/>
  <c r="AV88" i="95"/>
  <c r="AU13" i="59" l="1"/>
  <c r="AU11" i="59"/>
  <c r="AU28" i="59"/>
  <c r="AU59" i="59"/>
  <c r="AU93" i="59"/>
  <c r="AU26" i="59"/>
  <c r="AU37" i="59"/>
  <c r="AU49" i="59"/>
  <c r="AU24" i="59"/>
  <c r="AU55" i="59"/>
  <c r="AU83" i="59"/>
  <c r="AU38" i="59"/>
  <c r="AU23" i="59"/>
  <c r="AU45" i="59"/>
  <c r="AU84" i="59"/>
  <c r="AU40" i="59"/>
  <c r="AU33" i="59"/>
  <c r="AU19" i="59"/>
  <c r="AU61" i="59"/>
  <c r="AU95" i="59"/>
  <c r="AU62" i="59"/>
  <c r="AU35" i="59"/>
  <c r="AU16" i="59"/>
  <c r="AU64" i="59"/>
  <c r="AU92" i="59"/>
  <c r="AU56" i="59"/>
  <c r="AU41" i="59"/>
  <c r="AU46" i="59"/>
  <c r="AU36" i="59"/>
  <c r="AU42" i="59"/>
  <c r="AU52" i="59"/>
  <c r="AU68" i="59"/>
  <c r="AU66" i="59"/>
  <c r="AU63" i="59"/>
  <c r="AU89" i="59"/>
  <c r="AU34" i="59"/>
  <c r="AU60" i="59"/>
  <c r="AU71" i="59"/>
  <c r="AU69" i="59"/>
  <c r="AU72" i="59"/>
  <c r="AU97" i="59"/>
  <c r="AW7" i="59"/>
  <c r="AV8" i="59"/>
  <c r="AV96" i="59" s="1"/>
  <c r="AV15" i="59"/>
  <c r="AU27" i="59"/>
  <c r="AU25" i="59"/>
  <c r="AU67" i="59"/>
  <c r="AU77" i="59"/>
  <c r="AU73" i="59"/>
  <c r="AU57" i="59"/>
  <c r="AU90" i="59"/>
  <c r="AU94" i="59"/>
  <c r="AU18" i="59"/>
  <c r="AU14" i="59"/>
  <c r="AU29" i="59"/>
  <c r="AU31" i="59"/>
  <c r="AU70" i="59"/>
  <c r="AU47" i="59"/>
  <c r="AU85" i="59"/>
  <c r="AU82" i="59"/>
  <c r="AU74" i="59"/>
  <c r="AU91" i="59"/>
  <c r="AU12" i="59"/>
  <c r="AU20" i="59"/>
  <c r="AU48" i="59"/>
  <c r="AU79" i="59"/>
  <c r="AU30" i="59"/>
  <c r="AU44" i="59"/>
  <c r="AU58" i="59"/>
  <c r="AU80" i="59"/>
  <c r="AU78" i="59"/>
  <c r="AU88" i="59"/>
  <c r="AU15" i="59"/>
  <c r="AU22" i="59"/>
  <c r="AU17" i="59"/>
  <c r="AU50" i="59"/>
  <c r="AU53" i="59"/>
  <c r="AU39" i="59"/>
  <c r="AU51" i="59"/>
  <c r="AU75" i="59"/>
  <c r="AU81" i="59"/>
  <c r="AU86" i="59"/>
  <c r="AU71" i="113"/>
  <c r="AU75" i="113"/>
  <c r="AU88" i="113"/>
  <c r="AV94" i="113"/>
  <c r="AV97" i="113"/>
  <c r="AV79" i="113"/>
  <c r="AV90" i="113"/>
  <c r="AV71" i="113"/>
  <c r="AV66" i="113"/>
  <c r="AV70" i="113"/>
  <c r="AV62" i="113"/>
  <c r="AV61" i="113"/>
  <c r="AV60" i="113"/>
  <c r="AV72" i="113"/>
  <c r="AV52" i="113"/>
  <c r="AV50" i="113"/>
  <c r="AV45" i="113"/>
  <c r="AV36" i="113"/>
  <c r="AV27" i="113"/>
  <c r="AV18" i="113"/>
  <c r="AV41" i="113"/>
  <c r="AV28" i="113"/>
  <c r="AV42" i="113"/>
  <c r="AV25" i="113"/>
  <c r="AV19" i="113"/>
  <c r="AV15" i="113"/>
  <c r="AV37" i="113"/>
  <c r="AV20" i="113"/>
  <c r="AV22" i="113"/>
  <c r="AV46" i="113"/>
  <c r="AV23" i="113"/>
  <c r="AV17" i="113"/>
  <c r="AV12" i="113"/>
  <c r="AV8" i="113"/>
  <c r="AV89" i="113" s="1"/>
  <c r="AV11" i="113"/>
  <c r="AW7" i="113"/>
  <c r="AV16" i="113"/>
  <c r="AU84" i="113"/>
  <c r="AU96" i="113"/>
  <c r="AU77" i="113"/>
  <c r="AU81" i="113"/>
  <c r="AU93" i="113"/>
  <c r="AU20" i="113"/>
  <c r="AU25" i="113"/>
  <c r="AU30" i="113"/>
  <c r="AU44" i="113"/>
  <c r="AU46" i="113"/>
  <c r="AU55" i="113"/>
  <c r="AU80" i="113"/>
  <c r="AU90" i="113"/>
  <c r="AW90" i="111"/>
  <c r="AW68" i="111"/>
  <c r="AW82" i="111"/>
  <c r="AW69" i="111"/>
  <c r="AW60" i="111"/>
  <c r="AW27" i="111"/>
  <c r="AW23" i="111"/>
  <c r="AW18" i="111"/>
  <c r="AW8" i="111"/>
  <c r="AW91" i="111" s="1"/>
  <c r="AW16" i="111"/>
  <c r="AW34" i="111"/>
  <c r="AW12" i="111"/>
  <c r="AW17" i="111"/>
  <c r="AX7" i="111"/>
  <c r="AW31" i="111"/>
  <c r="AW29" i="111"/>
  <c r="AW26" i="111"/>
  <c r="AW19" i="111"/>
  <c r="AV41" i="111"/>
  <c r="AV27" i="111"/>
  <c r="AV59" i="111"/>
  <c r="AV62" i="111"/>
  <c r="AV50" i="111"/>
  <c r="AV79" i="111"/>
  <c r="AV44" i="111"/>
  <c r="AV86" i="111"/>
  <c r="AV31" i="111"/>
  <c r="AV33" i="111"/>
  <c r="AV66" i="111"/>
  <c r="AV48" i="111"/>
  <c r="AV67" i="111"/>
  <c r="AV85" i="111"/>
  <c r="AV77" i="111"/>
  <c r="AV97" i="111"/>
  <c r="AV29" i="111"/>
  <c r="AV18" i="111"/>
  <c r="AV25" i="111"/>
  <c r="AV35" i="111"/>
  <c r="AV37" i="111"/>
  <c r="AV51" i="111"/>
  <c r="AV75" i="111"/>
  <c r="AV89" i="111"/>
  <c r="AV72" i="111"/>
  <c r="AV94" i="111"/>
  <c r="AV17" i="111"/>
  <c r="AV23" i="111"/>
  <c r="AV34" i="111"/>
  <c r="AV38" i="111"/>
  <c r="AV40" i="111"/>
  <c r="AV55" i="111"/>
  <c r="AV80" i="111"/>
  <c r="AV64" i="111"/>
  <c r="AV81" i="111"/>
  <c r="AV91" i="111"/>
  <c r="AV16" i="111"/>
  <c r="AV12" i="111"/>
  <c r="AV93" i="111"/>
  <c r="AV42" i="111"/>
  <c r="AV45" i="111"/>
  <c r="AV74" i="111"/>
  <c r="AV68" i="111"/>
  <c r="AV58" i="111"/>
  <c r="AV70" i="111"/>
  <c r="AV78" i="111"/>
  <c r="AV88" i="111"/>
  <c r="AV30" i="111"/>
  <c r="AV19" i="111"/>
  <c r="AV28" i="111"/>
  <c r="AV49" i="111"/>
  <c r="AV46" i="111"/>
  <c r="AV83" i="111"/>
  <c r="AV47" i="111"/>
  <c r="AV71" i="111"/>
  <c r="AV69" i="111"/>
  <c r="AV90" i="111"/>
  <c r="AV96" i="109"/>
  <c r="AV91" i="109"/>
  <c r="AV97" i="109"/>
  <c r="AV92" i="109"/>
  <c r="AV93" i="109"/>
  <c r="AV79" i="109"/>
  <c r="AV83" i="109"/>
  <c r="AV64" i="109"/>
  <c r="AV77" i="109"/>
  <c r="AV86" i="109"/>
  <c r="AV85" i="109"/>
  <c r="AV74" i="109"/>
  <c r="AV68" i="109"/>
  <c r="AV61" i="109"/>
  <c r="AV90" i="109"/>
  <c r="AV81" i="109"/>
  <c r="AV75" i="109"/>
  <c r="AV52" i="109"/>
  <c r="AV67" i="109"/>
  <c r="AV69" i="109"/>
  <c r="AV62" i="109"/>
  <c r="AV59" i="109"/>
  <c r="AV70" i="109"/>
  <c r="AV57" i="109"/>
  <c r="AV56" i="109"/>
  <c r="AV53" i="109"/>
  <c r="AV40" i="109"/>
  <c r="AV31" i="109"/>
  <c r="AV23" i="109"/>
  <c r="AV51" i="109"/>
  <c r="AV45" i="109"/>
  <c r="AV44" i="109"/>
  <c r="AV35" i="109"/>
  <c r="AV26" i="109"/>
  <c r="AV17" i="109"/>
  <c r="AV95" i="109"/>
  <c r="AV66" i="109"/>
  <c r="AV33" i="109"/>
  <c r="AV24" i="109"/>
  <c r="AV15" i="109"/>
  <c r="AV60" i="109"/>
  <c r="AV58" i="109"/>
  <c r="AV49" i="109"/>
  <c r="AV34" i="109"/>
  <c r="AV39" i="109"/>
  <c r="AV30" i="109"/>
  <c r="AV47" i="109"/>
  <c r="AV46" i="109"/>
  <c r="AV28" i="109"/>
  <c r="AV36" i="109"/>
  <c r="AV18" i="109"/>
  <c r="AV8" i="109"/>
  <c r="AV88" i="109" s="1"/>
  <c r="AV16" i="109"/>
  <c r="AV11" i="109"/>
  <c r="AW7" i="109"/>
  <c r="AV27" i="109"/>
  <c r="AV37" i="109"/>
  <c r="AV50" i="109"/>
  <c r="AV38" i="109"/>
  <c r="AV22" i="109"/>
  <c r="AV20" i="109"/>
  <c r="AV19" i="109"/>
  <c r="AV13" i="109"/>
  <c r="AV42" i="109"/>
  <c r="AV12" i="109"/>
  <c r="AV25" i="109"/>
  <c r="AU86" i="109"/>
  <c r="AU92" i="109"/>
  <c r="AU91" i="109"/>
  <c r="AU24" i="109"/>
  <c r="AU15" i="109"/>
  <c r="AU47" i="109"/>
  <c r="AU57" i="109"/>
  <c r="AU14" i="109"/>
  <c r="AU19" i="109"/>
  <c r="AU78" i="109"/>
  <c r="AU61" i="109"/>
  <c r="AU95" i="109"/>
  <c r="AU88" i="109"/>
  <c r="AU36" i="109"/>
  <c r="AU72" i="109"/>
  <c r="AU69" i="109"/>
  <c r="AU23" i="109"/>
  <c r="AU28" i="109"/>
  <c r="AU81" i="109"/>
  <c r="AU58" i="109"/>
  <c r="AU79" i="109"/>
  <c r="AV31" i="107"/>
  <c r="AV45" i="107"/>
  <c r="AV23" i="107"/>
  <c r="AV30" i="107"/>
  <c r="AV37" i="107"/>
  <c r="AV41" i="107"/>
  <c r="AV58" i="107"/>
  <c r="AV83" i="107"/>
  <c r="AV90" i="107"/>
  <c r="AV88" i="107"/>
  <c r="AW92" i="107"/>
  <c r="AW86" i="107"/>
  <c r="AW90" i="107"/>
  <c r="AW75" i="107"/>
  <c r="AW62" i="107"/>
  <c r="AW84" i="107"/>
  <c r="AW80" i="107"/>
  <c r="AW78" i="107"/>
  <c r="AW56" i="107"/>
  <c r="AW73" i="107"/>
  <c r="AW36" i="107"/>
  <c r="AW69" i="107"/>
  <c r="AW68" i="107"/>
  <c r="AW66" i="107"/>
  <c r="AW88" i="107"/>
  <c r="AW67" i="107"/>
  <c r="AW63" i="107"/>
  <c r="AW60" i="107"/>
  <c r="AW46" i="107"/>
  <c r="AW42" i="107"/>
  <c r="AW38" i="107"/>
  <c r="AW55" i="107"/>
  <c r="AW28" i="107"/>
  <c r="AW26" i="107"/>
  <c r="AW17" i="107"/>
  <c r="AW53" i="107"/>
  <c r="AW51" i="107"/>
  <c r="AW49" i="107"/>
  <c r="AW31" i="107"/>
  <c r="AW30" i="107"/>
  <c r="AW12" i="107"/>
  <c r="AW19" i="107"/>
  <c r="AW18" i="107"/>
  <c r="AW15" i="107"/>
  <c r="AW8" i="107"/>
  <c r="AW91" i="107" s="1"/>
  <c r="AW39" i="107"/>
  <c r="AW25" i="107"/>
  <c r="AW14" i="107"/>
  <c r="AX7" i="107"/>
  <c r="AW13" i="107"/>
  <c r="AW29" i="107"/>
  <c r="AV24" i="107"/>
  <c r="AV20" i="107"/>
  <c r="AV40" i="107"/>
  <c r="AV46" i="107"/>
  <c r="AV51" i="107"/>
  <c r="AV50" i="107"/>
  <c r="AV60" i="107"/>
  <c r="AV85" i="107"/>
  <c r="AV86" i="107"/>
  <c r="AV96" i="107"/>
  <c r="AV16" i="107"/>
  <c r="AV44" i="107"/>
  <c r="AV35" i="107"/>
  <c r="AV19" i="107"/>
  <c r="AV48" i="107"/>
  <c r="AV61" i="107"/>
  <c r="AV73" i="107"/>
  <c r="AV63" i="107"/>
  <c r="AV74" i="107"/>
  <c r="AV95" i="107"/>
  <c r="AV13" i="107"/>
  <c r="AV15" i="107"/>
  <c r="AV53" i="107"/>
  <c r="AV55" i="107"/>
  <c r="AV71" i="107"/>
  <c r="AV62" i="107"/>
  <c r="AV29" i="107"/>
  <c r="AV67" i="107"/>
  <c r="AV80" i="107"/>
  <c r="AV92" i="107"/>
  <c r="AV22" i="107"/>
  <c r="AV12" i="107"/>
  <c r="AV17" i="107"/>
  <c r="AV36" i="107"/>
  <c r="AV82" i="107"/>
  <c r="AV64" i="107"/>
  <c r="AV38" i="107"/>
  <c r="AV70" i="107"/>
  <c r="AV68" i="107"/>
  <c r="AV89" i="107"/>
  <c r="AV14" i="107"/>
  <c r="AV39" i="107"/>
  <c r="AV26" i="107"/>
  <c r="AV49" i="107"/>
  <c r="AV34" i="107"/>
  <c r="AV66" i="107"/>
  <c r="AV47" i="107"/>
  <c r="AV72" i="107"/>
  <c r="AV79" i="107"/>
  <c r="AV91" i="105"/>
  <c r="AV19" i="105"/>
  <c r="AV25" i="105"/>
  <c r="AV34" i="105"/>
  <c r="AV30" i="105"/>
  <c r="AV58" i="105"/>
  <c r="AV67" i="105"/>
  <c r="AV81" i="105"/>
  <c r="AV73" i="105"/>
  <c r="AV83" i="105"/>
  <c r="AV88" i="105"/>
  <c r="AW92" i="105"/>
  <c r="AW84" i="105"/>
  <c r="AW74" i="105"/>
  <c r="AW69" i="105"/>
  <c r="AW55" i="105"/>
  <c r="AW50" i="105"/>
  <c r="AW35" i="105"/>
  <c r="AW24" i="105"/>
  <c r="AW8" i="105"/>
  <c r="AW95" i="105" s="1"/>
  <c r="AW19" i="105"/>
  <c r="AW11" i="105"/>
  <c r="AW23" i="105"/>
  <c r="AW29" i="105"/>
  <c r="AW16" i="105"/>
  <c r="AX7" i="105"/>
  <c r="AV16" i="105"/>
  <c r="AV36" i="105"/>
  <c r="AV59" i="105"/>
  <c r="AV38" i="105"/>
  <c r="AV37" i="105"/>
  <c r="AV63" i="105"/>
  <c r="AV68" i="105"/>
  <c r="AV82" i="105"/>
  <c r="AV86" i="105"/>
  <c r="AV96" i="105"/>
  <c r="AV33" i="105"/>
  <c r="AV44" i="105"/>
  <c r="AV46" i="105"/>
  <c r="AV77" i="105"/>
  <c r="AV80" i="105"/>
  <c r="AV93" i="105"/>
  <c r="AV12" i="103"/>
  <c r="AV33" i="103"/>
  <c r="AV34" i="103"/>
  <c r="AV44" i="103"/>
  <c r="AV48" i="103"/>
  <c r="AV46" i="103"/>
  <c r="AV70" i="103"/>
  <c r="AV64" i="103"/>
  <c r="AV82" i="103"/>
  <c r="AV92" i="103"/>
  <c r="AV26" i="103"/>
  <c r="AV11" i="103"/>
  <c r="AV22" i="103"/>
  <c r="AV53" i="103"/>
  <c r="AV55" i="103"/>
  <c r="AV56" i="103"/>
  <c r="AV80" i="103"/>
  <c r="AV73" i="103"/>
  <c r="AV79" i="103"/>
  <c r="AV89" i="103"/>
  <c r="AV23" i="103"/>
  <c r="AV27" i="103"/>
  <c r="AV38" i="103"/>
  <c r="AV35" i="103"/>
  <c r="AV71" i="103"/>
  <c r="AV51" i="103"/>
  <c r="AV60" i="103"/>
  <c r="AV58" i="103"/>
  <c r="AV84" i="103"/>
  <c r="AV94" i="103"/>
  <c r="AV31" i="103"/>
  <c r="AV16" i="103"/>
  <c r="AV24" i="103"/>
  <c r="AV37" i="103"/>
  <c r="AV52" i="103"/>
  <c r="AV59" i="103"/>
  <c r="AV63" i="103"/>
  <c r="AV67" i="103"/>
  <c r="AV81" i="103"/>
  <c r="AV91" i="103"/>
  <c r="AV18" i="103"/>
  <c r="AW91" i="103"/>
  <c r="AW97" i="103"/>
  <c r="AW89" i="103"/>
  <c r="AW90" i="103"/>
  <c r="AW93" i="103"/>
  <c r="AW88" i="103"/>
  <c r="AW79" i="103"/>
  <c r="AW82" i="103"/>
  <c r="AW86" i="103"/>
  <c r="AW85" i="103"/>
  <c r="AW80" i="103"/>
  <c r="AW83" i="103"/>
  <c r="AW70" i="103"/>
  <c r="AW61" i="103"/>
  <c r="AW77" i="103"/>
  <c r="AW73" i="103"/>
  <c r="AW68" i="103"/>
  <c r="AW71" i="103"/>
  <c r="AW69" i="103"/>
  <c r="AW74" i="103"/>
  <c r="AW64" i="103"/>
  <c r="AW66" i="103"/>
  <c r="AW58" i="103"/>
  <c r="AW55" i="103"/>
  <c r="AW63" i="103"/>
  <c r="AW60" i="103"/>
  <c r="AW56" i="103"/>
  <c r="AW46" i="103"/>
  <c r="AW37" i="103"/>
  <c r="AW49" i="103"/>
  <c r="AW59" i="103"/>
  <c r="AW44" i="103"/>
  <c r="AW47" i="103"/>
  <c r="AW50" i="103"/>
  <c r="AW48" i="103"/>
  <c r="AW40" i="103"/>
  <c r="AW45" i="103"/>
  <c r="AW41" i="103"/>
  <c r="AW57" i="103"/>
  <c r="AW36" i="103"/>
  <c r="AW72" i="103"/>
  <c r="AW42" i="103"/>
  <c r="AW38" i="103"/>
  <c r="AW33" i="103"/>
  <c r="AW27" i="103"/>
  <c r="AW25" i="103"/>
  <c r="AW16" i="103"/>
  <c r="AW31" i="103"/>
  <c r="AW23" i="103"/>
  <c r="AW51" i="103"/>
  <c r="AW20" i="103"/>
  <c r="AW29" i="103"/>
  <c r="AW11" i="103"/>
  <c r="AW18" i="103"/>
  <c r="AW30" i="103"/>
  <c r="AW22" i="103"/>
  <c r="AW14" i="103"/>
  <c r="AX7" i="103"/>
  <c r="AW34" i="103"/>
  <c r="AW35" i="103"/>
  <c r="AW26" i="103"/>
  <c r="AW12" i="103"/>
  <c r="AW15" i="103"/>
  <c r="AW24" i="103"/>
  <c r="AW28" i="103"/>
  <c r="AW13" i="103"/>
  <c r="AW8" i="103"/>
  <c r="AW94" i="103" s="1"/>
  <c r="AV20" i="103"/>
  <c r="AV36" i="103"/>
  <c r="AV45" i="103"/>
  <c r="AV40" i="103"/>
  <c r="AV62" i="103"/>
  <c r="AV69" i="103"/>
  <c r="AV75" i="103"/>
  <c r="AV90" i="103"/>
  <c r="AV88" i="103"/>
  <c r="AV14" i="103"/>
  <c r="AV13" i="103"/>
  <c r="AV39" i="103"/>
  <c r="AV50" i="103"/>
  <c r="AV49" i="103"/>
  <c r="AV72" i="103"/>
  <c r="AV74" i="103"/>
  <c r="AV77" i="103"/>
  <c r="AV86" i="103"/>
  <c r="AU18" i="101"/>
  <c r="AU78" i="101"/>
  <c r="AU47" i="101"/>
  <c r="AU85" i="101"/>
  <c r="AU86" i="101"/>
  <c r="AU12" i="101"/>
  <c r="AU28" i="101"/>
  <c r="AU23" i="101"/>
  <c r="AU39" i="101"/>
  <c r="AU27" i="101"/>
  <c r="AU44" i="101"/>
  <c r="AU62" i="101"/>
  <c r="AU63" i="101"/>
  <c r="AU80" i="101"/>
  <c r="AU92" i="101"/>
  <c r="AU20" i="101"/>
  <c r="AU16" i="101"/>
  <c r="AU26" i="101"/>
  <c r="AU25" i="101"/>
  <c r="AU45" i="101"/>
  <c r="AU40" i="101"/>
  <c r="AU75" i="101"/>
  <c r="AU69" i="101"/>
  <c r="AU95" i="101"/>
  <c r="AU97" i="101"/>
  <c r="AU15" i="101"/>
  <c r="AU13" i="101"/>
  <c r="AU29" i="101"/>
  <c r="AU34" i="101"/>
  <c r="AU53" i="101"/>
  <c r="AU49" i="101"/>
  <c r="AU58" i="101"/>
  <c r="AU57" i="101"/>
  <c r="AU79" i="101"/>
  <c r="AU94" i="101"/>
  <c r="AV88" i="101"/>
  <c r="AV94" i="101"/>
  <c r="AV89" i="101"/>
  <c r="AV93" i="101"/>
  <c r="AV75" i="101"/>
  <c r="AV79" i="101"/>
  <c r="AV78" i="101"/>
  <c r="AV83" i="101"/>
  <c r="AV69" i="101"/>
  <c r="AV67" i="101"/>
  <c r="AV80" i="101"/>
  <c r="AV70" i="101"/>
  <c r="AV40" i="101"/>
  <c r="AV44" i="101"/>
  <c r="AV38" i="101"/>
  <c r="AV50" i="101"/>
  <c r="AV59" i="101"/>
  <c r="AV37" i="101"/>
  <c r="AV34" i="101"/>
  <c r="AV28" i="101"/>
  <c r="AV51" i="101"/>
  <c r="AV46" i="101"/>
  <c r="AV68" i="101"/>
  <c r="AV20" i="101"/>
  <c r="AV39" i="101"/>
  <c r="AV16" i="101"/>
  <c r="AV11" i="101"/>
  <c r="AW7" i="101"/>
  <c r="AV8" i="101"/>
  <c r="AV92" i="101" s="1"/>
  <c r="AV17" i="101"/>
  <c r="AV19" i="101"/>
  <c r="AV13" i="101"/>
  <c r="AU33" i="101"/>
  <c r="AU36" i="101"/>
  <c r="AU38" i="101"/>
  <c r="AU61" i="101"/>
  <c r="AU56" i="101"/>
  <c r="AU67" i="101"/>
  <c r="AU66" i="101"/>
  <c r="AU84" i="101"/>
  <c r="AU91" i="101"/>
  <c r="AU14" i="101"/>
  <c r="AU51" i="101"/>
  <c r="AU42" i="101"/>
  <c r="AU50" i="101"/>
  <c r="AU68" i="101"/>
  <c r="AU64" i="101"/>
  <c r="AU72" i="101"/>
  <c r="AU74" i="101"/>
  <c r="AU81" i="101"/>
  <c r="AU88" i="101"/>
  <c r="AU71" i="101"/>
  <c r="AU77" i="101"/>
  <c r="AU37" i="101"/>
  <c r="AU83" i="101"/>
  <c r="AU96" i="101"/>
  <c r="AU22" i="101"/>
  <c r="AU11" i="101"/>
  <c r="AU31" i="101"/>
  <c r="AU59" i="101"/>
  <c r="AU30" i="101"/>
  <c r="AU35" i="101"/>
  <c r="AU46" i="101"/>
  <c r="AU55" i="101"/>
  <c r="AU70" i="101"/>
  <c r="AU90" i="101"/>
  <c r="AU22" i="99"/>
  <c r="AU19" i="99"/>
  <c r="AU35" i="99"/>
  <c r="AU33" i="99"/>
  <c r="AU38" i="99"/>
  <c r="AU56" i="99"/>
  <c r="AU48" i="99"/>
  <c r="AU66" i="99"/>
  <c r="AU85" i="99"/>
  <c r="AU88" i="99"/>
  <c r="AU15" i="99"/>
  <c r="AU26" i="99"/>
  <c r="AU20" i="99"/>
  <c r="AU39" i="99"/>
  <c r="AU36" i="99"/>
  <c r="AU50" i="99"/>
  <c r="AU61" i="99"/>
  <c r="AU57" i="99"/>
  <c r="AU74" i="99"/>
  <c r="AU86" i="99"/>
  <c r="AU96" i="99"/>
  <c r="AU18" i="99"/>
  <c r="AU49" i="99"/>
  <c r="AU16" i="99"/>
  <c r="AU51" i="99"/>
  <c r="AU45" i="99"/>
  <c r="AU62" i="99"/>
  <c r="AU73" i="99"/>
  <c r="AU67" i="99"/>
  <c r="AU83" i="99"/>
  <c r="AU95" i="99"/>
  <c r="AU93" i="99"/>
  <c r="AU30" i="99"/>
  <c r="AU24" i="99"/>
  <c r="AU59" i="99"/>
  <c r="AU42" i="99"/>
  <c r="AU44" i="99"/>
  <c r="AU55" i="99"/>
  <c r="AU75" i="99"/>
  <c r="AU71" i="99"/>
  <c r="AU92" i="99"/>
  <c r="AU17" i="99"/>
  <c r="AU46" i="99"/>
  <c r="AU13" i="99"/>
  <c r="AU69" i="99"/>
  <c r="AU52" i="99"/>
  <c r="AU70" i="99"/>
  <c r="AU64" i="99"/>
  <c r="AU84" i="99"/>
  <c r="AU80" i="99"/>
  <c r="AU89" i="99"/>
  <c r="AV97" i="99"/>
  <c r="AV83" i="99"/>
  <c r="AV84" i="99"/>
  <c r="AV51" i="99"/>
  <c r="AV56" i="99"/>
  <c r="AV33" i="99"/>
  <c r="AV59" i="99"/>
  <c r="AV38" i="99"/>
  <c r="AV11" i="99"/>
  <c r="AW7" i="99"/>
  <c r="AV39" i="99"/>
  <c r="AV8" i="99"/>
  <c r="AV89" i="99" s="1"/>
  <c r="AU37" i="99"/>
  <c r="AU23" i="99"/>
  <c r="AU41" i="99"/>
  <c r="AU40" i="99"/>
  <c r="AU60" i="99"/>
  <c r="AU72" i="99"/>
  <c r="AU90" i="99"/>
  <c r="AU36" i="97"/>
  <c r="AU61" i="97"/>
  <c r="AU25" i="97"/>
  <c r="AU19" i="97"/>
  <c r="AU55" i="97"/>
  <c r="AU79" i="97"/>
  <c r="AU46" i="97"/>
  <c r="AU59" i="97"/>
  <c r="AU90" i="97"/>
  <c r="AU97" i="97"/>
  <c r="AV97" i="97"/>
  <c r="AV83" i="97"/>
  <c r="AV53" i="97"/>
  <c r="AV67" i="97"/>
  <c r="AV61" i="97"/>
  <c r="AV40" i="97"/>
  <c r="AW7" i="97"/>
  <c r="AV28" i="97"/>
  <c r="AV38" i="97"/>
  <c r="AV33" i="97"/>
  <c r="AV8" i="97"/>
  <c r="AV92" i="97" s="1"/>
  <c r="AU28" i="97"/>
  <c r="AU26" i="97"/>
  <c r="AU38" i="97"/>
  <c r="AU37" i="97"/>
  <c r="AU56" i="97"/>
  <c r="AU75" i="97"/>
  <c r="AU69" i="97"/>
  <c r="AU77" i="97"/>
  <c r="AU91" i="97"/>
  <c r="AU14" i="97"/>
  <c r="AU29" i="97"/>
  <c r="AU51" i="97"/>
  <c r="AU41" i="97"/>
  <c r="AU30" i="97"/>
  <c r="AU49" i="97"/>
  <c r="AU84" i="97"/>
  <c r="AU78" i="97"/>
  <c r="AU85" i="97"/>
  <c r="AU88" i="97"/>
  <c r="AU12" i="97"/>
  <c r="AU13" i="97"/>
  <c r="AU42" i="97"/>
  <c r="AU52" i="97"/>
  <c r="AU71" i="97"/>
  <c r="AU39" i="97"/>
  <c r="AU53" i="97"/>
  <c r="AU82" i="97"/>
  <c r="AU66" i="97"/>
  <c r="AU86" i="97"/>
  <c r="AU96" i="97"/>
  <c r="AU15" i="97"/>
  <c r="AU63" i="97"/>
  <c r="AU94" i="97"/>
  <c r="AU33" i="97"/>
  <c r="AU31" i="97"/>
  <c r="AU16" i="97"/>
  <c r="AU58" i="97"/>
  <c r="AU40" i="97"/>
  <c r="AU44" i="97"/>
  <c r="AU60" i="97"/>
  <c r="AU57" i="97"/>
  <c r="AU74" i="97"/>
  <c r="AU95" i="97"/>
  <c r="AU93" i="97"/>
  <c r="AU17" i="97"/>
  <c r="AU47" i="97"/>
  <c r="AU68" i="97"/>
  <c r="AU22" i="97"/>
  <c r="AU18" i="97"/>
  <c r="AU20" i="97"/>
  <c r="AU27" i="97"/>
  <c r="AU45" i="97"/>
  <c r="AU48" i="97"/>
  <c r="AU67" i="97"/>
  <c r="AU73" i="97"/>
  <c r="AU83" i="97"/>
  <c r="AU92" i="97"/>
  <c r="AU35" i="97"/>
  <c r="AU64" i="97"/>
  <c r="AU81" i="97"/>
  <c r="AU23" i="97"/>
  <c r="AU24" i="97"/>
  <c r="AU34" i="97"/>
  <c r="AU11" i="97"/>
  <c r="AU50" i="97"/>
  <c r="AU72" i="97"/>
  <c r="AU70" i="97"/>
  <c r="AU62" i="97"/>
  <c r="AU80" i="97"/>
  <c r="AW23" i="95"/>
  <c r="AW71" i="95"/>
  <c r="AW49" i="95"/>
  <c r="AW15" i="95"/>
  <c r="AW66" i="95"/>
  <c r="AW22" i="95"/>
  <c r="AW16" i="95"/>
  <c r="AW39" i="95"/>
  <c r="AW60" i="95"/>
  <c r="AW59" i="95"/>
  <c r="AW79" i="95"/>
  <c r="AW33" i="95"/>
  <c r="AW78" i="95"/>
  <c r="AW26" i="95"/>
  <c r="AW81" i="95"/>
  <c r="AW28" i="95"/>
  <c r="AW14" i="95"/>
  <c r="AW58" i="95"/>
  <c r="AW34" i="95"/>
  <c r="AW27" i="95"/>
  <c r="AW11" i="95"/>
  <c r="AW82" i="95"/>
  <c r="AW38" i="95"/>
  <c r="AW30" i="95"/>
  <c r="AW70" i="95"/>
  <c r="AW97" i="95"/>
  <c r="AW13" i="95"/>
  <c r="AW19" i="95"/>
  <c r="AW25" i="95"/>
  <c r="AW20" i="95"/>
  <c r="AW12" i="95"/>
  <c r="AW24" i="95"/>
  <c r="AW56" i="95"/>
  <c r="AW48" i="95"/>
  <c r="AW63" i="95"/>
  <c r="AW52" i="95"/>
  <c r="AW93" i="95"/>
  <c r="AW89" i="95"/>
  <c r="AW95" i="95"/>
  <c r="AW90" i="95"/>
  <c r="AW31" i="95"/>
  <c r="AW57" i="95"/>
  <c r="AW37" i="95"/>
  <c r="AW36" i="95"/>
  <c r="AW88" i="95"/>
  <c r="AW51" i="95"/>
  <c r="AW75" i="95"/>
  <c r="AW40" i="95"/>
  <c r="AW73" i="95"/>
  <c r="AW64" i="95"/>
  <c r="AW83" i="95"/>
  <c r="AW85" i="95"/>
  <c r="AW84" i="95"/>
  <c r="AW53" i="95"/>
  <c r="AW45" i="95"/>
  <c r="AW41" i="95"/>
  <c r="AW92" i="95"/>
  <c r="AW47" i="95"/>
  <c r="AW74" i="95"/>
  <c r="AW67" i="95"/>
  <c r="AW91" i="95"/>
  <c r="AW94" i="95"/>
  <c r="AW61" i="95"/>
  <c r="AW55" i="95"/>
  <c r="AW44" i="95"/>
  <c r="AW96" i="95"/>
  <c r="AW62" i="95"/>
  <c r="AW86" i="95"/>
  <c r="AW69" i="95"/>
  <c r="AW72" i="95"/>
  <c r="AW35" i="95"/>
  <c r="AW18" i="95"/>
  <c r="AX8" i="95"/>
  <c r="AX91" i="95" s="1"/>
  <c r="AY7" i="95"/>
  <c r="AX19" i="95"/>
  <c r="AW17" i="95"/>
  <c r="AW42" i="95"/>
  <c r="AW29" i="95"/>
  <c r="AW46" i="95"/>
  <c r="AW50" i="95"/>
  <c r="AW80" i="95"/>
  <c r="AW68" i="95"/>
  <c r="AX46" i="95" l="1"/>
  <c r="AX48" i="95"/>
  <c r="AV19" i="59"/>
  <c r="AV44" i="59"/>
  <c r="AV92" i="59"/>
  <c r="AV52" i="59"/>
  <c r="AV24" i="59"/>
  <c r="AV78" i="59"/>
  <c r="AV62" i="59"/>
  <c r="AV20" i="59"/>
  <c r="AV86" i="59"/>
  <c r="AX17" i="95"/>
  <c r="AX59" i="95"/>
  <c r="AX61" i="95"/>
  <c r="AV25" i="59"/>
  <c r="AV49" i="59"/>
  <c r="AV14" i="59"/>
  <c r="AV23" i="59"/>
  <c r="AV34" i="59"/>
  <c r="AV45" i="59"/>
  <c r="AV73" i="59"/>
  <c r="AV59" i="59"/>
  <c r="AV67" i="59"/>
  <c r="AV95" i="59"/>
  <c r="AV29" i="59"/>
  <c r="AV18" i="59"/>
  <c r="AV36" i="59"/>
  <c r="AV50" i="59"/>
  <c r="AV57" i="59"/>
  <c r="AV70" i="59"/>
  <c r="AV66" i="59"/>
  <c r="AV77" i="59"/>
  <c r="AV89" i="59"/>
  <c r="AV30" i="59"/>
  <c r="AV41" i="59"/>
  <c r="AV35" i="59"/>
  <c r="AV61" i="59"/>
  <c r="AV53" i="59"/>
  <c r="AV60" i="59"/>
  <c r="AV75" i="59"/>
  <c r="AV69" i="59"/>
  <c r="AV80" i="59"/>
  <c r="AV97" i="59"/>
  <c r="AV12" i="59"/>
  <c r="AV16" i="59"/>
  <c r="AV17" i="59"/>
  <c r="AV31" i="59"/>
  <c r="AV56" i="59"/>
  <c r="AV64" i="59"/>
  <c r="AV74" i="59"/>
  <c r="AV72" i="59"/>
  <c r="AV83" i="59"/>
  <c r="AV94" i="59"/>
  <c r="AV22" i="59"/>
  <c r="AV27" i="59"/>
  <c r="AV26" i="59"/>
  <c r="AV40" i="59"/>
  <c r="AV58" i="59"/>
  <c r="AV63" i="59"/>
  <c r="AV55" i="59"/>
  <c r="AV79" i="59"/>
  <c r="AV81" i="59"/>
  <c r="AV91" i="59"/>
  <c r="AV11" i="59"/>
  <c r="AV28" i="59"/>
  <c r="AV38" i="59"/>
  <c r="AV33" i="59"/>
  <c r="AV37" i="59"/>
  <c r="AV68" i="59"/>
  <c r="AV47" i="59"/>
  <c r="AV84" i="59"/>
  <c r="AV82" i="59"/>
  <c r="AV93" i="59"/>
  <c r="AV88" i="59"/>
  <c r="AV13" i="59"/>
  <c r="AV39" i="59"/>
  <c r="AW8" i="59"/>
  <c r="AW97" i="59" s="1"/>
  <c r="AX7" i="59"/>
  <c r="AV46" i="59"/>
  <c r="AV42" i="59"/>
  <c r="AV48" i="59"/>
  <c r="AV71" i="59"/>
  <c r="AV51" i="59"/>
  <c r="AV85" i="59"/>
  <c r="AV90" i="59"/>
  <c r="AV77" i="113"/>
  <c r="AV68" i="113"/>
  <c r="AV81" i="113"/>
  <c r="AV78" i="113"/>
  <c r="AV75" i="113"/>
  <c r="AV91" i="113"/>
  <c r="AV51" i="113"/>
  <c r="AV53" i="113"/>
  <c r="AV26" i="113"/>
  <c r="AV69" i="113"/>
  <c r="AV58" i="113"/>
  <c r="AV83" i="113"/>
  <c r="AV84" i="113"/>
  <c r="AV88" i="113"/>
  <c r="AW91" i="113"/>
  <c r="AW94" i="113"/>
  <c r="AW79" i="113"/>
  <c r="AW88" i="113"/>
  <c r="AW93" i="113"/>
  <c r="AW83" i="113"/>
  <c r="AW61" i="113"/>
  <c r="AW66" i="113"/>
  <c r="AW58" i="113"/>
  <c r="AW71" i="113"/>
  <c r="AW68" i="113"/>
  <c r="AW38" i="113"/>
  <c r="AW29" i="113"/>
  <c r="AW78" i="113"/>
  <c r="AW48" i="113"/>
  <c r="AW51" i="113"/>
  <c r="AW40" i="113"/>
  <c r="AW34" i="113"/>
  <c r="AW20" i="113"/>
  <c r="AW8" i="113"/>
  <c r="AW97" i="113" s="1"/>
  <c r="AW14" i="113"/>
  <c r="AW24" i="113"/>
  <c r="AX7" i="113"/>
  <c r="AW15" i="113"/>
  <c r="AW25" i="113"/>
  <c r="AV33" i="113"/>
  <c r="AV24" i="113"/>
  <c r="AV31" i="113"/>
  <c r="AV64" i="113"/>
  <c r="AV35" i="113"/>
  <c r="AV55" i="113"/>
  <c r="AV67" i="113"/>
  <c r="AV93" i="113"/>
  <c r="AV86" i="113"/>
  <c r="AV96" i="113"/>
  <c r="AV44" i="113"/>
  <c r="AV63" i="113"/>
  <c r="AV74" i="113"/>
  <c r="AV85" i="113"/>
  <c r="AV95" i="113"/>
  <c r="AV14" i="113"/>
  <c r="AV34" i="113"/>
  <c r="AV30" i="113"/>
  <c r="AV39" i="113"/>
  <c r="AV38" i="113"/>
  <c r="AV40" i="113"/>
  <c r="AV59" i="113"/>
  <c r="AV80" i="113"/>
  <c r="AV73" i="113"/>
  <c r="AV92" i="113"/>
  <c r="AV13" i="113"/>
  <c r="AV29" i="113"/>
  <c r="AV48" i="113"/>
  <c r="AV47" i="113"/>
  <c r="AV49" i="113"/>
  <c r="AV56" i="113"/>
  <c r="AV57" i="113"/>
  <c r="AV82" i="113"/>
  <c r="AW44" i="111"/>
  <c r="AW59" i="111"/>
  <c r="AW57" i="111"/>
  <c r="AW79" i="111"/>
  <c r="AW64" i="111"/>
  <c r="AW81" i="111"/>
  <c r="AX97" i="111"/>
  <c r="AX79" i="111"/>
  <c r="AX82" i="111"/>
  <c r="AX71" i="111"/>
  <c r="AX73" i="111"/>
  <c r="AX67" i="111"/>
  <c r="AX86" i="111"/>
  <c r="AX55" i="111"/>
  <c r="AX31" i="111"/>
  <c r="AX28" i="111"/>
  <c r="AX8" i="111"/>
  <c r="AX89" i="111" s="1"/>
  <c r="AX51" i="111"/>
  <c r="AY7" i="111"/>
  <c r="AX15" i="111"/>
  <c r="AW37" i="111"/>
  <c r="AW92" i="111"/>
  <c r="AW77" i="111"/>
  <c r="AW85" i="111"/>
  <c r="AW71" i="111"/>
  <c r="AW86" i="111"/>
  <c r="AW14" i="111"/>
  <c r="AW20" i="111"/>
  <c r="AW42" i="111"/>
  <c r="AW28" i="111"/>
  <c r="AW39" i="111"/>
  <c r="AW36" i="111"/>
  <c r="AW78" i="111"/>
  <c r="AW88" i="111"/>
  <c r="AW74" i="111"/>
  <c r="AW95" i="111"/>
  <c r="AW24" i="111"/>
  <c r="AW35" i="111"/>
  <c r="AW13" i="111"/>
  <c r="AW41" i="111"/>
  <c r="AW50" i="111"/>
  <c r="AW62" i="111"/>
  <c r="AW80" i="111"/>
  <c r="AW70" i="111"/>
  <c r="AW96" i="111"/>
  <c r="AW89" i="111"/>
  <c r="AW25" i="111"/>
  <c r="AW46" i="111"/>
  <c r="AW48" i="111"/>
  <c r="AW93" i="111"/>
  <c r="AW52" i="111"/>
  <c r="AW63" i="111"/>
  <c r="AW83" i="111"/>
  <c r="AW38" i="111"/>
  <c r="AW67" i="111"/>
  <c r="AW97" i="111"/>
  <c r="AW40" i="111"/>
  <c r="AW55" i="111"/>
  <c r="AW49" i="111"/>
  <c r="AW45" i="111"/>
  <c r="AW22" i="111"/>
  <c r="AW72" i="111"/>
  <c r="AW73" i="111"/>
  <c r="AW58" i="111"/>
  <c r="AW47" i="111"/>
  <c r="AW75" i="111"/>
  <c r="AW94" i="111"/>
  <c r="AW11" i="111"/>
  <c r="AW15" i="111"/>
  <c r="AW66" i="111"/>
  <c r="AW33" i="111"/>
  <c r="AW30" i="111"/>
  <c r="AW51" i="111"/>
  <c r="AW53" i="111"/>
  <c r="AW61" i="111"/>
  <c r="AW56" i="111"/>
  <c r="AW84" i="111"/>
  <c r="AW96" i="109"/>
  <c r="AW77" i="109"/>
  <c r="AW49" i="109"/>
  <c r="AW63" i="109"/>
  <c r="AW8" i="109"/>
  <c r="AW91" i="109" s="1"/>
  <c r="AW13" i="109"/>
  <c r="AW41" i="109"/>
  <c r="AX7" i="109"/>
  <c r="AW15" i="109"/>
  <c r="AV80" i="109"/>
  <c r="AV89" i="109"/>
  <c r="AV29" i="109"/>
  <c r="AV41" i="109"/>
  <c r="AV48" i="109"/>
  <c r="AV63" i="109"/>
  <c r="AV84" i="109"/>
  <c r="AV71" i="109"/>
  <c r="AV73" i="109"/>
  <c r="AV94" i="109"/>
  <c r="AV14" i="109"/>
  <c r="AV55" i="109"/>
  <c r="AV72" i="109"/>
  <c r="AV78" i="109"/>
  <c r="AV82" i="109"/>
  <c r="AW71" i="107"/>
  <c r="AW95" i="107"/>
  <c r="AW11" i="107"/>
  <c r="AW27" i="107"/>
  <c r="AW74" i="107"/>
  <c r="AW23" i="107"/>
  <c r="AW47" i="107"/>
  <c r="AW48" i="107"/>
  <c r="AW45" i="107"/>
  <c r="AW70" i="107"/>
  <c r="AW83" i="107"/>
  <c r="AW89" i="107"/>
  <c r="AW52" i="107"/>
  <c r="AW22" i="107"/>
  <c r="AW20" i="107"/>
  <c r="AW40" i="107"/>
  <c r="AW59" i="107"/>
  <c r="AW57" i="107"/>
  <c r="AW33" i="107"/>
  <c r="AW72" i="107"/>
  <c r="AW82" i="107"/>
  <c r="AW97" i="107"/>
  <c r="AW37" i="107"/>
  <c r="AW34" i="107"/>
  <c r="AW44" i="107"/>
  <c r="AW85" i="107"/>
  <c r="AW61" i="107"/>
  <c r="AW41" i="107"/>
  <c r="AW96" i="107"/>
  <c r="AW81" i="107"/>
  <c r="AW94" i="107"/>
  <c r="AW16" i="107"/>
  <c r="AW24" i="107"/>
  <c r="AW35" i="107"/>
  <c r="AW58" i="107"/>
  <c r="AW79" i="107"/>
  <c r="AW64" i="107"/>
  <c r="AW50" i="107"/>
  <c r="AW77" i="107"/>
  <c r="AW93" i="107"/>
  <c r="AX90" i="107"/>
  <c r="AX77" i="107"/>
  <c r="AX56" i="107"/>
  <c r="AX57" i="107"/>
  <c r="AX53" i="107"/>
  <c r="AX55" i="107"/>
  <c r="AX26" i="107"/>
  <c r="AX44" i="107"/>
  <c r="AX15" i="107"/>
  <c r="AX8" i="107"/>
  <c r="AX94" i="107" s="1"/>
  <c r="AY7" i="107"/>
  <c r="AX11" i="107"/>
  <c r="AW14" i="105"/>
  <c r="AW28" i="105"/>
  <c r="AW30" i="105"/>
  <c r="AW48" i="105"/>
  <c r="AW44" i="105"/>
  <c r="AW58" i="105"/>
  <c r="AW96" i="105"/>
  <c r="AW80" i="105"/>
  <c r="AW72" i="105"/>
  <c r="AW89" i="105"/>
  <c r="AW26" i="105"/>
  <c r="AW52" i="105"/>
  <c r="AW38" i="105"/>
  <c r="AW31" i="105"/>
  <c r="AW56" i="105"/>
  <c r="AW73" i="105"/>
  <c r="AW57" i="105"/>
  <c r="AW64" i="105"/>
  <c r="AW81" i="105"/>
  <c r="AW97" i="105"/>
  <c r="AW47" i="105"/>
  <c r="AW34" i="105"/>
  <c r="AW13" i="105"/>
  <c r="AW12" i="105"/>
  <c r="AW39" i="105"/>
  <c r="AW67" i="105"/>
  <c r="AW83" i="105"/>
  <c r="AW66" i="105"/>
  <c r="AW77" i="105"/>
  <c r="AW88" i="105"/>
  <c r="AW94" i="105"/>
  <c r="AX97" i="105"/>
  <c r="AX89" i="105"/>
  <c r="AX93" i="105"/>
  <c r="AX81" i="105"/>
  <c r="AX72" i="105"/>
  <c r="AX85" i="105"/>
  <c r="AX80" i="105"/>
  <c r="AX79" i="105"/>
  <c r="AX62" i="105"/>
  <c r="AX96" i="105"/>
  <c r="AX69" i="105"/>
  <c r="AX73" i="105"/>
  <c r="AX58" i="105"/>
  <c r="AX53" i="105"/>
  <c r="AX64" i="105"/>
  <c r="AX78" i="105"/>
  <c r="AX67" i="105"/>
  <c r="AX56" i="105"/>
  <c r="AX44" i="105"/>
  <c r="AX42" i="105"/>
  <c r="AX28" i="105"/>
  <c r="AX46" i="105"/>
  <c r="AX34" i="105"/>
  <c r="AX24" i="105"/>
  <c r="AX15" i="105"/>
  <c r="AX50" i="105"/>
  <c r="AX36" i="105"/>
  <c r="AX18" i="105"/>
  <c r="AX8" i="105"/>
  <c r="AX92" i="105" s="1"/>
  <c r="AX16" i="105"/>
  <c r="AX51" i="105"/>
  <c r="AX39" i="105"/>
  <c r="AX31" i="105"/>
  <c r="AX13" i="105"/>
  <c r="AX27" i="105"/>
  <c r="AX14" i="105"/>
  <c r="AY7" i="105"/>
  <c r="AX45" i="105"/>
  <c r="AX29" i="105"/>
  <c r="AX19" i="105"/>
  <c r="AX40" i="105"/>
  <c r="AX17" i="105"/>
  <c r="AX11" i="105"/>
  <c r="AX12" i="105"/>
  <c r="AW20" i="105"/>
  <c r="AW45" i="105"/>
  <c r="AW40" i="105"/>
  <c r="AW62" i="105"/>
  <c r="AW71" i="105"/>
  <c r="AW85" i="105"/>
  <c r="AW78" i="105"/>
  <c r="AW91" i="105"/>
  <c r="AW17" i="105"/>
  <c r="AW42" i="105"/>
  <c r="AW18" i="105"/>
  <c r="AW37" i="105"/>
  <c r="AW51" i="105"/>
  <c r="AW49" i="105"/>
  <c r="AW63" i="105"/>
  <c r="AW75" i="105"/>
  <c r="AW82" i="105"/>
  <c r="AW90" i="105"/>
  <c r="AW27" i="105"/>
  <c r="AW53" i="105"/>
  <c r="AW22" i="105"/>
  <c r="AW41" i="105"/>
  <c r="AW25" i="105"/>
  <c r="AW46" i="105"/>
  <c r="AW70" i="105"/>
  <c r="AW59" i="105"/>
  <c r="AW93" i="105"/>
  <c r="AW86" i="105"/>
  <c r="AW15" i="105"/>
  <c r="AW33" i="105"/>
  <c r="AW36" i="105"/>
  <c r="AW61" i="105"/>
  <c r="AW60" i="105"/>
  <c r="AW68" i="105"/>
  <c r="AW79" i="105"/>
  <c r="AW95" i="103"/>
  <c r="AW75" i="103"/>
  <c r="AW78" i="103"/>
  <c r="AW96" i="103"/>
  <c r="AW92" i="103"/>
  <c r="AW17" i="103"/>
  <c r="AW19" i="103"/>
  <c r="AW53" i="103"/>
  <c r="AW39" i="103"/>
  <c r="AW52" i="103"/>
  <c r="AW67" i="103"/>
  <c r="AW62" i="103"/>
  <c r="AW81" i="103"/>
  <c r="AW84" i="103"/>
  <c r="AX97" i="103"/>
  <c r="AX90" i="103"/>
  <c r="AX88" i="103"/>
  <c r="AX80" i="103"/>
  <c r="AX77" i="103"/>
  <c r="AX74" i="103"/>
  <c r="AX69" i="103"/>
  <c r="AX81" i="103"/>
  <c r="AX49" i="103"/>
  <c r="AX38" i="103"/>
  <c r="AX53" i="103"/>
  <c r="AX41" i="103"/>
  <c r="AX51" i="103"/>
  <c r="AX39" i="103"/>
  <c r="AX30" i="103"/>
  <c r="AX26" i="103"/>
  <c r="AX16" i="103"/>
  <c r="AY7" i="103"/>
  <c r="AX25" i="103"/>
  <c r="AX23" i="103"/>
  <c r="AX18" i="103"/>
  <c r="AX8" i="103"/>
  <c r="AX89" i="103" s="1"/>
  <c r="AX13" i="103"/>
  <c r="AV12" i="101"/>
  <c r="AV23" i="101"/>
  <c r="AV31" i="101"/>
  <c r="AV62" i="101"/>
  <c r="AV48" i="101"/>
  <c r="AV47" i="101"/>
  <c r="AV61" i="101"/>
  <c r="AV74" i="101"/>
  <c r="AV90" i="101"/>
  <c r="AV97" i="101"/>
  <c r="AV36" i="101"/>
  <c r="AV42" i="101"/>
  <c r="AV25" i="101"/>
  <c r="AV77" i="101"/>
  <c r="AV52" i="101"/>
  <c r="AV58" i="101"/>
  <c r="AV73" i="101"/>
  <c r="AV84" i="101"/>
  <c r="AV91" i="101"/>
  <c r="AW94" i="101"/>
  <c r="AW92" i="101"/>
  <c r="AW95" i="101"/>
  <c r="AW88" i="101"/>
  <c r="AW93" i="101"/>
  <c r="AW85" i="101"/>
  <c r="AW73" i="101"/>
  <c r="AW75" i="101"/>
  <c r="AW63" i="101"/>
  <c r="AW84" i="101"/>
  <c r="AW52" i="101"/>
  <c r="AW70" i="101"/>
  <c r="AW47" i="101"/>
  <c r="AW57" i="101"/>
  <c r="AW50" i="101"/>
  <c r="AW51" i="101"/>
  <c r="AW35" i="101"/>
  <c r="AW34" i="101"/>
  <c r="AW28" i="101"/>
  <c r="AW31" i="101"/>
  <c r="AW40" i="101"/>
  <c r="AW33" i="101"/>
  <c r="AW30" i="101"/>
  <c r="AW20" i="101"/>
  <c r="AW48" i="101"/>
  <c r="AW18" i="101"/>
  <c r="AW14" i="101"/>
  <c r="AX7" i="101"/>
  <c r="AW12" i="101"/>
  <c r="AW8" i="101"/>
  <c r="AW86" i="101" s="1"/>
  <c r="AW15" i="101"/>
  <c r="AW26" i="101"/>
  <c r="AW13" i="101"/>
  <c r="AV26" i="101"/>
  <c r="AV14" i="101"/>
  <c r="AV22" i="101"/>
  <c r="AV53" i="101"/>
  <c r="AV35" i="101"/>
  <c r="AV57" i="101"/>
  <c r="AV49" i="101"/>
  <c r="AV72" i="101"/>
  <c r="AV81" i="101"/>
  <c r="AV86" i="101"/>
  <c r="AV96" i="101"/>
  <c r="AV24" i="101"/>
  <c r="AV18" i="101"/>
  <c r="AV27" i="101"/>
  <c r="AV29" i="101"/>
  <c r="AV45" i="101"/>
  <c r="AV66" i="101"/>
  <c r="AV56" i="101"/>
  <c r="AV63" i="101"/>
  <c r="AV85" i="101"/>
  <c r="AV95" i="101"/>
  <c r="AV15" i="101"/>
  <c r="AV41" i="101"/>
  <c r="AV33" i="101"/>
  <c r="AV55" i="101"/>
  <c r="AV30" i="101"/>
  <c r="AV71" i="101"/>
  <c r="AV64" i="101"/>
  <c r="AV60" i="101"/>
  <c r="AV82" i="101"/>
  <c r="AV15" i="99"/>
  <c r="AV19" i="99"/>
  <c r="AV30" i="99"/>
  <c r="AV23" i="99"/>
  <c r="AV41" i="99"/>
  <c r="AV68" i="99"/>
  <c r="AV60" i="99"/>
  <c r="AV72" i="99"/>
  <c r="AV71" i="99"/>
  <c r="AV94" i="99"/>
  <c r="AV42" i="99"/>
  <c r="AV20" i="99"/>
  <c r="AV47" i="99"/>
  <c r="AV31" i="99"/>
  <c r="AV48" i="99"/>
  <c r="AV85" i="99"/>
  <c r="AV63" i="99"/>
  <c r="AV81" i="99"/>
  <c r="AV80" i="99"/>
  <c r="AV91" i="99"/>
  <c r="AV13" i="99"/>
  <c r="AV25" i="99"/>
  <c r="AV29" i="99"/>
  <c r="AV27" i="99"/>
  <c r="AV37" i="99"/>
  <c r="AV57" i="99"/>
  <c r="AV49" i="99"/>
  <c r="AV82" i="99"/>
  <c r="AV69" i="99"/>
  <c r="AV90" i="99"/>
  <c r="AV88" i="99"/>
  <c r="AV12" i="99"/>
  <c r="AV34" i="99"/>
  <c r="AV52" i="99"/>
  <c r="AV40" i="99"/>
  <c r="AV46" i="99"/>
  <c r="AV50" i="99"/>
  <c r="AV58" i="99"/>
  <c r="AV70" i="99"/>
  <c r="AV78" i="99"/>
  <c r="AV86" i="99"/>
  <c r="AV96" i="99"/>
  <c r="AV18" i="99"/>
  <c r="AV17" i="99"/>
  <c r="AV16" i="99"/>
  <c r="AV53" i="99"/>
  <c r="AV77" i="99"/>
  <c r="AV62" i="99"/>
  <c r="AV73" i="99"/>
  <c r="AV79" i="99"/>
  <c r="AV93" i="99"/>
  <c r="AV95" i="99"/>
  <c r="AX7" i="99"/>
  <c r="AW8" i="99"/>
  <c r="AW92" i="99" s="1"/>
  <c r="AV24" i="99"/>
  <c r="AV61" i="99"/>
  <c r="AV36" i="99"/>
  <c r="AV35" i="99"/>
  <c r="AV55" i="99"/>
  <c r="AV67" i="99"/>
  <c r="AV66" i="99"/>
  <c r="AV92" i="99"/>
  <c r="AV22" i="99"/>
  <c r="AV14" i="99"/>
  <c r="AV28" i="99"/>
  <c r="AV26" i="99"/>
  <c r="AV45" i="99"/>
  <c r="AV44" i="99"/>
  <c r="AV64" i="99"/>
  <c r="AV75" i="99"/>
  <c r="AV74" i="99"/>
  <c r="AV24" i="97"/>
  <c r="AV22" i="97"/>
  <c r="AV20" i="97"/>
  <c r="AV26" i="97"/>
  <c r="AV42" i="97"/>
  <c r="AV50" i="97"/>
  <c r="AV66" i="97"/>
  <c r="AV73" i="97"/>
  <c r="AV93" i="97"/>
  <c r="AV89" i="97"/>
  <c r="AW92" i="97"/>
  <c r="AW95" i="97"/>
  <c r="AW66" i="97"/>
  <c r="AW78" i="97"/>
  <c r="AW67" i="97"/>
  <c r="AW73" i="97"/>
  <c r="AW55" i="97"/>
  <c r="AW53" i="97"/>
  <c r="AW47" i="97"/>
  <c r="AW79" i="97"/>
  <c r="AW35" i="97"/>
  <c r="AW46" i="97"/>
  <c r="AW26" i="97"/>
  <c r="AW17" i="97"/>
  <c r="AW24" i="97"/>
  <c r="AW15" i="97"/>
  <c r="AW14" i="97"/>
  <c r="AW33" i="97"/>
  <c r="AW27" i="97"/>
  <c r="AW22" i="97"/>
  <c r="AX7" i="97"/>
  <c r="AW19" i="97"/>
  <c r="AW8" i="97"/>
  <c r="AW86" i="97" s="1"/>
  <c r="AV77" i="97"/>
  <c r="AV29" i="97"/>
  <c r="AV31" i="97"/>
  <c r="AV14" i="97"/>
  <c r="AV45" i="97"/>
  <c r="AV85" i="97"/>
  <c r="AV70" i="97"/>
  <c r="AV62" i="97"/>
  <c r="AV71" i="97"/>
  <c r="AV94" i="97"/>
  <c r="AV16" i="97"/>
  <c r="AV37" i="97"/>
  <c r="AV36" i="97"/>
  <c r="AV23" i="97"/>
  <c r="AV55" i="97"/>
  <c r="AV44" i="97"/>
  <c r="AV74" i="97"/>
  <c r="AV68" i="97"/>
  <c r="AV80" i="97"/>
  <c r="AV91" i="97"/>
  <c r="AV17" i="97"/>
  <c r="AV25" i="97"/>
  <c r="AV13" i="97"/>
  <c r="AV75" i="97"/>
  <c r="AV27" i="97"/>
  <c r="AV34" i="97"/>
  <c r="AV52" i="97"/>
  <c r="AV60" i="97"/>
  <c r="AV72" i="97"/>
  <c r="AV90" i="97"/>
  <c r="AV88" i="97"/>
  <c r="AV35" i="97"/>
  <c r="AV18" i="97"/>
  <c r="AV79" i="97"/>
  <c r="AV39" i="97"/>
  <c r="AV30" i="97"/>
  <c r="AV41" i="97"/>
  <c r="AV63" i="97"/>
  <c r="AV64" i="97"/>
  <c r="AV81" i="97"/>
  <c r="AV86" i="97"/>
  <c r="AV96" i="97"/>
  <c r="AV19" i="97"/>
  <c r="AV11" i="97"/>
  <c r="AV84" i="97"/>
  <c r="AV48" i="97"/>
  <c r="AV46" i="97"/>
  <c r="AV56" i="97"/>
  <c r="AV49" i="97"/>
  <c r="AV82" i="97"/>
  <c r="AV69" i="97"/>
  <c r="AV95" i="97"/>
  <c r="AV15" i="97"/>
  <c r="AV12" i="97"/>
  <c r="AV51" i="97"/>
  <c r="AV47" i="97"/>
  <c r="AV58" i="97"/>
  <c r="AV59" i="97"/>
  <c r="AV57" i="97"/>
  <c r="AV78" i="97"/>
  <c r="AX11" i="95"/>
  <c r="AX49" i="95"/>
  <c r="AX88" i="95"/>
  <c r="AX62" i="95"/>
  <c r="AX27" i="95"/>
  <c r="AX85" i="95"/>
  <c r="AX82" i="95"/>
  <c r="AX36" i="95"/>
  <c r="AX38" i="95"/>
  <c r="AX28" i="95"/>
  <c r="AX30" i="95"/>
  <c r="AX64" i="95"/>
  <c r="AX97" i="95"/>
  <c r="AX22" i="95"/>
  <c r="AX37" i="95"/>
  <c r="AX33" i="95"/>
  <c r="AX20" i="95"/>
  <c r="AX29" i="95"/>
  <c r="AX94" i="95"/>
  <c r="AX44" i="95"/>
  <c r="AX68" i="95"/>
  <c r="AX39" i="95"/>
  <c r="AX81" i="95"/>
  <c r="AX79" i="95"/>
  <c r="AX90" i="95"/>
  <c r="AX80" i="95"/>
  <c r="AX93" i="95"/>
  <c r="AX24" i="95"/>
  <c r="AX34" i="95"/>
  <c r="AX25" i="95"/>
  <c r="AZ7" i="95"/>
  <c r="AY8" i="95"/>
  <c r="AY92" i="95" s="1"/>
  <c r="AX51" i="95"/>
  <c r="AX40" i="95"/>
  <c r="AX35" i="95"/>
  <c r="AX50" i="95"/>
  <c r="AX52" i="95"/>
  <c r="AX72" i="95"/>
  <c r="AX57" i="95"/>
  <c r="AX92" i="95"/>
  <c r="AX86" i="95"/>
  <c r="AX58" i="95"/>
  <c r="AX41" i="95"/>
  <c r="AX45" i="95"/>
  <c r="AX78" i="95"/>
  <c r="AX53" i="95"/>
  <c r="AX83" i="95"/>
  <c r="AX63" i="95"/>
  <c r="AX95" i="95"/>
  <c r="AX89" i="95"/>
  <c r="AX12" i="95"/>
  <c r="AX13" i="95"/>
  <c r="AX31" i="95"/>
  <c r="AX16" i="95"/>
  <c r="AX66" i="95"/>
  <c r="AX60" i="95"/>
  <c r="AX47" i="95"/>
  <c r="AX70" i="95"/>
  <c r="AX56" i="95"/>
  <c r="AX71" i="95"/>
  <c r="AX69" i="95"/>
  <c r="AX84" i="95"/>
  <c r="AX26" i="95"/>
  <c r="AX14" i="95"/>
  <c r="AX15" i="95"/>
  <c r="AX18" i="95"/>
  <c r="AX23" i="95"/>
  <c r="AX74" i="95"/>
  <c r="AX42" i="95"/>
  <c r="AX55" i="95"/>
  <c r="AX96" i="95"/>
  <c r="AX77" i="95"/>
  <c r="AX67" i="95"/>
  <c r="AX73" i="95"/>
  <c r="AX75" i="95"/>
  <c r="AW24" i="59" l="1"/>
  <c r="AW63" i="59"/>
  <c r="AW75" i="59"/>
  <c r="AW27" i="59"/>
  <c r="AW11" i="59"/>
  <c r="AW18" i="59"/>
  <c r="AW22" i="59"/>
  <c r="AW78" i="59"/>
  <c r="AW85" i="59"/>
  <c r="AW19" i="59"/>
  <c r="AW29" i="59"/>
  <c r="AW33" i="59"/>
  <c r="AW61" i="59"/>
  <c r="AW12" i="59"/>
  <c r="AW23" i="59"/>
  <c r="AW52" i="59"/>
  <c r="AW70" i="59"/>
  <c r="AW14" i="59"/>
  <c r="AW36" i="59"/>
  <c r="AW16" i="59"/>
  <c r="AW31" i="59"/>
  <c r="AW64" i="59"/>
  <c r="AW77" i="59"/>
  <c r="AW25" i="59"/>
  <c r="AW30" i="59"/>
  <c r="AW48" i="59"/>
  <c r="AW72" i="59"/>
  <c r="AW91" i="59"/>
  <c r="AW53" i="59"/>
  <c r="AW45" i="59"/>
  <c r="AW41" i="59"/>
  <c r="AW40" i="59"/>
  <c r="AW74" i="59"/>
  <c r="AW58" i="59"/>
  <c r="AW93" i="59"/>
  <c r="AW34" i="59"/>
  <c r="AW17" i="59"/>
  <c r="AW28" i="59"/>
  <c r="AW60" i="59"/>
  <c r="AW73" i="59"/>
  <c r="AW86" i="59"/>
  <c r="AW95" i="59"/>
  <c r="AW13" i="59"/>
  <c r="AW38" i="59"/>
  <c r="AW35" i="59"/>
  <c r="AW66" i="59"/>
  <c r="AW62" i="59"/>
  <c r="AW56" i="59"/>
  <c r="AW96" i="59"/>
  <c r="AW88" i="59"/>
  <c r="AW94" i="59"/>
  <c r="AW90" i="59"/>
  <c r="AW47" i="59"/>
  <c r="AW39" i="59"/>
  <c r="AW46" i="59"/>
  <c r="AW37" i="59"/>
  <c r="AW57" i="59"/>
  <c r="AW67" i="59"/>
  <c r="AW79" i="59"/>
  <c r="AW80" i="59"/>
  <c r="AW92" i="59"/>
  <c r="AX8" i="59"/>
  <c r="AX90" i="59" s="1"/>
  <c r="AY7" i="59"/>
  <c r="AW69" i="59"/>
  <c r="AW44" i="59"/>
  <c r="AW51" i="59"/>
  <c r="AW42" i="59"/>
  <c r="AW59" i="59"/>
  <c r="AW68" i="59"/>
  <c r="AW55" i="59"/>
  <c r="AW83" i="59"/>
  <c r="AW89" i="59"/>
  <c r="AW15" i="59"/>
  <c r="AW50" i="59"/>
  <c r="AW20" i="59"/>
  <c r="AW26" i="59"/>
  <c r="AW49" i="59"/>
  <c r="AW81" i="59"/>
  <c r="AW71" i="59"/>
  <c r="AW82" i="59"/>
  <c r="AW84" i="59"/>
  <c r="AX94" i="113"/>
  <c r="AX92" i="113"/>
  <c r="AX90" i="113"/>
  <c r="AX93" i="113"/>
  <c r="AX88" i="113"/>
  <c r="AX82" i="113"/>
  <c r="AX85" i="113"/>
  <c r="AX77" i="113"/>
  <c r="AX80" i="113"/>
  <c r="AX91" i="113"/>
  <c r="AX83" i="113"/>
  <c r="AX84" i="113"/>
  <c r="AX63" i="113"/>
  <c r="AX81" i="113"/>
  <c r="AX64" i="113"/>
  <c r="AX75" i="113"/>
  <c r="AX96" i="113"/>
  <c r="AX62" i="113"/>
  <c r="AX67" i="113"/>
  <c r="AX53" i="113"/>
  <c r="AX71" i="113"/>
  <c r="AX68" i="113"/>
  <c r="AX74" i="113"/>
  <c r="AX60" i="113"/>
  <c r="AX59" i="113"/>
  <c r="AX58" i="113"/>
  <c r="AX47" i="113"/>
  <c r="AX38" i="113"/>
  <c r="AX57" i="113"/>
  <c r="AX52" i="113"/>
  <c r="AX33" i="113"/>
  <c r="AX45" i="113"/>
  <c r="AX78" i="113"/>
  <c r="AX66" i="113"/>
  <c r="AX48" i="113"/>
  <c r="AX51" i="113"/>
  <c r="AX34" i="113"/>
  <c r="AX25" i="113"/>
  <c r="AX31" i="113"/>
  <c r="AX49" i="113"/>
  <c r="AX40" i="113"/>
  <c r="AX36" i="113"/>
  <c r="AX28" i="113"/>
  <c r="AX46" i="113"/>
  <c r="AX26" i="113"/>
  <c r="AX24" i="113"/>
  <c r="AX37" i="113"/>
  <c r="AX29" i="113"/>
  <c r="AX13" i="113"/>
  <c r="AX20" i="113"/>
  <c r="AX39" i="113"/>
  <c r="AX35" i="113"/>
  <c r="AX22" i="113"/>
  <c r="AX55" i="113"/>
  <c r="AX44" i="113"/>
  <c r="AX27" i="113"/>
  <c r="AX18" i="113"/>
  <c r="AX8" i="113"/>
  <c r="AX97" i="113" s="1"/>
  <c r="AX30" i="113"/>
  <c r="AX14" i="113"/>
  <c r="AX11" i="113"/>
  <c r="AX17" i="113"/>
  <c r="AY7" i="113"/>
  <c r="AX15" i="113"/>
  <c r="AX19" i="113"/>
  <c r="AX12" i="113"/>
  <c r="AW13" i="113"/>
  <c r="AW55" i="113"/>
  <c r="AW22" i="113"/>
  <c r="AW53" i="113"/>
  <c r="AW72" i="113"/>
  <c r="AW59" i="113"/>
  <c r="AW70" i="113"/>
  <c r="AW80" i="113"/>
  <c r="AW86" i="113"/>
  <c r="AW18" i="113"/>
  <c r="AW23" i="113"/>
  <c r="AW33" i="113"/>
  <c r="AW27" i="113"/>
  <c r="AW64" i="113"/>
  <c r="AW44" i="113"/>
  <c r="AW67" i="113"/>
  <c r="AW81" i="113"/>
  <c r="AW77" i="113"/>
  <c r="AW95" i="113"/>
  <c r="AW31" i="113"/>
  <c r="AW47" i="113"/>
  <c r="AW90" i="113"/>
  <c r="AW42" i="113"/>
  <c r="AW46" i="113"/>
  <c r="AW19" i="113"/>
  <c r="AW35" i="113"/>
  <c r="AW41" i="113"/>
  <c r="AW56" i="113"/>
  <c r="AW75" i="113"/>
  <c r="AW60" i="113"/>
  <c r="AW85" i="113"/>
  <c r="AW92" i="113"/>
  <c r="AW11" i="113"/>
  <c r="AW26" i="113"/>
  <c r="AW28" i="113"/>
  <c r="AW30" i="113"/>
  <c r="AW50" i="113"/>
  <c r="AW49" i="113"/>
  <c r="AW62" i="113"/>
  <c r="AW69" i="113"/>
  <c r="AW73" i="113"/>
  <c r="AW89" i="113"/>
  <c r="AW12" i="113"/>
  <c r="AW37" i="113"/>
  <c r="AW45" i="113"/>
  <c r="AW63" i="113"/>
  <c r="AW96" i="113"/>
  <c r="AW17" i="113"/>
  <c r="AW16" i="113"/>
  <c r="AW36" i="113"/>
  <c r="AW39" i="113"/>
  <c r="AW57" i="113"/>
  <c r="AW74" i="113"/>
  <c r="AW52" i="113"/>
  <c r="AW84" i="113"/>
  <c r="AW82" i="113"/>
  <c r="AX26" i="111"/>
  <c r="AX17" i="111"/>
  <c r="AX11" i="111"/>
  <c r="AX34" i="111"/>
  <c r="AX48" i="111"/>
  <c r="AX40" i="111"/>
  <c r="AX53" i="111"/>
  <c r="AX78" i="111"/>
  <c r="AX41" i="111"/>
  <c r="AX84" i="111"/>
  <c r="AX33" i="111"/>
  <c r="AX91" i="111"/>
  <c r="AX29" i="111"/>
  <c r="AX20" i="111"/>
  <c r="AX24" i="111"/>
  <c r="AX36" i="111"/>
  <c r="AX47" i="111"/>
  <c r="AX44" i="111"/>
  <c r="AX57" i="111"/>
  <c r="AX80" i="111"/>
  <c r="AX50" i="111"/>
  <c r="AX93" i="111"/>
  <c r="AX37" i="111"/>
  <c r="AX77" i="111"/>
  <c r="AX12" i="111"/>
  <c r="AX35" i="111"/>
  <c r="AX13" i="111"/>
  <c r="AX42" i="111"/>
  <c r="AX45" i="111"/>
  <c r="AX60" i="111"/>
  <c r="AX75" i="111"/>
  <c r="AX83" i="111"/>
  <c r="AX59" i="111"/>
  <c r="AX90" i="111"/>
  <c r="AX18" i="111"/>
  <c r="AX69" i="111"/>
  <c r="AX88" i="111"/>
  <c r="AX14" i="111"/>
  <c r="AX46" i="111"/>
  <c r="AX27" i="111"/>
  <c r="AX22" i="111"/>
  <c r="AX52" i="111"/>
  <c r="AX74" i="111"/>
  <c r="AX62" i="111"/>
  <c r="AX58" i="111"/>
  <c r="AX81" i="111"/>
  <c r="AX95" i="111"/>
  <c r="AY97" i="111"/>
  <c r="AY88" i="111"/>
  <c r="AY91" i="111"/>
  <c r="AY53" i="111"/>
  <c r="AY45" i="111"/>
  <c r="AY81" i="111"/>
  <c r="AY72" i="111"/>
  <c r="AY70" i="111"/>
  <c r="AY55" i="111"/>
  <c r="AY68" i="111"/>
  <c r="AY74" i="111"/>
  <c r="AY42" i="111"/>
  <c r="AY47" i="111"/>
  <c r="AY19" i="111"/>
  <c r="AY26" i="111"/>
  <c r="AY33" i="111"/>
  <c r="AZ7" i="111"/>
  <c r="AY11" i="111"/>
  <c r="AY35" i="111"/>
  <c r="AY14" i="111"/>
  <c r="AY13" i="111"/>
  <c r="AY18" i="111"/>
  <c r="AY27" i="111"/>
  <c r="AY37" i="111"/>
  <c r="AY8" i="111"/>
  <c r="AY89" i="111" s="1"/>
  <c r="AY31" i="111"/>
  <c r="AY30" i="111"/>
  <c r="AY22" i="111"/>
  <c r="AX19" i="111"/>
  <c r="AX39" i="111"/>
  <c r="AX30" i="111"/>
  <c r="AX56" i="111"/>
  <c r="AX96" i="111"/>
  <c r="AX66" i="111"/>
  <c r="AX61" i="111"/>
  <c r="AX85" i="111"/>
  <c r="AX92" i="111"/>
  <c r="AX25" i="111"/>
  <c r="AX94" i="111"/>
  <c r="AX38" i="111"/>
  <c r="AX16" i="111"/>
  <c r="AX23" i="111"/>
  <c r="AX49" i="111"/>
  <c r="AX68" i="111"/>
  <c r="AX63" i="111"/>
  <c r="AX72" i="111"/>
  <c r="AX64" i="111"/>
  <c r="AX70" i="111"/>
  <c r="AW58" i="109"/>
  <c r="AW19" i="109"/>
  <c r="AW23" i="109"/>
  <c r="AW66" i="109"/>
  <c r="AW60" i="109"/>
  <c r="AW17" i="109"/>
  <c r="AW47" i="109"/>
  <c r="AW74" i="109"/>
  <c r="AW64" i="109"/>
  <c r="AW86" i="109"/>
  <c r="AW59" i="109"/>
  <c r="AW55" i="109"/>
  <c r="AW57" i="109"/>
  <c r="AW93" i="109"/>
  <c r="AW12" i="109"/>
  <c r="AW16" i="109"/>
  <c r="AW25" i="109"/>
  <c r="AW73" i="109"/>
  <c r="AW69" i="109"/>
  <c r="AW26" i="109"/>
  <c r="AW52" i="109"/>
  <c r="AW75" i="109"/>
  <c r="AW68" i="109"/>
  <c r="AW95" i="109"/>
  <c r="AW42" i="109"/>
  <c r="AW14" i="109"/>
  <c r="AW31" i="109"/>
  <c r="AW18" i="109"/>
  <c r="AW72" i="109"/>
  <c r="AW44" i="109"/>
  <c r="AW88" i="109"/>
  <c r="AW56" i="109"/>
  <c r="AW80" i="109"/>
  <c r="AW89" i="109"/>
  <c r="AW30" i="109"/>
  <c r="AW39" i="109"/>
  <c r="AW92" i="109"/>
  <c r="AX89" i="109"/>
  <c r="AX62" i="109"/>
  <c r="AX86" i="109"/>
  <c r="AX63" i="109"/>
  <c r="AX66" i="109"/>
  <c r="AX29" i="109"/>
  <c r="AX57" i="109"/>
  <c r="AX30" i="109"/>
  <c r="AX40" i="109"/>
  <c r="AX70" i="109"/>
  <c r="AX14" i="109"/>
  <c r="AY7" i="109"/>
  <c r="AX16" i="109"/>
  <c r="AX8" i="109"/>
  <c r="AX92" i="109" s="1"/>
  <c r="AW22" i="109"/>
  <c r="AW53" i="109"/>
  <c r="AW27" i="109"/>
  <c r="AW20" i="109"/>
  <c r="AW45" i="109"/>
  <c r="AW70" i="109"/>
  <c r="AW61" i="109"/>
  <c r="AW83" i="109"/>
  <c r="AW97" i="109"/>
  <c r="AW35" i="109"/>
  <c r="AW81" i="109"/>
  <c r="AW24" i="109"/>
  <c r="AW11" i="109"/>
  <c r="AW34" i="109"/>
  <c r="AW90" i="109"/>
  <c r="AW36" i="109"/>
  <c r="AW29" i="109"/>
  <c r="AW48" i="109"/>
  <c r="AW78" i="109"/>
  <c r="AW67" i="109"/>
  <c r="AW85" i="109"/>
  <c r="AW94" i="109"/>
  <c r="AW33" i="109"/>
  <c r="AW71" i="109"/>
  <c r="AW62" i="109"/>
  <c r="AW50" i="109"/>
  <c r="AW37" i="109"/>
  <c r="AW40" i="109"/>
  <c r="AW28" i="109"/>
  <c r="AW46" i="109"/>
  <c r="AW38" i="109"/>
  <c r="AW51" i="109"/>
  <c r="AW79" i="109"/>
  <c r="AW84" i="109"/>
  <c r="AW82" i="109"/>
  <c r="AX12" i="107"/>
  <c r="AX58" i="107"/>
  <c r="AX33" i="107"/>
  <c r="AX17" i="107"/>
  <c r="AX35" i="107"/>
  <c r="AX51" i="107"/>
  <c r="AX48" i="107"/>
  <c r="AX68" i="107"/>
  <c r="AX80" i="107"/>
  <c r="AX93" i="107"/>
  <c r="AX14" i="107"/>
  <c r="AX18" i="107"/>
  <c r="AX24" i="107"/>
  <c r="AX28" i="107"/>
  <c r="AX38" i="107"/>
  <c r="AX60" i="107"/>
  <c r="AX69" i="107"/>
  <c r="AX78" i="107"/>
  <c r="AX85" i="107"/>
  <c r="AX86" i="107"/>
  <c r="AX13" i="107"/>
  <c r="AX19" i="107"/>
  <c r="AX31" i="107"/>
  <c r="AX40" i="107"/>
  <c r="AX42" i="107"/>
  <c r="AX62" i="107"/>
  <c r="AX36" i="107"/>
  <c r="AX81" i="107"/>
  <c r="AX75" i="107"/>
  <c r="AX95" i="107"/>
  <c r="AX22" i="107"/>
  <c r="AX37" i="107"/>
  <c r="AX49" i="107"/>
  <c r="AX52" i="107"/>
  <c r="AX41" i="107"/>
  <c r="AX63" i="107"/>
  <c r="AX45" i="107"/>
  <c r="AX82" i="107"/>
  <c r="AX84" i="107"/>
  <c r="AX92" i="107"/>
  <c r="AX73" i="107"/>
  <c r="AX25" i="107"/>
  <c r="AX20" i="107"/>
  <c r="AX70" i="107"/>
  <c r="AX46" i="107"/>
  <c r="AX67" i="107"/>
  <c r="AX59" i="107"/>
  <c r="AX72" i="107"/>
  <c r="AX91" i="107"/>
  <c r="AX89" i="107"/>
  <c r="AY8" i="107"/>
  <c r="AY93" i="107" s="1"/>
  <c r="AZ7" i="107"/>
  <c r="AX27" i="107"/>
  <c r="AX34" i="107"/>
  <c r="AX79" i="107"/>
  <c r="AX47" i="107"/>
  <c r="AX30" i="107"/>
  <c r="AX61" i="107"/>
  <c r="AX66" i="107"/>
  <c r="AX88" i="107"/>
  <c r="AX97" i="107"/>
  <c r="AX23" i="107"/>
  <c r="AX16" i="107"/>
  <c r="AX29" i="107"/>
  <c r="AX50" i="107"/>
  <c r="AX83" i="107"/>
  <c r="AX71" i="107"/>
  <c r="AX39" i="107"/>
  <c r="AX64" i="107"/>
  <c r="AX74" i="107"/>
  <c r="AX96" i="107"/>
  <c r="AY97" i="105"/>
  <c r="AY95" i="105"/>
  <c r="AY86" i="105"/>
  <c r="AY93" i="105"/>
  <c r="AY96" i="105"/>
  <c r="AY88" i="105"/>
  <c r="AY79" i="105"/>
  <c r="AY91" i="105"/>
  <c r="AY80" i="105"/>
  <c r="AY94" i="105"/>
  <c r="AY83" i="105"/>
  <c r="AY62" i="105"/>
  <c r="AY66" i="105"/>
  <c r="AY81" i="105"/>
  <c r="AY69" i="105"/>
  <c r="AY82" i="105"/>
  <c r="AY67" i="105"/>
  <c r="AY58" i="105"/>
  <c r="AY64" i="105"/>
  <c r="AY56" i="105"/>
  <c r="AY68" i="105"/>
  <c r="AY78" i="105"/>
  <c r="AY70" i="105"/>
  <c r="AY44" i="105"/>
  <c r="AY47" i="105"/>
  <c r="AY38" i="105"/>
  <c r="AY59" i="105"/>
  <c r="AY77" i="105"/>
  <c r="AY55" i="105"/>
  <c r="AY53" i="105"/>
  <c r="AY48" i="105"/>
  <c r="AY51" i="105"/>
  <c r="AY45" i="105"/>
  <c r="AY29" i="105"/>
  <c r="AY49" i="105"/>
  <c r="AY36" i="105"/>
  <c r="AY37" i="105"/>
  <c r="AY30" i="105"/>
  <c r="AY25" i="105"/>
  <c r="AY8" i="105"/>
  <c r="AY89" i="105" s="1"/>
  <c r="AY22" i="105"/>
  <c r="AY13" i="105"/>
  <c r="AY40" i="105"/>
  <c r="AY19" i="105"/>
  <c r="AY27" i="105"/>
  <c r="AY26" i="105"/>
  <c r="AY16" i="105"/>
  <c r="AY33" i="105"/>
  <c r="AY11" i="105"/>
  <c r="AY60" i="105"/>
  <c r="AY42" i="105"/>
  <c r="AY17" i="105"/>
  <c r="AY46" i="105"/>
  <c r="AY34" i="105"/>
  <c r="AY20" i="105"/>
  <c r="AY14" i="105"/>
  <c r="AY35" i="105"/>
  <c r="AY23" i="105"/>
  <c r="AY15" i="105"/>
  <c r="AY28" i="105"/>
  <c r="AY24" i="105"/>
  <c r="AZ7" i="105"/>
  <c r="AY12" i="105"/>
  <c r="AX66" i="105"/>
  <c r="AX77" i="105"/>
  <c r="AX88" i="105"/>
  <c r="AX94" i="105"/>
  <c r="AX20" i="105"/>
  <c r="AX23" i="105"/>
  <c r="AX26" i="105"/>
  <c r="AX48" i="105"/>
  <c r="AX57" i="105"/>
  <c r="AX49" i="105"/>
  <c r="AX83" i="105"/>
  <c r="AX71" i="105"/>
  <c r="AX82" i="105"/>
  <c r="AX90" i="105"/>
  <c r="AX30" i="105"/>
  <c r="AX38" i="105"/>
  <c r="AX70" i="105"/>
  <c r="AX55" i="105"/>
  <c r="AX59" i="105"/>
  <c r="AX91" i="105"/>
  <c r="AX86" i="105"/>
  <c r="AX37" i="105"/>
  <c r="AX47" i="105"/>
  <c r="AX52" i="105"/>
  <c r="AX63" i="105"/>
  <c r="AX68" i="105"/>
  <c r="AX75" i="105"/>
  <c r="AX95" i="105"/>
  <c r="AX33" i="105"/>
  <c r="AX22" i="105"/>
  <c r="AX25" i="105"/>
  <c r="AX41" i="105"/>
  <c r="AX35" i="105"/>
  <c r="AX61" i="105"/>
  <c r="AX60" i="105"/>
  <c r="AX74" i="105"/>
  <c r="AX84" i="105"/>
  <c r="AX20" i="103"/>
  <c r="AX31" i="103"/>
  <c r="AX29" i="103"/>
  <c r="AX27" i="103"/>
  <c r="AX57" i="103"/>
  <c r="AX55" i="103"/>
  <c r="AX58" i="103"/>
  <c r="AX72" i="103"/>
  <c r="AX78" i="103"/>
  <c r="AX96" i="103"/>
  <c r="AX94" i="103"/>
  <c r="AX17" i="103"/>
  <c r="AX48" i="103"/>
  <c r="AX33" i="103"/>
  <c r="AX60" i="103"/>
  <c r="AX50" i="103"/>
  <c r="AX61" i="103"/>
  <c r="AX66" i="103"/>
  <c r="AX83" i="103"/>
  <c r="AX93" i="103"/>
  <c r="AX24" i="103"/>
  <c r="AY92" i="103"/>
  <c r="AY96" i="103"/>
  <c r="AY82" i="103"/>
  <c r="AY78" i="103"/>
  <c r="AY71" i="103"/>
  <c r="AY75" i="103"/>
  <c r="AY70" i="103"/>
  <c r="AY73" i="103"/>
  <c r="AY52" i="103"/>
  <c r="AY44" i="103"/>
  <c r="AY62" i="103"/>
  <c r="AY41" i="103"/>
  <c r="AY48" i="103"/>
  <c r="AY45" i="103"/>
  <c r="AY49" i="103"/>
  <c r="AY51" i="103"/>
  <c r="AY36" i="103"/>
  <c r="AY42" i="103"/>
  <c r="AY72" i="103"/>
  <c r="AY25" i="103"/>
  <c r="AY31" i="103"/>
  <c r="AY56" i="103"/>
  <c r="AY35" i="103"/>
  <c r="AY29" i="103"/>
  <c r="AY67" i="103"/>
  <c r="AY14" i="103"/>
  <c r="AZ7" i="103"/>
  <c r="AY22" i="103"/>
  <c r="AY17" i="103"/>
  <c r="AY34" i="103"/>
  <c r="AY28" i="103"/>
  <c r="AY39" i="103"/>
  <c r="AY15" i="103"/>
  <c r="AY24" i="103"/>
  <c r="AY18" i="103"/>
  <c r="AY8" i="103"/>
  <c r="AY95" i="103" s="1"/>
  <c r="AY33" i="103"/>
  <c r="AY27" i="103"/>
  <c r="AY13" i="103"/>
  <c r="AY16" i="103"/>
  <c r="AY11" i="103"/>
  <c r="AX19" i="103"/>
  <c r="AX42" i="103"/>
  <c r="AX35" i="103"/>
  <c r="AX47" i="103"/>
  <c r="AX70" i="103"/>
  <c r="AX62" i="103"/>
  <c r="AX85" i="103"/>
  <c r="AX86" i="103"/>
  <c r="AX15" i="103"/>
  <c r="AX14" i="103"/>
  <c r="AX28" i="103"/>
  <c r="AX44" i="103"/>
  <c r="AX56" i="103"/>
  <c r="AX52" i="103"/>
  <c r="AX75" i="103"/>
  <c r="AX71" i="103"/>
  <c r="AX82" i="103"/>
  <c r="AX95" i="103"/>
  <c r="AX37" i="103"/>
  <c r="AX36" i="103"/>
  <c r="AX34" i="103"/>
  <c r="AX46" i="103"/>
  <c r="AX63" i="103"/>
  <c r="AX59" i="103"/>
  <c r="AX84" i="103"/>
  <c r="AX64" i="103"/>
  <c r="AX91" i="103"/>
  <c r="AX92" i="103"/>
  <c r="AX12" i="103"/>
  <c r="AX11" i="103"/>
  <c r="AX22" i="103"/>
  <c r="AX67" i="103"/>
  <c r="AX45" i="103"/>
  <c r="AX40" i="103"/>
  <c r="AX68" i="103"/>
  <c r="AX73" i="103"/>
  <c r="AX79" i="103"/>
  <c r="AW19" i="101"/>
  <c r="AW23" i="101"/>
  <c r="AW69" i="101"/>
  <c r="AW36" i="101"/>
  <c r="AW45" i="101"/>
  <c r="AW66" i="101"/>
  <c r="AW61" i="101"/>
  <c r="AW74" i="101"/>
  <c r="AW82" i="101"/>
  <c r="AW89" i="101"/>
  <c r="AW37" i="101"/>
  <c r="AW29" i="101"/>
  <c r="AW62" i="101"/>
  <c r="AW42" i="101"/>
  <c r="AW71" i="101"/>
  <c r="AW80" i="101"/>
  <c r="AW83" i="101"/>
  <c r="AW79" i="101"/>
  <c r="AW97" i="101"/>
  <c r="AW11" i="101"/>
  <c r="AW17" i="101"/>
  <c r="AW27" i="101"/>
  <c r="AW46" i="101"/>
  <c r="AW38" i="101"/>
  <c r="AW53" i="101"/>
  <c r="AW44" i="101"/>
  <c r="AW67" i="101"/>
  <c r="AW78" i="101"/>
  <c r="AW96" i="101"/>
  <c r="AW91" i="101"/>
  <c r="AW16" i="101"/>
  <c r="AW22" i="101"/>
  <c r="AW25" i="101"/>
  <c r="AW59" i="101"/>
  <c r="AW49" i="101"/>
  <c r="AW58" i="101"/>
  <c r="AW68" i="101"/>
  <c r="AW72" i="101"/>
  <c r="AW81" i="101"/>
  <c r="AW90" i="101"/>
  <c r="AW24" i="101"/>
  <c r="AX86" i="101"/>
  <c r="AX96" i="101"/>
  <c r="AX67" i="101"/>
  <c r="AX59" i="101"/>
  <c r="AX66" i="101"/>
  <c r="AX57" i="101"/>
  <c r="AX48" i="101"/>
  <c r="AX78" i="101"/>
  <c r="AX31" i="101"/>
  <c r="AX51" i="101"/>
  <c r="AX39" i="101"/>
  <c r="AX30" i="101"/>
  <c r="AX35" i="101"/>
  <c r="AX33" i="101"/>
  <c r="AX17" i="101"/>
  <c r="AX16" i="101"/>
  <c r="AX20" i="101"/>
  <c r="AX8" i="101"/>
  <c r="AX93" i="101" s="1"/>
  <c r="AX22" i="101"/>
  <c r="AX13" i="101"/>
  <c r="AX23" i="101"/>
  <c r="AY7" i="101"/>
  <c r="AW56" i="101"/>
  <c r="AW39" i="101"/>
  <c r="AW60" i="101"/>
  <c r="AW41" i="101"/>
  <c r="AW64" i="101"/>
  <c r="AW55" i="101"/>
  <c r="AW77" i="101"/>
  <c r="AX90" i="99"/>
  <c r="AX96" i="99"/>
  <c r="AX72" i="99"/>
  <c r="AX75" i="99"/>
  <c r="AX85" i="99"/>
  <c r="AX68" i="99"/>
  <c r="AX61" i="99"/>
  <c r="AX74" i="99"/>
  <c r="AX41" i="99"/>
  <c r="AX45" i="99"/>
  <c r="AX51" i="99"/>
  <c r="AX55" i="99"/>
  <c r="AX44" i="99"/>
  <c r="AX46" i="99"/>
  <c r="AX24" i="99"/>
  <c r="AX40" i="99"/>
  <c r="AX37" i="99"/>
  <c r="AX60" i="99"/>
  <c r="AX14" i="99"/>
  <c r="AY7" i="99"/>
  <c r="AX31" i="99"/>
  <c r="AX27" i="99"/>
  <c r="AX23" i="99"/>
  <c r="AX8" i="99"/>
  <c r="AX94" i="99" s="1"/>
  <c r="AX26" i="99"/>
  <c r="AX18" i="99"/>
  <c r="AX11" i="99"/>
  <c r="AW97" i="99"/>
  <c r="AW33" i="99"/>
  <c r="AW25" i="99"/>
  <c r="AW30" i="99"/>
  <c r="AW26" i="99"/>
  <c r="AW51" i="99"/>
  <c r="AW62" i="99"/>
  <c r="AW71" i="99"/>
  <c r="AW84" i="99"/>
  <c r="AW74" i="99"/>
  <c r="AW89" i="99"/>
  <c r="AW40" i="99"/>
  <c r="AW83" i="99"/>
  <c r="AW15" i="99"/>
  <c r="AW18" i="99"/>
  <c r="AW14" i="99"/>
  <c r="AW56" i="99"/>
  <c r="AW47" i="99"/>
  <c r="AW45" i="99"/>
  <c r="AW77" i="99"/>
  <c r="AW64" i="99"/>
  <c r="AW63" i="99"/>
  <c r="AW88" i="99"/>
  <c r="AW94" i="99"/>
  <c r="AW23" i="99"/>
  <c r="AW31" i="99"/>
  <c r="AW35" i="99"/>
  <c r="AW27" i="99"/>
  <c r="AW49" i="99"/>
  <c r="AW41" i="99"/>
  <c r="AW52" i="99"/>
  <c r="AW73" i="99"/>
  <c r="AW72" i="99"/>
  <c r="AW93" i="99"/>
  <c r="AW91" i="99"/>
  <c r="AW59" i="99"/>
  <c r="AW13" i="99"/>
  <c r="AW44" i="99"/>
  <c r="AW11" i="99"/>
  <c r="AW20" i="99"/>
  <c r="AW53" i="99"/>
  <c r="AW48" i="99"/>
  <c r="AW61" i="99"/>
  <c r="AW82" i="99"/>
  <c r="AW81" i="99"/>
  <c r="AW90" i="99"/>
  <c r="AW36" i="99"/>
  <c r="AW16" i="99"/>
  <c r="AW22" i="99"/>
  <c r="AW19" i="99"/>
  <c r="AW29" i="99"/>
  <c r="AW60" i="99"/>
  <c r="AW57" i="99"/>
  <c r="AW67" i="99"/>
  <c r="AW70" i="99"/>
  <c r="AW69" i="99"/>
  <c r="AW86" i="99"/>
  <c r="AW37" i="99"/>
  <c r="AW96" i="99"/>
  <c r="AW24" i="99"/>
  <c r="AW12" i="99"/>
  <c r="AW42" i="99"/>
  <c r="AW34" i="99"/>
  <c r="AW80" i="99"/>
  <c r="AW38" i="99"/>
  <c r="AW85" i="99"/>
  <c r="AW79" i="99"/>
  <c r="AW78" i="99"/>
  <c r="AW95" i="99"/>
  <c r="AW55" i="99"/>
  <c r="AW28" i="99"/>
  <c r="AW17" i="99"/>
  <c r="AW68" i="99"/>
  <c r="AW46" i="99"/>
  <c r="AW39" i="99"/>
  <c r="AW50" i="99"/>
  <c r="AW58" i="99"/>
  <c r="AW75" i="99"/>
  <c r="AW66" i="99"/>
  <c r="AX94" i="97"/>
  <c r="AX86" i="97"/>
  <c r="AX90" i="97"/>
  <c r="AX93" i="97"/>
  <c r="AX96" i="97"/>
  <c r="AX81" i="97"/>
  <c r="AX84" i="97"/>
  <c r="AX75" i="97"/>
  <c r="AX67" i="97"/>
  <c r="AX64" i="97"/>
  <c r="AX60" i="97"/>
  <c r="AX74" i="97"/>
  <c r="AX58" i="97"/>
  <c r="AX83" i="97"/>
  <c r="AX63" i="97"/>
  <c r="AX56" i="97"/>
  <c r="AX47" i="97"/>
  <c r="AX73" i="97"/>
  <c r="AX72" i="97"/>
  <c r="AX55" i="97"/>
  <c r="AX48" i="97"/>
  <c r="AX80" i="97"/>
  <c r="AX62" i="97"/>
  <c r="AX59" i="97"/>
  <c r="AX40" i="97"/>
  <c r="AX31" i="97"/>
  <c r="AX46" i="97"/>
  <c r="AX38" i="97"/>
  <c r="AX53" i="97"/>
  <c r="AX51" i="97"/>
  <c r="AX20" i="97"/>
  <c r="AX12" i="97"/>
  <c r="AX28" i="97"/>
  <c r="AX24" i="97"/>
  <c r="AX66" i="97"/>
  <c r="AX52" i="97"/>
  <c r="AX8" i="97"/>
  <c r="AX97" i="97" s="1"/>
  <c r="AX30" i="97"/>
  <c r="AX29" i="97"/>
  <c r="AX26" i="97"/>
  <c r="AX42" i="97"/>
  <c r="AX37" i="97"/>
  <c r="AX22" i="97"/>
  <c r="AX44" i="97"/>
  <c r="AX41" i="97"/>
  <c r="AX35" i="97"/>
  <c r="AX11" i="97"/>
  <c r="AX77" i="97"/>
  <c r="AX25" i="97"/>
  <c r="AX19" i="97"/>
  <c r="AX34" i="97"/>
  <c r="AX16" i="97"/>
  <c r="AX27" i="97"/>
  <c r="AY7" i="97"/>
  <c r="AX33" i="97"/>
  <c r="AX23" i="97"/>
  <c r="AX14" i="97"/>
  <c r="AX15" i="97"/>
  <c r="AX13" i="97"/>
  <c r="AW40" i="97"/>
  <c r="AW39" i="97"/>
  <c r="AW42" i="97"/>
  <c r="AW56" i="97"/>
  <c r="AW70" i="97"/>
  <c r="AW75" i="97"/>
  <c r="AW74" i="97"/>
  <c r="AW89" i="97"/>
  <c r="AW13" i="97"/>
  <c r="AW18" i="97"/>
  <c r="AW59" i="97"/>
  <c r="AW45" i="97"/>
  <c r="AW50" i="97"/>
  <c r="AW68" i="97"/>
  <c r="AW60" i="97"/>
  <c r="AW84" i="97"/>
  <c r="AW83" i="97"/>
  <c r="AW97" i="97"/>
  <c r="AW12" i="97"/>
  <c r="AW41" i="97"/>
  <c r="AW36" i="97"/>
  <c r="AW48" i="97"/>
  <c r="AW28" i="97"/>
  <c r="AW71" i="97"/>
  <c r="AW64" i="97"/>
  <c r="AW96" i="97"/>
  <c r="AW88" i="97"/>
  <c r="AW94" i="97"/>
  <c r="AW62" i="97"/>
  <c r="AW16" i="97"/>
  <c r="AW29" i="97"/>
  <c r="AW49" i="97"/>
  <c r="AW51" i="97"/>
  <c r="AW37" i="97"/>
  <c r="AW85" i="97"/>
  <c r="AW69" i="97"/>
  <c r="AW63" i="97"/>
  <c r="AW93" i="97"/>
  <c r="AW91" i="97"/>
  <c r="AW11" i="97"/>
  <c r="AW20" i="97"/>
  <c r="AW30" i="97"/>
  <c r="AW80" i="97"/>
  <c r="AW58" i="97"/>
  <c r="AW61" i="97"/>
  <c r="AW44" i="97"/>
  <c r="AW82" i="97"/>
  <c r="AW72" i="97"/>
  <c r="AW90" i="97"/>
  <c r="AW25" i="97"/>
  <c r="AW23" i="97"/>
  <c r="AW34" i="97"/>
  <c r="AW31" i="97"/>
  <c r="AW38" i="97"/>
  <c r="AW77" i="97"/>
  <c r="AW52" i="97"/>
  <c r="AW57" i="97"/>
  <c r="AW81" i="97"/>
  <c r="AY12" i="95"/>
  <c r="AY42" i="95"/>
  <c r="AY16" i="95"/>
  <c r="AY90" i="95"/>
  <c r="AY36" i="95"/>
  <c r="AY71" i="95"/>
  <c r="AY67" i="95"/>
  <c r="AY11" i="95"/>
  <c r="AY85" i="95"/>
  <c r="AY89" i="95"/>
  <c r="AY35" i="95"/>
  <c r="AY93" i="95"/>
  <c r="AY24" i="95"/>
  <c r="AY40" i="95"/>
  <c r="AY18" i="95"/>
  <c r="AY57" i="95"/>
  <c r="AY52" i="95"/>
  <c r="AY56" i="95"/>
  <c r="AY20" i="95"/>
  <c r="AY22" i="95"/>
  <c r="AY82" i="95"/>
  <c r="AY75" i="95"/>
  <c r="AY53" i="95"/>
  <c r="AY28" i="95"/>
  <c r="AY61" i="95"/>
  <c r="AY78" i="95"/>
  <c r="AY14" i="95"/>
  <c r="AY26" i="95"/>
  <c r="AY39" i="95"/>
  <c r="AY60" i="95"/>
  <c r="AY74" i="95"/>
  <c r="AY13" i="95"/>
  <c r="AY41" i="95"/>
  <c r="AY70" i="95"/>
  <c r="AY83" i="95"/>
  <c r="AY33" i="95"/>
  <c r="AY69" i="95"/>
  <c r="AY72" i="95"/>
  <c r="AY79" i="95"/>
  <c r="AY73" i="95"/>
  <c r="AY62" i="95"/>
  <c r="AY84" i="95"/>
  <c r="AY49" i="95"/>
  <c r="AY25" i="95"/>
  <c r="AY47" i="95"/>
  <c r="AY44" i="95"/>
  <c r="AY38" i="95"/>
  <c r="AY63" i="95"/>
  <c r="AY96" i="95"/>
  <c r="AY95" i="95"/>
  <c r="AY37" i="95"/>
  <c r="AY17" i="95"/>
  <c r="AY27" i="95"/>
  <c r="AY48" i="95"/>
  <c r="AY46" i="95"/>
  <c r="AY51" i="95"/>
  <c r="AY66" i="95"/>
  <c r="AY88" i="95"/>
  <c r="AY97" i="95"/>
  <c r="AY29" i="95"/>
  <c r="AY19" i="95"/>
  <c r="AY31" i="95"/>
  <c r="AY64" i="95"/>
  <c r="AY59" i="95"/>
  <c r="AY58" i="95"/>
  <c r="AY80" i="95"/>
  <c r="AY68" i="95"/>
  <c r="AY30" i="95"/>
  <c r="AY50" i="95"/>
  <c r="AY23" i="95"/>
  <c r="AY15" i="95"/>
  <c r="AY55" i="95"/>
  <c r="AY34" i="95"/>
  <c r="AY77" i="95"/>
  <c r="AY45" i="95"/>
  <c r="AY91" i="95"/>
  <c r="AY81" i="95"/>
  <c r="AY94" i="95"/>
  <c r="AY86" i="95"/>
  <c r="BA7" i="95"/>
  <c r="AZ8" i="95"/>
  <c r="AZ97" i="95" s="1"/>
  <c r="AX75" i="59" l="1"/>
  <c r="AX23" i="59"/>
  <c r="AX34" i="59"/>
  <c r="AX24" i="59"/>
  <c r="AX33" i="59"/>
  <c r="AX40" i="59"/>
  <c r="AX57" i="59"/>
  <c r="AX71" i="59"/>
  <c r="AX63" i="59"/>
  <c r="AX73" i="59"/>
  <c r="AX95" i="59"/>
  <c r="AX36" i="59"/>
  <c r="AX16" i="59"/>
  <c r="AX20" i="59"/>
  <c r="AX49" i="59"/>
  <c r="AX50" i="59"/>
  <c r="AX80" i="59"/>
  <c r="AX85" i="59"/>
  <c r="AX70" i="59"/>
  <c r="AX79" i="59"/>
  <c r="AX89" i="59"/>
  <c r="AX41" i="59"/>
  <c r="AX92" i="59"/>
  <c r="AX14" i="59"/>
  <c r="AX22" i="59"/>
  <c r="AX25" i="59"/>
  <c r="AX26" i="59"/>
  <c r="AX29" i="59"/>
  <c r="AX53" i="59"/>
  <c r="AX61" i="59"/>
  <c r="AX55" i="59"/>
  <c r="AX78" i="59"/>
  <c r="AX86" i="59"/>
  <c r="AX97" i="59"/>
  <c r="AX19" i="59"/>
  <c r="AX39" i="59"/>
  <c r="AX28" i="59"/>
  <c r="AX37" i="59"/>
  <c r="AX38" i="59"/>
  <c r="AX48" i="59"/>
  <c r="AX62" i="59"/>
  <c r="AX72" i="59"/>
  <c r="AX58" i="59"/>
  <c r="AX88" i="59"/>
  <c r="AX94" i="59"/>
  <c r="AX47" i="59"/>
  <c r="AX46" i="59"/>
  <c r="AX67" i="59"/>
  <c r="AX11" i="59"/>
  <c r="AX44" i="59"/>
  <c r="AX30" i="59"/>
  <c r="AX74" i="59"/>
  <c r="AX51" i="59"/>
  <c r="AX77" i="59"/>
  <c r="AX66" i="59"/>
  <c r="AX83" i="59"/>
  <c r="AX84" i="59"/>
  <c r="AX96" i="59"/>
  <c r="AY93" i="59"/>
  <c r="AY49" i="59"/>
  <c r="AY29" i="59"/>
  <c r="AY20" i="59"/>
  <c r="AY34" i="59"/>
  <c r="AY8" i="59"/>
  <c r="AY88" i="59" s="1"/>
  <c r="AY11" i="59"/>
  <c r="AY42" i="59"/>
  <c r="AY14" i="59"/>
  <c r="AZ7" i="59"/>
  <c r="AX18" i="59"/>
  <c r="AX42" i="59"/>
  <c r="AX82" i="59"/>
  <c r="AX35" i="59"/>
  <c r="AX45" i="59"/>
  <c r="AX69" i="59"/>
  <c r="AX81" i="59"/>
  <c r="AX91" i="59"/>
  <c r="AX93" i="59"/>
  <c r="AX27" i="59"/>
  <c r="AX59" i="59"/>
  <c r="AX56" i="59"/>
  <c r="AX13" i="59"/>
  <c r="AX12" i="59"/>
  <c r="AX15" i="59"/>
  <c r="AX17" i="59"/>
  <c r="AX31" i="59"/>
  <c r="AX52" i="59"/>
  <c r="AX68" i="59"/>
  <c r="AX60" i="59"/>
  <c r="AX64" i="59"/>
  <c r="AY97" i="113"/>
  <c r="AY95" i="113"/>
  <c r="AY90" i="113"/>
  <c r="AY93" i="113"/>
  <c r="AY96" i="113"/>
  <c r="AY88" i="113"/>
  <c r="AY80" i="113"/>
  <c r="AY83" i="113"/>
  <c r="AY74" i="113"/>
  <c r="AY78" i="113"/>
  <c r="AY94" i="113"/>
  <c r="AY72" i="113"/>
  <c r="AY67" i="113"/>
  <c r="AY58" i="113"/>
  <c r="AY81" i="113"/>
  <c r="AY75" i="113"/>
  <c r="AY82" i="113"/>
  <c r="AY71" i="113"/>
  <c r="AY63" i="113"/>
  <c r="AY60" i="113"/>
  <c r="AY64" i="113"/>
  <c r="AY52" i="113"/>
  <c r="AY50" i="113"/>
  <c r="AY41" i="113"/>
  <c r="AY45" i="113"/>
  <c r="AY36" i="113"/>
  <c r="AY27" i="113"/>
  <c r="AY48" i="113"/>
  <c r="AY39" i="113"/>
  <c r="AY51" i="113"/>
  <c r="AY55" i="113"/>
  <c r="AY46" i="113"/>
  <c r="AY37" i="113"/>
  <c r="AY40" i="113"/>
  <c r="AY19" i="113"/>
  <c r="AY62" i="113"/>
  <c r="AY33" i="113"/>
  <c r="AY25" i="113"/>
  <c r="AY44" i="113"/>
  <c r="AY29" i="113"/>
  <c r="AY61" i="113"/>
  <c r="AY30" i="113"/>
  <c r="AY69" i="113"/>
  <c r="AY20" i="113"/>
  <c r="AY16" i="113"/>
  <c r="AY35" i="113"/>
  <c r="AY22" i="113"/>
  <c r="AY14" i="113"/>
  <c r="AY34" i="113"/>
  <c r="AY23" i="113"/>
  <c r="AY47" i="113"/>
  <c r="AY38" i="113"/>
  <c r="AY18" i="113"/>
  <c r="AY24" i="113"/>
  <c r="AY13" i="113"/>
  <c r="AY17" i="113"/>
  <c r="AY11" i="113"/>
  <c r="AZ7" i="113"/>
  <c r="AY15" i="113"/>
  <c r="AY12" i="113"/>
  <c r="AY8" i="113"/>
  <c r="AY89" i="113" s="1"/>
  <c r="AX95" i="113"/>
  <c r="AX41" i="113"/>
  <c r="AX61" i="113"/>
  <c r="AX70" i="113"/>
  <c r="AX72" i="113"/>
  <c r="AX86" i="113"/>
  <c r="AX89" i="113"/>
  <c r="AX16" i="113"/>
  <c r="AX23" i="113"/>
  <c r="AX42" i="113"/>
  <c r="AX50" i="113"/>
  <c r="AX69" i="113"/>
  <c r="AX56" i="113"/>
  <c r="AX79" i="113"/>
  <c r="AX73" i="113"/>
  <c r="AY24" i="111"/>
  <c r="AY28" i="111"/>
  <c r="AY46" i="111"/>
  <c r="AY94" i="111"/>
  <c r="AY58" i="111"/>
  <c r="AY84" i="111"/>
  <c r="AY62" i="111"/>
  <c r="AY96" i="111"/>
  <c r="AY75" i="111"/>
  <c r="AZ88" i="111"/>
  <c r="AZ69" i="111"/>
  <c r="AZ66" i="111"/>
  <c r="AZ78" i="111"/>
  <c r="AZ89" i="111"/>
  <c r="AZ70" i="111"/>
  <c r="AZ55" i="111"/>
  <c r="AZ60" i="111"/>
  <c r="AZ35" i="111"/>
  <c r="AZ42" i="111"/>
  <c r="AZ40" i="111"/>
  <c r="AZ31" i="111"/>
  <c r="AZ29" i="111"/>
  <c r="AZ24" i="111"/>
  <c r="BA7" i="111"/>
  <c r="AZ17" i="111"/>
  <c r="AZ41" i="111"/>
  <c r="AZ14" i="111"/>
  <c r="AZ26" i="111"/>
  <c r="AZ47" i="111"/>
  <c r="AZ20" i="111"/>
  <c r="AZ8" i="111"/>
  <c r="AZ82" i="111" s="1"/>
  <c r="AZ37" i="111"/>
  <c r="AZ16" i="111"/>
  <c r="AZ30" i="111"/>
  <c r="AZ27" i="111"/>
  <c r="AZ22" i="111"/>
  <c r="AZ33" i="111"/>
  <c r="AY40" i="111"/>
  <c r="AY38" i="111"/>
  <c r="AY49" i="111"/>
  <c r="AY63" i="111"/>
  <c r="AY71" i="111"/>
  <c r="AY78" i="111"/>
  <c r="AY93" i="111"/>
  <c r="AY23" i="111"/>
  <c r="AY20" i="111"/>
  <c r="AY50" i="111"/>
  <c r="AY25" i="111"/>
  <c r="AY41" i="111"/>
  <c r="AY52" i="111"/>
  <c r="AY64" i="111"/>
  <c r="AY77" i="111"/>
  <c r="AY90" i="111"/>
  <c r="AY86" i="111"/>
  <c r="AY12" i="111"/>
  <c r="AY39" i="111"/>
  <c r="AY16" i="111"/>
  <c r="AY34" i="111"/>
  <c r="AY69" i="111"/>
  <c r="AY56" i="111"/>
  <c r="AY67" i="111"/>
  <c r="AY80" i="111"/>
  <c r="AY73" i="111"/>
  <c r="AY95" i="111"/>
  <c r="AY36" i="111"/>
  <c r="AY60" i="111"/>
  <c r="AY48" i="111"/>
  <c r="AY59" i="111"/>
  <c r="AY83" i="111"/>
  <c r="AY82" i="111"/>
  <c r="AY92" i="111"/>
  <c r="AY17" i="111"/>
  <c r="AY15" i="111"/>
  <c r="AY29" i="111"/>
  <c r="AY57" i="111"/>
  <c r="AY44" i="111"/>
  <c r="AY61" i="111"/>
  <c r="AY51" i="111"/>
  <c r="AY66" i="111"/>
  <c r="AY85" i="111"/>
  <c r="AY79" i="111"/>
  <c r="AX49" i="109"/>
  <c r="AX12" i="109"/>
  <c r="AX27" i="109"/>
  <c r="AX31" i="109"/>
  <c r="AX47" i="109"/>
  <c r="AX39" i="109"/>
  <c r="AX67" i="109"/>
  <c r="AX82" i="109"/>
  <c r="AX75" i="109"/>
  <c r="AX71" i="109"/>
  <c r="AX97" i="109"/>
  <c r="AX52" i="109"/>
  <c r="AX42" i="109"/>
  <c r="AX34" i="109"/>
  <c r="AX45" i="109"/>
  <c r="AX72" i="109"/>
  <c r="AX73" i="109"/>
  <c r="AX20" i="109"/>
  <c r="AX64" i="109"/>
  <c r="AX81" i="109"/>
  <c r="AX80" i="109"/>
  <c r="AX94" i="109"/>
  <c r="AX85" i="109"/>
  <c r="AX51" i="109"/>
  <c r="AX28" i="109"/>
  <c r="AX13" i="109"/>
  <c r="AX46" i="109"/>
  <c r="AX48" i="109"/>
  <c r="AX15" i="109"/>
  <c r="AX38" i="109"/>
  <c r="AX79" i="109"/>
  <c r="AX88" i="109"/>
  <c r="AX91" i="109"/>
  <c r="AX17" i="109"/>
  <c r="AY97" i="109"/>
  <c r="AY92" i="109"/>
  <c r="AY86" i="109"/>
  <c r="AY90" i="109"/>
  <c r="AY93" i="109"/>
  <c r="AY80" i="109"/>
  <c r="AY84" i="109"/>
  <c r="AY66" i="109"/>
  <c r="AY81" i="109"/>
  <c r="AY91" i="109"/>
  <c r="AY72" i="109"/>
  <c r="AY77" i="109"/>
  <c r="AY68" i="109"/>
  <c r="AY53" i="109"/>
  <c r="AY62" i="109"/>
  <c r="AY57" i="109"/>
  <c r="AY82" i="109"/>
  <c r="AY60" i="109"/>
  <c r="AY88" i="109"/>
  <c r="AY64" i="109"/>
  <c r="AY58" i="109"/>
  <c r="AY96" i="109"/>
  <c r="AY41" i="109"/>
  <c r="AY33" i="109"/>
  <c r="AY24" i="109"/>
  <c r="AY49" i="109"/>
  <c r="AY36" i="109"/>
  <c r="AY18" i="109"/>
  <c r="AY42" i="109"/>
  <c r="AY34" i="109"/>
  <c r="AY16" i="109"/>
  <c r="AY48" i="109"/>
  <c r="AY30" i="109"/>
  <c r="AY79" i="109"/>
  <c r="AY47" i="109"/>
  <c r="AY63" i="109"/>
  <c r="AY31" i="109"/>
  <c r="AY26" i="109"/>
  <c r="AY37" i="109"/>
  <c r="AY14" i="109"/>
  <c r="AY29" i="109"/>
  <c r="AY11" i="109"/>
  <c r="AY55" i="109"/>
  <c r="AY38" i="109"/>
  <c r="AY12" i="109"/>
  <c r="AY39" i="109"/>
  <c r="AY20" i="109"/>
  <c r="AY8" i="109"/>
  <c r="AY94" i="109" s="1"/>
  <c r="AY17" i="109"/>
  <c r="AY71" i="109"/>
  <c r="AY50" i="109"/>
  <c r="AY23" i="109"/>
  <c r="AY13" i="109"/>
  <c r="AZ7" i="109"/>
  <c r="AY28" i="109"/>
  <c r="AX18" i="109"/>
  <c r="AX61" i="109"/>
  <c r="AX44" i="109"/>
  <c r="AX24" i="109"/>
  <c r="AX83" i="109"/>
  <c r="AX93" i="109"/>
  <c r="AX96" i="109"/>
  <c r="AX90" i="109"/>
  <c r="AX37" i="109"/>
  <c r="AX59" i="109"/>
  <c r="AX60" i="109"/>
  <c r="AX11" i="109"/>
  <c r="AX23" i="109"/>
  <c r="AX26" i="109"/>
  <c r="AX78" i="109"/>
  <c r="AX33" i="109"/>
  <c r="AX50" i="109"/>
  <c r="AX68" i="109"/>
  <c r="AX74" i="109"/>
  <c r="AX95" i="109"/>
  <c r="AX55" i="109"/>
  <c r="AX53" i="109"/>
  <c r="AX35" i="109"/>
  <c r="AX77" i="109"/>
  <c r="AX58" i="109"/>
  <c r="AX19" i="109"/>
  <c r="AX25" i="109"/>
  <c r="AX36" i="109"/>
  <c r="AX22" i="109"/>
  <c r="AX41" i="109"/>
  <c r="AX56" i="109"/>
  <c r="AX69" i="109"/>
  <c r="AX84" i="109"/>
  <c r="AY15" i="107"/>
  <c r="AY18" i="107"/>
  <c r="AY35" i="107"/>
  <c r="AY77" i="107"/>
  <c r="AY30" i="107"/>
  <c r="AY64" i="107"/>
  <c r="AY80" i="107"/>
  <c r="AY86" i="107"/>
  <c r="AY11" i="107"/>
  <c r="AY13" i="107"/>
  <c r="AY36" i="107"/>
  <c r="AY41" i="107"/>
  <c r="AY49" i="107"/>
  <c r="AY70" i="107"/>
  <c r="AY67" i="107"/>
  <c r="AY61" i="107"/>
  <c r="AY69" i="107"/>
  <c r="AY90" i="107"/>
  <c r="AY40" i="107"/>
  <c r="AY16" i="107"/>
  <c r="AY27" i="107"/>
  <c r="AY20" i="107"/>
  <c r="AY55" i="107"/>
  <c r="AY34" i="107"/>
  <c r="AY39" i="107"/>
  <c r="AY68" i="107"/>
  <c r="AY79" i="107"/>
  <c r="AY95" i="107"/>
  <c r="AY12" i="107"/>
  <c r="AY19" i="107"/>
  <c r="AY29" i="107"/>
  <c r="AY37" i="107"/>
  <c r="AY82" i="107"/>
  <c r="AY42" i="107"/>
  <c r="AY48" i="107"/>
  <c r="AY72" i="107"/>
  <c r="AY94" i="107"/>
  <c r="AY92" i="107"/>
  <c r="AY45" i="107"/>
  <c r="AY17" i="107"/>
  <c r="AY46" i="107"/>
  <c r="AY33" i="107"/>
  <c r="AY50" i="107"/>
  <c r="AY38" i="107"/>
  <c r="AY51" i="107"/>
  <c r="AY57" i="107"/>
  <c r="AY71" i="107"/>
  <c r="AY91" i="107"/>
  <c r="AY89" i="107"/>
  <c r="AY14" i="107"/>
  <c r="AY26" i="107"/>
  <c r="AY52" i="107"/>
  <c r="AY44" i="107"/>
  <c r="AY78" i="107"/>
  <c r="AY74" i="107"/>
  <c r="AY62" i="107"/>
  <c r="AY53" i="107"/>
  <c r="AY73" i="107"/>
  <c r="AY88" i="107"/>
  <c r="AY97" i="107"/>
  <c r="AY47" i="107"/>
  <c r="AZ95" i="107"/>
  <c r="AZ90" i="107"/>
  <c r="AZ93" i="107"/>
  <c r="AZ82" i="107"/>
  <c r="AZ97" i="107"/>
  <c r="AZ84" i="107"/>
  <c r="AZ78" i="107"/>
  <c r="AZ80" i="107"/>
  <c r="AZ73" i="107"/>
  <c r="AZ57" i="107"/>
  <c r="AZ67" i="107"/>
  <c r="AZ66" i="107"/>
  <c r="AZ64" i="107"/>
  <c r="AZ60" i="107"/>
  <c r="AZ46" i="107"/>
  <c r="AZ52" i="107"/>
  <c r="AZ79" i="107"/>
  <c r="AZ55" i="107"/>
  <c r="AZ74" i="107"/>
  <c r="AZ45" i="107"/>
  <c r="AZ50" i="107"/>
  <c r="AZ31" i="107"/>
  <c r="AZ27" i="107"/>
  <c r="AZ18" i="107"/>
  <c r="AZ25" i="107"/>
  <c r="AZ38" i="107"/>
  <c r="AZ23" i="107"/>
  <c r="AZ16" i="107"/>
  <c r="AZ26" i="107"/>
  <c r="AZ17" i="107"/>
  <c r="AZ8" i="107"/>
  <c r="AZ96" i="107" s="1"/>
  <c r="BA7" i="107"/>
  <c r="AY25" i="107"/>
  <c r="AY56" i="107"/>
  <c r="AY85" i="107"/>
  <c r="AY58" i="107"/>
  <c r="AY75" i="107"/>
  <c r="AY63" i="107"/>
  <c r="AY83" i="107"/>
  <c r="AY81" i="107"/>
  <c r="AY96" i="107"/>
  <c r="AY23" i="107"/>
  <c r="AY28" i="107"/>
  <c r="AY22" i="107"/>
  <c r="AY24" i="107"/>
  <c r="AY31" i="107"/>
  <c r="AY84" i="107"/>
  <c r="AY66" i="107"/>
  <c r="AY59" i="107"/>
  <c r="AY60" i="107"/>
  <c r="AY73" i="105"/>
  <c r="AY57" i="105"/>
  <c r="AY85" i="105"/>
  <c r="AY90" i="105"/>
  <c r="AZ90" i="105"/>
  <c r="AZ93" i="105"/>
  <c r="AZ91" i="105"/>
  <c r="AZ73" i="105"/>
  <c r="AZ85" i="105"/>
  <c r="AZ83" i="105"/>
  <c r="AZ57" i="105"/>
  <c r="AZ81" i="105"/>
  <c r="AZ60" i="105"/>
  <c r="AZ58" i="105"/>
  <c r="AZ70" i="105"/>
  <c r="AZ64" i="105"/>
  <c r="AZ56" i="105"/>
  <c r="AZ47" i="105"/>
  <c r="AZ41" i="105"/>
  <c r="AZ51" i="105"/>
  <c r="AZ46" i="105"/>
  <c r="AZ40" i="105"/>
  <c r="AZ36" i="105"/>
  <c r="AZ42" i="105"/>
  <c r="AZ22" i="105"/>
  <c r="AZ44" i="105"/>
  <c r="AZ39" i="105"/>
  <c r="AZ16" i="105"/>
  <c r="AZ35" i="105"/>
  <c r="AZ53" i="105"/>
  <c r="AZ29" i="105"/>
  <c r="AZ24" i="105"/>
  <c r="AZ18" i="105"/>
  <c r="AZ15" i="105"/>
  <c r="AZ17" i="105"/>
  <c r="BA7" i="105"/>
  <c r="AZ37" i="105"/>
  <c r="AZ8" i="105"/>
  <c r="AZ96" i="105" s="1"/>
  <c r="AY31" i="105"/>
  <c r="AY41" i="105"/>
  <c r="AY52" i="105"/>
  <c r="AY72" i="105"/>
  <c r="AY71" i="105"/>
  <c r="AY75" i="105"/>
  <c r="AY92" i="105"/>
  <c r="AY18" i="105"/>
  <c r="AY39" i="105"/>
  <c r="AY50" i="105"/>
  <c r="AY61" i="105"/>
  <c r="AY63" i="105"/>
  <c r="AY74" i="105"/>
  <c r="AY84" i="105"/>
  <c r="AY53" i="103"/>
  <c r="AY60" i="103"/>
  <c r="AY77" i="103"/>
  <c r="AY59" i="103"/>
  <c r="AY91" i="103"/>
  <c r="AY89" i="103"/>
  <c r="AY26" i="103"/>
  <c r="AZ92" i="103"/>
  <c r="AZ95" i="103"/>
  <c r="AZ90" i="103"/>
  <c r="AZ93" i="103"/>
  <c r="AZ96" i="103"/>
  <c r="AZ88" i="103"/>
  <c r="AZ94" i="103"/>
  <c r="AZ89" i="103"/>
  <c r="AZ77" i="103"/>
  <c r="AZ80" i="103"/>
  <c r="AZ83" i="103"/>
  <c r="AZ97" i="103"/>
  <c r="AZ81" i="103"/>
  <c r="AZ84" i="103"/>
  <c r="AZ71" i="103"/>
  <c r="AZ74" i="103"/>
  <c r="AZ69" i="103"/>
  <c r="AZ72" i="103"/>
  <c r="AZ63" i="103"/>
  <c r="AZ82" i="103"/>
  <c r="AZ70" i="103"/>
  <c r="AZ75" i="103"/>
  <c r="AZ79" i="103"/>
  <c r="AZ66" i="103"/>
  <c r="AZ67" i="103"/>
  <c r="AZ59" i="103"/>
  <c r="AZ56" i="103"/>
  <c r="AZ68" i="103"/>
  <c r="AZ47" i="103"/>
  <c r="AZ73" i="103"/>
  <c r="AZ50" i="103"/>
  <c r="AZ55" i="103"/>
  <c r="AZ53" i="103"/>
  <c r="AZ45" i="103"/>
  <c r="AZ48" i="103"/>
  <c r="AZ64" i="103"/>
  <c r="AZ58" i="103"/>
  <c r="AZ57" i="103"/>
  <c r="AZ51" i="103"/>
  <c r="AZ49" i="103"/>
  <c r="AZ41" i="103"/>
  <c r="AZ33" i="103"/>
  <c r="AZ60" i="103"/>
  <c r="AZ39" i="103"/>
  <c r="AZ40" i="103"/>
  <c r="AZ25" i="103"/>
  <c r="AZ34" i="103"/>
  <c r="AZ28" i="103"/>
  <c r="AZ19" i="103"/>
  <c r="AZ52" i="103"/>
  <c r="AZ17" i="103"/>
  <c r="AZ37" i="103"/>
  <c r="AZ24" i="103"/>
  <c r="AZ46" i="103"/>
  <c r="AZ36" i="103"/>
  <c r="AZ22" i="103"/>
  <c r="AZ44" i="103"/>
  <c r="AZ12" i="103"/>
  <c r="AZ20" i="103"/>
  <c r="AZ31" i="103"/>
  <c r="AZ23" i="103"/>
  <c r="AZ15" i="103"/>
  <c r="AZ35" i="103"/>
  <c r="AZ18" i="103"/>
  <c r="AZ8" i="103"/>
  <c r="AZ86" i="103" s="1"/>
  <c r="AZ27" i="103"/>
  <c r="AZ13" i="103"/>
  <c r="AZ29" i="103"/>
  <c r="AZ14" i="103"/>
  <c r="AZ16" i="103"/>
  <c r="AZ11" i="103"/>
  <c r="BA7" i="103"/>
  <c r="AY23" i="103"/>
  <c r="AY38" i="103"/>
  <c r="AY55" i="103"/>
  <c r="AY63" i="103"/>
  <c r="AY84" i="103"/>
  <c r="AY68" i="103"/>
  <c r="AY88" i="103"/>
  <c r="AY97" i="103"/>
  <c r="AY46" i="103"/>
  <c r="AY19" i="103"/>
  <c r="AY40" i="103"/>
  <c r="AY57" i="103"/>
  <c r="AY50" i="103"/>
  <c r="AY58" i="103"/>
  <c r="AY79" i="103"/>
  <c r="AY83" i="103"/>
  <c r="AY93" i="103"/>
  <c r="AY61" i="103"/>
  <c r="AY69" i="103"/>
  <c r="AY80" i="103"/>
  <c r="AY90" i="103"/>
  <c r="AY12" i="103"/>
  <c r="AY20" i="103"/>
  <c r="AY30" i="103"/>
  <c r="AY37" i="103"/>
  <c r="AY47" i="103"/>
  <c r="AY64" i="103"/>
  <c r="AY66" i="103"/>
  <c r="AY94" i="103"/>
  <c r="AY86" i="103"/>
  <c r="AY81" i="103"/>
  <c r="AY74" i="103"/>
  <c r="AY85" i="103"/>
  <c r="AX29" i="101"/>
  <c r="AX12" i="101"/>
  <c r="AX25" i="101"/>
  <c r="AX40" i="101"/>
  <c r="AX69" i="101"/>
  <c r="AX50" i="101"/>
  <c r="AX77" i="101"/>
  <c r="AX58" i="101"/>
  <c r="AX83" i="101"/>
  <c r="AX90" i="101"/>
  <c r="AX68" i="101"/>
  <c r="AX72" i="101"/>
  <c r="AX80" i="101"/>
  <c r="AX95" i="101"/>
  <c r="AX14" i="101"/>
  <c r="AX44" i="101"/>
  <c r="AX28" i="101"/>
  <c r="AX60" i="101"/>
  <c r="AX74" i="101"/>
  <c r="AX73" i="101"/>
  <c r="AX79" i="101"/>
  <c r="AX85" i="101"/>
  <c r="AX92" i="101"/>
  <c r="AX24" i="101"/>
  <c r="AX18" i="101"/>
  <c r="AX27" i="101"/>
  <c r="AX49" i="101"/>
  <c r="AX36" i="101"/>
  <c r="AX38" i="101"/>
  <c r="AX56" i="101"/>
  <c r="AX81" i="101"/>
  <c r="AX82" i="101"/>
  <c r="AX89" i="101"/>
  <c r="AY90" i="101"/>
  <c r="AY80" i="101"/>
  <c r="AY81" i="101"/>
  <c r="AY71" i="101"/>
  <c r="AY58" i="101"/>
  <c r="AY31" i="101"/>
  <c r="AY26" i="101"/>
  <c r="AY30" i="101"/>
  <c r="AY47" i="101"/>
  <c r="AY22" i="101"/>
  <c r="AY27" i="101"/>
  <c r="AY17" i="101"/>
  <c r="AY11" i="101"/>
  <c r="AY8" i="101"/>
  <c r="AY96" i="101" s="1"/>
  <c r="AY55" i="101"/>
  <c r="AY16" i="101"/>
  <c r="AZ7" i="101"/>
  <c r="AX15" i="101"/>
  <c r="AX34" i="101"/>
  <c r="AX42" i="101"/>
  <c r="AX46" i="101"/>
  <c r="AX45" i="101"/>
  <c r="AX47" i="101"/>
  <c r="AX64" i="101"/>
  <c r="AX84" i="101"/>
  <c r="AX88" i="101"/>
  <c r="AX97" i="101"/>
  <c r="AX11" i="101"/>
  <c r="AX19" i="101"/>
  <c r="AX37" i="101"/>
  <c r="AX26" i="101"/>
  <c r="AX55" i="101"/>
  <c r="AX53" i="101"/>
  <c r="AX52" i="101"/>
  <c r="AX70" i="101"/>
  <c r="AX75" i="101"/>
  <c r="AX91" i="101"/>
  <c r="AX94" i="101"/>
  <c r="AX62" i="101"/>
  <c r="AX41" i="101"/>
  <c r="AX63" i="101"/>
  <c r="AX61" i="101"/>
  <c r="AX71" i="101"/>
  <c r="AX56" i="99"/>
  <c r="AX77" i="99"/>
  <c r="AX84" i="99"/>
  <c r="AX93" i="99"/>
  <c r="AX15" i="99"/>
  <c r="AX38" i="99"/>
  <c r="AX35" i="99"/>
  <c r="AX63" i="99"/>
  <c r="AX48" i="99"/>
  <c r="AX66" i="99"/>
  <c r="AX64" i="99"/>
  <c r="AX81" i="99"/>
  <c r="AX86" i="99"/>
  <c r="AX19" i="99"/>
  <c r="AX12" i="99"/>
  <c r="AX25" i="99"/>
  <c r="AX52" i="99"/>
  <c r="AX80" i="99"/>
  <c r="AX57" i="99"/>
  <c r="AX83" i="99"/>
  <c r="AX73" i="99"/>
  <c r="AX91" i="99"/>
  <c r="AX95" i="99"/>
  <c r="AX28" i="99"/>
  <c r="AX22" i="99"/>
  <c r="AX47" i="99"/>
  <c r="AX20" i="99"/>
  <c r="AX42" i="99"/>
  <c r="AX70" i="99"/>
  <c r="AX49" i="99"/>
  <c r="AX82" i="99"/>
  <c r="AX69" i="99"/>
  <c r="AX92" i="99"/>
  <c r="AX33" i="99"/>
  <c r="AX17" i="99"/>
  <c r="AX50" i="99"/>
  <c r="AX29" i="99"/>
  <c r="AX59" i="99"/>
  <c r="AX53" i="99"/>
  <c r="AX58" i="99"/>
  <c r="AX79" i="99"/>
  <c r="AX78" i="99"/>
  <c r="AX89" i="99"/>
  <c r="AX16" i="99"/>
  <c r="AX13" i="99"/>
  <c r="AX36" i="99"/>
  <c r="AX30" i="99"/>
  <c r="AX34" i="99"/>
  <c r="AX39" i="99"/>
  <c r="AX62" i="99"/>
  <c r="AX71" i="99"/>
  <c r="AX67" i="99"/>
  <c r="AX88" i="99"/>
  <c r="AX97" i="99"/>
  <c r="AY97" i="99"/>
  <c r="AY92" i="99"/>
  <c r="AY95" i="99"/>
  <c r="AY96" i="99"/>
  <c r="AY88" i="99"/>
  <c r="AY81" i="99"/>
  <c r="AY72" i="99"/>
  <c r="AY84" i="99"/>
  <c r="AY94" i="99"/>
  <c r="AY79" i="99"/>
  <c r="AY82" i="99"/>
  <c r="AY73" i="99"/>
  <c r="AY85" i="99"/>
  <c r="AY80" i="99"/>
  <c r="AY71" i="99"/>
  <c r="AY66" i="99"/>
  <c r="AY64" i="99"/>
  <c r="AY61" i="99"/>
  <c r="AY74" i="99"/>
  <c r="AY59" i="99"/>
  <c r="AY69" i="99"/>
  <c r="AY57" i="99"/>
  <c r="AY78" i="99"/>
  <c r="AY51" i="99"/>
  <c r="AY39" i="99"/>
  <c r="AY42" i="99"/>
  <c r="AY34" i="99"/>
  <c r="AY46" i="99"/>
  <c r="AY38" i="99"/>
  <c r="AY48" i="99"/>
  <c r="AY24" i="99"/>
  <c r="AY62" i="99"/>
  <c r="AY27" i="99"/>
  <c r="AY25" i="99"/>
  <c r="AY41" i="99"/>
  <c r="AY60" i="99"/>
  <c r="AY49" i="99"/>
  <c r="AY33" i="99"/>
  <c r="AY31" i="99"/>
  <c r="AY20" i="99"/>
  <c r="AY17" i="99"/>
  <c r="AY22" i="99"/>
  <c r="AY12" i="99"/>
  <c r="AY30" i="99"/>
  <c r="AY15" i="99"/>
  <c r="AY18" i="99"/>
  <c r="AY8" i="99"/>
  <c r="AY86" i="99" s="1"/>
  <c r="AY44" i="99"/>
  <c r="AY26" i="99"/>
  <c r="AY40" i="99"/>
  <c r="AY16" i="99"/>
  <c r="AY55" i="99"/>
  <c r="AY19" i="99"/>
  <c r="AY11" i="99"/>
  <c r="AZ7" i="99"/>
  <c r="AY13" i="99"/>
  <c r="AY23" i="99"/>
  <c r="AY14" i="99"/>
  <c r="AY97" i="97"/>
  <c r="AY89" i="97"/>
  <c r="AY95" i="97"/>
  <c r="AY90" i="97"/>
  <c r="AY96" i="97"/>
  <c r="AY88" i="97"/>
  <c r="AY91" i="97"/>
  <c r="AY72" i="97"/>
  <c r="AY94" i="97"/>
  <c r="AY70" i="97"/>
  <c r="AY82" i="97"/>
  <c r="AY73" i="97"/>
  <c r="AY69" i="97"/>
  <c r="AY74" i="97"/>
  <c r="AY83" i="97"/>
  <c r="AY66" i="97"/>
  <c r="AY61" i="97"/>
  <c r="AY75" i="97"/>
  <c r="AY50" i="97"/>
  <c r="AY45" i="97"/>
  <c r="AY77" i="97"/>
  <c r="AY62" i="97"/>
  <c r="AY42" i="97"/>
  <c r="AY63" i="97"/>
  <c r="AY71" i="97"/>
  <c r="AY67" i="97"/>
  <c r="AY57" i="97"/>
  <c r="AY47" i="97"/>
  <c r="AY80" i="97"/>
  <c r="AY49" i="97"/>
  <c r="AY31" i="97"/>
  <c r="AY28" i="97"/>
  <c r="AY15" i="97"/>
  <c r="AY40" i="97"/>
  <c r="AY68" i="97"/>
  <c r="AY37" i="97"/>
  <c r="AY33" i="97"/>
  <c r="AY22" i="97"/>
  <c r="AY44" i="97"/>
  <c r="AY38" i="97"/>
  <c r="AY56" i="97"/>
  <c r="AY27" i="97"/>
  <c r="AY16" i="97"/>
  <c r="AY34" i="97"/>
  <c r="AY18" i="97"/>
  <c r="AY39" i="97"/>
  <c r="AZ7" i="97"/>
  <c r="AY20" i="97"/>
  <c r="AY19" i="97"/>
  <c r="AY8" i="97"/>
  <c r="AY92" i="97" s="1"/>
  <c r="AY30" i="97"/>
  <c r="AY25" i="97"/>
  <c r="AY17" i="97"/>
  <c r="AX91" i="97"/>
  <c r="AX95" i="97"/>
  <c r="AX57" i="97"/>
  <c r="AX68" i="97"/>
  <c r="AX82" i="97"/>
  <c r="AX69" i="97"/>
  <c r="AX92" i="97"/>
  <c r="AX36" i="97"/>
  <c r="AX45" i="97"/>
  <c r="AX50" i="97"/>
  <c r="AX71" i="97"/>
  <c r="AX70" i="97"/>
  <c r="AX78" i="97"/>
  <c r="AX89" i="97"/>
  <c r="AX17" i="97"/>
  <c r="AX18" i="97"/>
  <c r="AX39" i="97"/>
  <c r="AX49" i="97"/>
  <c r="AX61" i="97"/>
  <c r="AX85" i="97"/>
  <c r="AX79" i="97"/>
  <c r="AX88" i="97"/>
  <c r="AZ59" i="95"/>
  <c r="AZ40" i="95"/>
  <c r="AZ16" i="95"/>
  <c r="AZ17" i="95"/>
  <c r="AZ96" i="95"/>
  <c r="AZ28" i="95"/>
  <c r="AZ13" i="95"/>
  <c r="AZ84" i="95"/>
  <c r="AZ30" i="95"/>
  <c r="AZ75" i="95"/>
  <c r="AZ38" i="95"/>
  <c r="AZ83" i="95"/>
  <c r="AZ63" i="95"/>
  <c r="AZ60" i="95"/>
  <c r="AZ82" i="95"/>
  <c r="AZ31" i="95"/>
  <c r="AZ45" i="95"/>
  <c r="AZ78" i="95"/>
  <c r="AZ48" i="95"/>
  <c r="AZ46" i="95"/>
  <c r="AZ85" i="95"/>
  <c r="AZ12" i="95"/>
  <c r="AZ51" i="95"/>
  <c r="AZ52" i="95"/>
  <c r="AZ88" i="95"/>
  <c r="AZ58" i="95"/>
  <c r="AZ56" i="95"/>
  <c r="AZ95" i="95"/>
  <c r="AZ22" i="95"/>
  <c r="AZ14" i="95"/>
  <c r="AZ77" i="95"/>
  <c r="AZ37" i="95"/>
  <c r="AZ94" i="95"/>
  <c r="AZ92" i="95"/>
  <c r="AZ35" i="95"/>
  <c r="AZ25" i="95"/>
  <c r="AZ29" i="95"/>
  <c r="AZ49" i="95"/>
  <c r="AZ11" i="95"/>
  <c r="AZ34" i="95"/>
  <c r="AZ39" i="95"/>
  <c r="AZ36" i="95"/>
  <c r="AZ72" i="95"/>
  <c r="AZ70" i="95"/>
  <c r="AZ79" i="95"/>
  <c r="AZ81" i="95"/>
  <c r="AZ73" i="95"/>
  <c r="AZ89" i="95"/>
  <c r="AZ53" i="95"/>
  <c r="AZ66" i="95"/>
  <c r="AZ24" i="95"/>
  <c r="AZ47" i="95"/>
  <c r="AZ20" i="95"/>
  <c r="AZ57" i="95"/>
  <c r="AZ33" i="95"/>
  <c r="AZ90" i="95"/>
  <c r="AZ44" i="95"/>
  <c r="AZ68" i="95"/>
  <c r="AZ55" i="95"/>
  <c r="AZ91" i="95"/>
  <c r="AZ64" i="95"/>
  <c r="AZ19" i="95"/>
  <c r="AZ80" i="95"/>
  <c r="AZ42" i="95"/>
  <c r="AZ93" i="95"/>
  <c r="AZ86" i="95"/>
  <c r="BA8" i="95"/>
  <c r="BA97" i="95" s="1"/>
  <c r="BB7" i="95"/>
  <c r="AZ18" i="95"/>
  <c r="AZ23" i="95"/>
  <c r="AZ74" i="95"/>
  <c r="AZ26" i="95"/>
  <c r="AZ15" i="95"/>
  <c r="AZ27" i="95"/>
  <c r="AZ62" i="95"/>
  <c r="AZ41" i="95"/>
  <c r="AZ71" i="95"/>
  <c r="AZ50" i="95"/>
  <c r="AZ69" i="95"/>
  <c r="AZ61" i="95"/>
  <c r="AZ67" i="95"/>
  <c r="AY40" i="59" l="1"/>
  <c r="AY19" i="59"/>
  <c r="AY56" i="59"/>
  <c r="AY50" i="59"/>
  <c r="AY17" i="59"/>
  <c r="AY36" i="59"/>
  <c r="AY38" i="59"/>
  <c r="AY71" i="59"/>
  <c r="AY96" i="59"/>
  <c r="AY60" i="59"/>
  <c r="AY26" i="59"/>
  <c r="AY53" i="59"/>
  <c r="AY63" i="59"/>
  <c r="AY30" i="59"/>
  <c r="AY41" i="59"/>
  <c r="AY61" i="59"/>
  <c r="AY68" i="59"/>
  <c r="AY69" i="59"/>
  <c r="AY78" i="59"/>
  <c r="AY58" i="59"/>
  <c r="AY37" i="59"/>
  <c r="AY35" i="59"/>
  <c r="AY48" i="59"/>
  <c r="AY75" i="59"/>
  <c r="AY67" i="59"/>
  <c r="AY81" i="59"/>
  <c r="AY90" i="59"/>
  <c r="AY15" i="59"/>
  <c r="AY28" i="59"/>
  <c r="AY18" i="59"/>
  <c r="AY33" i="59"/>
  <c r="AY51" i="59"/>
  <c r="AY86" i="59"/>
  <c r="AY77" i="59"/>
  <c r="AY70" i="59"/>
  <c r="AY84" i="59"/>
  <c r="AY95" i="59"/>
  <c r="AY73" i="59"/>
  <c r="AY82" i="59"/>
  <c r="AY92" i="59"/>
  <c r="AY12" i="59"/>
  <c r="AY25" i="59"/>
  <c r="AY22" i="59"/>
  <c r="AY47" i="59"/>
  <c r="AY45" i="59"/>
  <c r="AY55" i="59"/>
  <c r="AY62" i="59"/>
  <c r="AY74" i="59"/>
  <c r="AY79" i="59"/>
  <c r="AY94" i="59"/>
  <c r="AY89" i="59"/>
  <c r="AY16" i="59"/>
  <c r="AY13" i="59"/>
  <c r="AY39" i="59"/>
  <c r="AY24" i="59"/>
  <c r="AY57" i="59"/>
  <c r="AY72" i="59"/>
  <c r="AY64" i="59"/>
  <c r="AY83" i="59"/>
  <c r="AY85" i="59"/>
  <c r="AY91" i="59"/>
  <c r="AY97" i="59"/>
  <c r="AZ8" i="59"/>
  <c r="AZ88" i="59" s="1"/>
  <c r="BA7" i="59"/>
  <c r="AZ26" i="59"/>
  <c r="AY31" i="59"/>
  <c r="AY23" i="59"/>
  <c r="AY44" i="59"/>
  <c r="AY27" i="59"/>
  <c r="AY80" i="59"/>
  <c r="AY46" i="59"/>
  <c r="AY66" i="59"/>
  <c r="AY52" i="59"/>
  <c r="AY59" i="59"/>
  <c r="AZ93" i="113"/>
  <c r="AZ96" i="113"/>
  <c r="AZ88" i="113"/>
  <c r="AZ91" i="113"/>
  <c r="AZ78" i="113"/>
  <c r="AZ81" i="113"/>
  <c r="AZ84" i="113"/>
  <c r="AZ79" i="113"/>
  <c r="AZ85" i="113"/>
  <c r="AZ70" i="113"/>
  <c r="AZ61" i="113"/>
  <c r="AZ82" i="113"/>
  <c r="AZ71" i="113"/>
  <c r="AZ53" i="113"/>
  <c r="AZ75" i="113"/>
  <c r="AZ63" i="113"/>
  <c r="AZ68" i="113"/>
  <c r="AZ60" i="113"/>
  <c r="AZ57" i="113"/>
  <c r="AZ52" i="113"/>
  <c r="AZ50" i="113"/>
  <c r="AZ45" i="113"/>
  <c r="AZ77" i="113"/>
  <c r="AZ30" i="113"/>
  <c r="AZ51" i="113"/>
  <c r="AZ42" i="113"/>
  <c r="AZ55" i="113"/>
  <c r="AZ46" i="113"/>
  <c r="AZ40" i="113"/>
  <c r="AZ36" i="113"/>
  <c r="AZ28" i="113"/>
  <c r="AZ23" i="113"/>
  <c r="AZ56" i="113"/>
  <c r="AZ33" i="113"/>
  <c r="AZ41" i="113"/>
  <c r="AZ29" i="113"/>
  <c r="AZ20" i="113"/>
  <c r="AZ37" i="113"/>
  <c r="AZ34" i="113"/>
  <c r="AZ38" i="113"/>
  <c r="AZ35" i="113"/>
  <c r="AZ26" i="113"/>
  <c r="AZ14" i="113"/>
  <c r="AZ58" i="113"/>
  <c r="AZ17" i="113"/>
  <c r="AZ47" i="113"/>
  <c r="AZ27" i="113"/>
  <c r="AZ24" i="113"/>
  <c r="AZ19" i="113"/>
  <c r="AZ11" i="113"/>
  <c r="BA7" i="113"/>
  <c r="AZ15" i="113"/>
  <c r="AZ18" i="113"/>
  <c r="AZ12" i="113"/>
  <c r="AZ16" i="113"/>
  <c r="AZ8" i="113"/>
  <c r="AZ92" i="113" s="1"/>
  <c r="AZ13" i="113"/>
  <c r="AY70" i="113"/>
  <c r="AY73" i="113"/>
  <c r="AY91" i="113"/>
  <c r="AY86" i="113"/>
  <c r="AY49" i="113"/>
  <c r="AY53" i="113"/>
  <c r="AY57" i="113"/>
  <c r="AY59" i="113"/>
  <c r="AY79" i="113"/>
  <c r="AY77" i="113"/>
  <c r="AY92" i="113"/>
  <c r="AY31" i="113"/>
  <c r="AY26" i="113"/>
  <c r="AY42" i="113"/>
  <c r="AY28" i="113"/>
  <c r="AY66" i="113"/>
  <c r="AY56" i="113"/>
  <c r="AY68" i="113"/>
  <c r="AY84" i="113"/>
  <c r="AY85" i="113"/>
  <c r="AZ91" i="111"/>
  <c r="AZ36" i="111"/>
  <c r="AZ63" i="111"/>
  <c r="AZ50" i="111"/>
  <c r="AZ56" i="111"/>
  <c r="AZ64" i="111"/>
  <c r="AZ61" i="111"/>
  <c r="AZ80" i="111"/>
  <c r="AZ79" i="111"/>
  <c r="AZ72" i="111"/>
  <c r="AZ96" i="111"/>
  <c r="AZ12" i="111"/>
  <c r="AZ38" i="111"/>
  <c r="AZ23" i="111"/>
  <c r="AZ44" i="111"/>
  <c r="AZ74" i="111"/>
  <c r="AZ67" i="111"/>
  <c r="AZ81" i="111"/>
  <c r="AZ75" i="111"/>
  <c r="AZ90" i="111"/>
  <c r="AZ45" i="111"/>
  <c r="AZ83" i="111"/>
  <c r="AZ73" i="111"/>
  <c r="AZ84" i="111"/>
  <c r="AZ68" i="111"/>
  <c r="AZ86" i="111"/>
  <c r="AZ13" i="111"/>
  <c r="AZ46" i="111"/>
  <c r="AZ49" i="111"/>
  <c r="AZ52" i="111"/>
  <c r="AZ93" i="111"/>
  <c r="AZ97" i="111"/>
  <c r="AZ39" i="111"/>
  <c r="AZ77" i="111"/>
  <c r="AZ95" i="111"/>
  <c r="AZ15" i="111"/>
  <c r="AZ25" i="111"/>
  <c r="AZ58" i="111"/>
  <c r="BA95" i="111"/>
  <c r="BA90" i="111"/>
  <c r="BA93" i="111"/>
  <c r="BA77" i="111"/>
  <c r="BA80" i="111"/>
  <c r="BA71" i="111"/>
  <c r="BA42" i="111"/>
  <c r="BA66" i="111"/>
  <c r="BA62" i="111"/>
  <c r="BA74" i="111"/>
  <c r="BA70" i="111"/>
  <c r="BA55" i="111"/>
  <c r="BA61" i="111"/>
  <c r="BA56" i="111"/>
  <c r="BA52" i="111"/>
  <c r="BA75" i="111"/>
  <c r="BA50" i="111"/>
  <c r="BA49" i="111"/>
  <c r="BA31" i="111"/>
  <c r="BA26" i="111"/>
  <c r="BA33" i="111"/>
  <c r="BA24" i="111"/>
  <c r="BB7" i="111"/>
  <c r="BA44" i="111"/>
  <c r="BA20" i="111"/>
  <c r="BA12" i="111"/>
  <c r="BA35" i="111"/>
  <c r="BA34" i="111"/>
  <c r="BA25" i="111"/>
  <c r="BA37" i="111"/>
  <c r="BA18" i="111"/>
  <c r="BA30" i="111"/>
  <c r="BA22" i="111"/>
  <c r="BA8" i="111"/>
  <c r="BA96" i="111" s="1"/>
  <c r="BA36" i="111"/>
  <c r="BA27" i="111"/>
  <c r="BA15" i="111"/>
  <c r="BA11" i="111"/>
  <c r="BA40" i="111"/>
  <c r="BA39" i="111"/>
  <c r="BA13" i="111"/>
  <c r="BA57" i="111"/>
  <c r="BA16" i="111"/>
  <c r="BA53" i="111"/>
  <c r="AZ19" i="111"/>
  <c r="AZ71" i="111"/>
  <c r="AZ94" i="111"/>
  <c r="AZ59" i="111"/>
  <c r="AZ48" i="111"/>
  <c r="AZ85" i="111"/>
  <c r="AZ92" i="111"/>
  <c r="AZ18" i="111"/>
  <c r="AZ34" i="111"/>
  <c r="AZ11" i="111"/>
  <c r="AZ28" i="111"/>
  <c r="AZ53" i="111"/>
  <c r="AZ51" i="111"/>
  <c r="AZ62" i="111"/>
  <c r="AZ57" i="111"/>
  <c r="AY56" i="109"/>
  <c r="AY35" i="109"/>
  <c r="AY27" i="109"/>
  <c r="AY67" i="109"/>
  <c r="AY78" i="109"/>
  <c r="AY70" i="109"/>
  <c r="AY74" i="109"/>
  <c r="AY95" i="109"/>
  <c r="AY19" i="109"/>
  <c r="AY61" i="109"/>
  <c r="AY73" i="109"/>
  <c r="AY46" i="109"/>
  <c r="AY45" i="109"/>
  <c r="AY85" i="109"/>
  <c r="AY69" i="109"/>
  <c r="AY83" i="109"/>
  <c r="AY89" i="109"/>
  <c r="AZ97" i="109"/>
  <c r="AZ66" i="109"/>
  <c r="AZ63" i="109"/>
  <c r="AZ89" i="109"/>
  <c r="AZ27" i="109"/>
  <c r="AZ37" i="109"/>
  <c r="AZ74" i="109"/>
  <c r="AZ34" i="109"/>
  <c r="AZ17" i="109"/>
  <c r="BA7" i="109"/>
  <c r="AZ20" i="109"/>
  <c r="AZ8" i="109"/>
  <c r="AZ83" i="109" s="1"/>
  <c r="AY51" i="109"/>
  <c r="AY22" i="109"/>
  <c r="AY44" i="109"/>
  <c r="AY40" i="109"/>
  <c r="AY25" i="109"/>
  <c r="AY15" i="109"/>
  <c r="AY52" i="109"/>
  <c r="AY59" i="109"/>
  <c r="AY75" i="109"/>
  <c r="AZ40" i="107"/>
  <c r="AZ59" i="107"/>
  <c r="AZ29" i="107"/>
  <c r="AZ56" i="107"/>
  <c r="AZ49" i="107"/>
  <c r="AZ61" i="107"/>
  <c r="AZ69" i="107"/>
  <c r="AZ89" i="107"/>
  <c r="AZ83" i="107"/>
  <c r="AZ86" i="107"/>
  <c r="AZ14" i="107"/>
  <c r="AZ12" i="107"/>
  <c r="AZ81" i="107"/>
  <c r="AZ33" i="107"/>
  <c r="AZ39" i="107"/>
  <c r="AZ58" i="107"/>
  <c r="AZ34" i="107"/>
  <c r="AZ53" i="107"/>
  <c r="AZ85" i="107"/>
  <c r="AZ94" i="107"/>
  <c r="AZ92" i="107"/>
  <c r="AZ11" i="107"/>
  <c r="AZ22" i="107"/>
  <c r="AZ24" i="107"/>
  <c r="AZ44" i="107"/>
  <c r="AZ70" i="107"/>
  <c r="AZ42" i="107"/>
  <c r="AZ75" i="107"/>
  <c r="AZ63" i="107"/>
  <c r="AZ91" i="107"/>
  <c r="BA95" i="107"/>
  <c r="BA97" i="107"/>
  <c r="BA73" i="107"/>
  <c r="BA62" i="107"/>
  <c r="BA46" i="107"/>
  <c r="BA28" i="107"/>
  <c r="BA52" i="107"/>
  <c r="BA40" i="107"/>
  <c r="BA42" i="107"/>
  <c r="BA71" i="107"/>
  <c r="BA44" i="107"/>
  <c r="BA50" i="107"/>
  <c r="BA34" i="107"/>
  <c r="BA33" i="107"/>
  <c r="BA29" i="107"/>
  <c r="BA35" i="107"/>
  <c r="BA51" i="107"/>
  <c r="BA25" i="107"/>
  <c r="BA45" i="107"/>
  <c r="BA17" i="107"/>
  <c r="BA11" i="107"/>
  <c r="BA23" i="107"/>
  <c r="BA14" i="107"/>
  <c r="BB7" i="107"/>
  <c r="BA13" i="107"/>
  <c r="BA8" i="107"/>
  <c r="BA90" i="107" s="1"/>
  <c r="BA38" i="107"/>
  <c r="BA59" i="107"/>
  <c r="BA24" i="107"/>
  <c r="AZ19" i="107"/>
  <c r="AZ20" i="107"/>
  <c r="AZ30" i="107"/>
  <c r="AZ41" i="107"/>
  <c r="AZ48" i="107"/>
  <c r="AZ28" i="107"/>
  <c r="AZ51" i="107"/>
  <c r="AZ68" i="107"/>
  <c r="AZ72" i="107"/>
  <c r="AZ88" i="107"/>
  <c r="AZ15" i="107"/>
  <c r="AZ13" i="107"/>
  <c r="AZ36" i="107"/>
  <c r="AZ47" i="107"/>
  <c r="AZ35" i="107"/>
  <c r="AZ37" i="107"/>
  <c r="AZ62" i="107"/>
  <c r="AZ71" i="107"/>
  <c r="AZ77" i="107"/>
  <c r="AZ14" i="105"/>
  <c r="AZ49" i="105"/>
  <c r="AZ62" i="105"/>
  <c r="AZ77" i="105"/>
  <c r="AZ67" i="105"/>
  <c r="AZ66" i="105"/>
  <c r="AZ82" i="105"/>
  <c r="AZ86" i="105"/>
  <c r="AZ30" i="105"/>
  <c r="AZ11" i="105"/>
  <c r="AZ23" i="105"/>
  <c r="AZ74" i="105"/>
  <c r="AZ45" i="105"/>
  <c r="AZ84" i="105"/>
  <c r="AZ72" i="105"/>
  <c r="AZ97" i="105"/>
  <c r="AZ89" i="105"/>
  <c r="AZ95" i="105"/>
  <c r="AZ25" i="105"/>
  <c r="AZ55" i="105"/>
  <c r="AZ19" i="105"/>
  <c r="AZ13" i="105"/>
  <c r="AZ33" i="105"/>
  <c r="AZ52" i="105"/>
  <c r="AZ59" i="105"/>
  <c r="AZ63" i="105"/>
  <c r="AZ78" i="105"/>
  <c r="AZ79" i="105"/>
  <c r="AZ92" i="105"/>
  <c r="BA95" i="105"/>
  <c r="BA90" i="105"/>
  <c r="BA89" i="105"/>
  <c r="BA73" i="105"/>
  <c r="BA81" i="105"/>
  <c r="BA97" i="105"/>
  <c r="BA63" i="105"/>
  <c r="BA67" i="105"/>
  <c r="BA74" i="105"/>
  <c r="BA84" i="105"/>
  <c r="BA52" i="105"/>
  <c r="BA36" i="105"/>
  <c r="BA37" i="105"/>
  <c r="BA27" i="105"/>
  <c r="BA42" i="105"/>
  <c r="BA44" i="105"/>
  <c r="BA49" i="105"/>
  <c r="BA51" i="105"/>
  <c r="BA26" i="105"/>
  <c r="BA17" i="105"/>
  <c r="BA33" i="105"/>
  <c r="BA14" i="105"/>
  <c r="BB7" i="105"/>
  <c r="BA28" i="105"/>
  <c r="BA24" i="105"/>
  <c r="BA57" i="105"/>
  <c r="BA25" i="105"/>
  <c r="BA18" i="105"/>
  <c r="BA13" i="105"/>
  <c r="BA22" i="105"/>
  <c r="BA12" i="105"/>
  <c r="BA8" i="105"/>
  <c r="BA93" i="105" s="1"/>
  <c r="AZ12" i="105"/>
  <c r="AZ27" i="105"/>
  <c r="AZ28" i="105"/>
  <c r="AZ26" i="105"/>
  <c r="AZ50" i="105"/>
  <c r="AZ71" i="105"/>
  <c r="AZ69" i="105"/>
  <c r="AZ94" i="105"/>
  <c r="AZ88" i="105"/>
  <c r="AZ48" i="105"/>
  <c r="AZ20" i="105"/>
  <c r="AZ31" i="105"/>
  <c r="AZ38" i="105"/>
  <c r="AZ34" i="105"/>
  <c r="AZ68" i="105"/>
  <c r="AZ61" i="105"/>
  <c r="AZ75" i="105"/>
  <c r="AZ80" i="105"/>
  <c r="AZ91" i="103"/>
  <c r="AZ30" i="103"/>
  <c r="AZ26" i="103"/>
  <c r="AZ42" i="103"/>
  <c r="AZ61" i="103"/>
  <c r="AZ38" i="103"/>
  <c r="AZ78" i="103"/>
  <c r="AZ62" i="103"/>
  <c r="AZ85" i="103"/>
  <c r="BA94" i="103"/>
  <c r="BA81" i="103"/>
  <c r="BA79" i="103"/>
  <c r="BA71" i="103"/>
  <c r="BA45" i="103"/>
  <c r="BA46" i="103"/>
  <c r="BA36" i="103"/>
  <c r="BA38" i="103"/>
  <c r="BA28" i="103"/>
  <c r="BA49" i="103"/>
  <c r="BA27" i="103"/>
  <c r="BA26" i="103"/>
  <c r="BA18" i="103"/>
  <c r="BA8" i="103"/>
  <c r="BA97" i="103" s="1"/>
  <c r="BA22" i="103"/>
  <c r="BA19" i="103"/>
  <c r="BB7" i="103"/>
  <c r="AY42" i="101"/>
  <c r="AY12" i="101"/>
  <c r="AY63" i="101"/>
  <c r="AY78" i="101"/>
  <c r="AY36" i="101"/>
  <c r="AY48" i="101"/>
  <c r="AY66" i="101"/>
  <c r="AY70" i="101"/>
  <c r="AY83" i="101"/>
  <c r="AY93" i="101"/>
  <c r="AY13" i="101"/>
  <c r="AY25" i="101"/>
  <c r="AY33" i="101"/>
  <c r="AY37" i="101"/>
  <c r="AY38" i="101"/>
  <c r="AY60" i="101"/>
  <c r="AY62" i="101"/>
  <c r="AY52" i="101"/>
  <c r="AY91" i="101"/>
  <c r="AY86" i="101"/>
  <c r="AY23" i="101"/>
  <c r="AY18" i="101"/>
  <c r="AY72" i="101"/>
  <c r="AY40" i="101"/>
  <c r="AY45" i="101"/>
  <c r="AY75" i="101"/>
  <c r="AY61" i="101"/>
  <c r="AY77" i="101"/>
  <c r="AY95" i="101"/>
  <c r="AY15" i="101"/>
  <c r="AY24" i="101"/>
  <c r="AY35" i="101"/>
  <c r="AY56" i="101"/>
  <c r="AY49" i="101"/>
  <c r="AY53" i="101"/>
  <c r="AY59" i="101"/>
  <c r="AY79" i="101"/>
  <c r="AY85" i="101"/>
  <c r="AY92" i="101"/>
  <c r="AZ92" i="101"/>
  <c r="AZ95" i="101"/>
  <c r="AZ96" i="101"/>
  <c r="AZ88" i="101"/>
  <c r="AZ91" i="101"/>
  <c r="AZ97" i="101"/>
  <c r="AZ89" i="101"/>
  <c r="AZ83" i="101"/>
  <c r="AZ78" i="101"/>
  <c r="AZ81" i="101"/>
  <c r="AZ82" i="101"/>
  <c r="AZ74" i="101"/>
  <c r="AZ75" i="101"/>
  <c r="AZ79" i="101"/>
  <c r="AZ70" i="101"/>
  <c r="AZ64" i="101"/>
  <c r="AZ56" i="101"/>
  <c r="AZ73" i="101"/>
  <c r="AZ68" i="101"/>
  <c r="AZ62" i="101"/>
  <c r="AZ71" i="101"/>
  <c r="AZ66" i="101"/>
  <c r="AZ69" i="101"/>
  <c r="AZ45" i="101"/>
  <c r="AZ60" i="101"/>
  <c r="AZ48" i="101"/>
  <c r="AZ51" i="101"/>
  <c r="AZ42" i="101"/>
  <c r="AZ59" i="101"/>
  <c r="AZ55" i="101"/>
  <c r="AZ46" i="101"/>
  <c r="AZ36" i="101"/>
  <c r="AZ50" i="101"/>
  <c r="AZ40" i="101"/>
  <c r="AZ39" i="101"/>
  <c r="AZ29" i="101"/>
  <c r="AZ57" i="101"/>
  <c r="AZ24" i="101"/>
  <c r="AZ61" i="101"/>
  <c r="AZ47" i="101"/>
  <c r="AZ35" i="101"/>
  <c r="AZ34" i="101"/>
  <c r="AZ63" i="101"/>
  <c r="AZ49" i="101"/>
  <c r="AZ31" i="101"/>
  <c r="AZ22" i="101"/>
  <c r="AZ72" i="101"/>
  <c r="AZ27" i="101"/>
  <c r="AZ37" i="101"/>
  <c r="AZ20" i="101"/>
  <c r="AZ19" i="101"/>
  <c r="AZ15" i="101"/>
  <c r="AZ11" i="101"/>
  <c r="AZ23" i="101"/>
  <c r="AZ14" i="101"/>
  <c r="AZ38" i="101"/>
  <c r="AZ8" i="101"/>
  <c r="AZ86" i="101" s="1"/>
  <c r="BA7" i="101"/>
  <c r="AZ13" i="101"/>
  <c r="AZ16" i="101"/>
  <c r="AZ25" i="101"/>
  <c r="AZ18" i="101"/>
  <c r="AZ17" i="101"/>
  <c r="AZ12" i="101"/>
  <c r="AY19" i="101"/>
  <c r="AY28" i="101"/>
  <c r="AY46" i="101"/>
  <c r="AY69" i="101"/>
  <c r="AY51" i="101"/>
  <c r="AY41" i="101"/>
  <c r="AY68" i="101"/>
  <c r="AY84" i="101"/>
  <c r="AY94" i="101"/>
  <c r="AY89" i="101"/>
  <c r="AY14" i="101"/>
  <c r="AY20" i="101"/>
  <c r="AY34" i="101"/>
  <c r="AY44" i="101"/>
  <c r="AY29" i="101"/>
  <c r="AY67" i="101"/>
  <c r="AY50" i="101"/>
  <c r="AY73" i="101"/>
  <c r="AY74" i="101"/>
  <c r="AY88" i="101"/>
  <c r="AY97" i="101"/>
  <c r="AY39" i="101"/>
  <c r="AY57" i="101"/>
  <c r="AY64" i="101"/>
  <c r="AY82" i="101"/>
  <c r="AY28" i="99"/>
  <c r="AY35" i="99"/>
  <c r="AY58" i="99"/>
  <c r="AY50" i="99"/>
  <c r="AY83" i="99"/>
  <c r="AY70" i="99"/>
  <c r="AY91" i="99"/>
  <c r="AY89" i="99"/>
  <c r="AZ88" i="99"/>
  <c r="AZ70" i="99"/>
  <c r="AZ71" i="99"/>
  <c r="AZ68" i="99"/>
  <c r="AZ58" i="99"/>
  <c r="AZ50" i="99"/>
  <c r="AZ28" i="99"/>
  <c r="AZ12" i="99"/>
  <c r="AZ15" i="99"/>
  <c r="AZ8" i="99"/>
  <c r="AZ92" i="99" s="1"/>
  <c r="AZ13" i="99"/>
  <c r="AZ45" i="99"/>
  <c r="AZ23" i="99"/>
  <c r="AZ19" i="99"/>
  <c r="AZ20" i="99"/>
  <c r="AZ17" i="99"/>
  <c r="AZ24" i="99"/>
  <c r="AZ14" i="99"/>
  <c r="BA7" i="99"/>
  <c r="AY29" i="99"/>
  <c r="AY47" i="99"/>
  <c r="AY63" i="99"/>
  <c r="AY36" i="99"/>
  <c r="AY56" i="99"/>
  <c r="AY68" i="99"/>
  <c r="AY67" i="99"/>
  <c r="AY93" i="99"/>
  <c r="AY53" i="99"/>
  <c r="AY37" i="99"/>
  <c r="AY45" i="99"/>
  <c r="AY52" i="99"/>
  <c r="AY77" i="99"/>
  <c r="AY75" i="99"/>
  <c r="AY90" i="99"/>
  <c r="AY26" i="97"/>
  <c r="AY14" i="97"/>
  <c r="AY85" i="97"/>
  <c r="AY52" i="97"/>
  <c r="AY53" i="97"/>
  <c r="AY41" i="97"/>
  <c r="AY58" i="97"/>
  <c r="AY79" i="97"/>
  <c r="AY93" i="97"/>
  <c r="AY36" i="97"/>
  <c r="AY12" i="97"/>
  <c r="AY13" i="97"/>
  <c r="AY59" i="97"/>
  <c r="AY46" i="97"/>
  <c r="AY35" i="97"/>
  <c r="AY60" i="97"/>
  <c r="AY55" i="97"/>
  <c r="AY84" i="97"/>
  <c r="AY86" i="97"/>
  <c r="AY11" i="97"/>
  <c r="AY23" i="97"/>
  <c r="AY29" i="97"/>
  <c r="AY24" i="97"/>
  <c r="AY48" i="97"/>
  <c r="AY51" i="97"/>
  <c r="AY78" i="97"/>
  <c r="AY64" i="97"/>
  <c r="AY81" i="97"/>
  <c r="AZ95" i="97"/>
  <c r="AZ90" i="97"/>
  <c r="AZ93" i="97"/>
  <c r="AZ96" i="97"/>
  <c r="AZ91" i="97"/>
  <c r="AZ89" i="97"/>
  <c r="AZ75" i="97"/>
  <c r="AZ67" i="97"/>
  <c r="AZ79" i="97"/>
  <c r="AZ73" i="97"/>
  <c r="AZ97" i="97"/>
  <c r="AZ77" i="97"/>
  <c r="AZ68" i="97"/>
  <c r="AZ74" i="97"/>
  <c r="AZ83" i="97"/>
  <c r="AZ66" i="97"/>
  <c r="AZ78" i="97"/>
  <c r="AZ71" i="97"/>
  <c r="AZ56" i="97"/>
  <c r="AZ69" i="97"/>
  <c r="AZ57" i="97"/>
  <c r="AZ80" i="97"/>
  <c r="AZ46" i="97"/>
  <c r="AZ60" i="97"/>
  <c r="AZ29" i="97"/>
  <c r="AZ51" i="97"/>
  <c r="AZ36" i="97"/>
  <c r="AZ39" i="97"/>
  <c r="AZ52" i="97"/>
  <c r="AZ49" i="97"/>
  <c r="AZ50" i="97"/>
  <c r="AZ40" i="97"/>
  <c r="AZ18" i="97"/>
  <c r="AZ8" i="97"/>
  <c r="AZ88" i="97" s="1"/>
  <c r="AZ33" i="97"/>
  <c r="AZ37" i="97"/>
  <c r="AZ53" i="97"/>
  <c r="AZ25" i="97"/>
  <c r="AZ16" i="97"/>
  <c r="AZ44" i="97"/>
  <c r="AZ42" i="97"/>
  <c r="AZ41" i="97"/>
  <c r="AZ35" i="97"/>
  <c r="AZ28" i="97"/>
  <c r="AZ27" i="97"/>
  <c r="AZ23" i="97"/>
  <c r="AZ55" i="97"/>
  <c r="AZ24" i="97"/>
  <c r="AZ19" i="97"/>
  <c r="AZ15" i="97"/>
  <c r="AZ62" i="97"/>
  <c r="AZ31" i="97"/>
  <c r="BA7" i="97"/>
  <c r="AZ81" i="97"/>
  <c r="AZ26" i="97"/>
  <c r="AZ22" i="97"/>
  <c r="AZ14" i="97"/>
  <c r="AZ12" i="97"/>
  <c r="AZ11" i="97"/>
  <c r="AZ63" i="97"/>
  <c r="AZ30" i="97"/>
  <c r="AZ17" i="97"/>
  <c r="AZ20" i="97"/>
  <c r="AZ13" i="97"/>
  <c r="BA27" i="95"/>
  <c r="BA11" i="95"/>
  <c r="BA12" i="95"/>
  <c r="BA24" i="95"/>
  <c r="BA19" i="95"/>
  <c r="BA16" i="95"/>
  <c r="BA63" i="95"/>
  <c r="BA23" i="95"/>
  <c r="BA25" i="95"/>
  <c r="BA30" i="95"/>
  <c r="BA38" i="95"/>
  <c r="BA26" i="95"/>
  <c r="BA75" i="95"/>
  <c r="BA56" i="95"/>
  <c r="BA61" i="95"/>
  <c r="BA42" i="95"/>
  <c r="BA84" i="95"/>
  <c r="BA82" i="95"/>
  <c r="BA95" i="95"/>
  <c r="BA14" i="95"/>
  <c r="BA33" i="95"/>
  <c r="BB8" i="95"/>
  <c r="BB80" i="95" s="1"/>
  <c r="BC7" i="95"/>
  <c r="BA48" i="95"/>
  <c r="BA37" i="95"/>
  <c r="BA34" i="95"/>
  <c r="BA15" i="95"/>
  <c r="BA41" i="95"/>
  <c r="BA31" i="95"/>
  <c r="BA89" i="95"/>
  <c r="BA71" i="95"/>
  <c r="BA64" i="95"/>
  <c r="BA67" i="95"/>
  <c r="BA60" i="95"/>
  <c r="BA93" i="95"/>
  <c r="BA81" i="95"/>
  <c r="BA18" i="95"/>
  <c r="BA20" i="95"/>
  <c r="BA46" i="95"/>
  <c r="BA36" i="95"/>
  <c r="BA17" i="95"/>
  <c r="BA44" i="95"/>
  <c r="BA39" i="95"/>
  <c r="BA45" i="95"/>
  <c r="BA51" i="95"/>
  <c r="BA74" i="95"/>
  <c r="BA92" i="95"/>
  <c r="BA68" i="95"/>
  <c r="BA72" i="95"/>
  <c r="BA88" i="95"/>
  <c r="BA22" i="95"/>
  <c r="BA13" i="95"/>
  <c r="BA50" i="95"/>
  <c r="BA40" i="95"/>
  <c r="BA47" i="95"/>
  <c r="BA57" i="95"/>
  <c r="BA83" i="95"/>
  <c r="BA77" i="95"/>
  <c r="BA70" i="95"/>
  <c r="BA79" i="95"/>
  <c r="BA90" i="95"/>
  <c r="BA52" i="95"/>
  <c r="BA59" i="95"/>
  <c r="BA58" i="95"/>
  <c r="BA86" i="95"/>
  <c r="BA78" i="95"/>
  <c r="BA80" i="95"/>
  <c r="BA94" i="95"/>
  <c r="BA96" i="95"/>
  <c r="BA28" i="95"/>
  <c r="BA85" i="95"/>
  <c r="BA35" i="95"/>
  <c r="BA29" i="95"/>
  <c r="BA55" i="95"/>
  <c r="BA62" i="95"/>
  <c r="BA73" i="95"/>
  <c r="BA69" i="95"/>
  <c r="BA49" i="95"/>
  <c r="BA66" i="95"/>
  <c r="BA53" i="95"/>
  <c r="BA91" i="95"/>
  <c r="AZ61" i="59" l="1"/>
  <c r="AZ20" i="59"/>
  <c r="AZ25" i="59"/>
  <c r="AZ47" i="59"/>
  <c r="AZ59" i="59"/>
  <c r="AZ84" i="59"/>
  <c r="AZ36" i="59"/>
  <c r="AZ93" i="59"/>
  <c r="AZ11" i="59"/>
  <c r="AZ22" i="59"/>
  <c r="AZ38" i="59"/>
  <c r="AZ56" i="59"/>
  <c r="AZ19" i="59"/>
  <c r="AZ30" i="59"/>
  <c r="AZ45" i="59"/>
  <c r="AZ66" i="59"/>
  <c r="AZ44" i="59"/>
  <c r="AZ82" i="59"/>
  <c r="AZ83" i="59"/>
  <c r="AZ13" i="59"/>
  <c r="AZ15" i="59"/>
  <c r="AZ42" i="59"/>
  <c r="AZ78" i="59"/>
  <c r="AZ16" i="59"/>
  <c r="AZ48" i="59"/>
  <c r="AZ39" i="59"/>
  <c r="AZ27" i="59"/>
  <c r="AZ58" i="59"/>
  <c r="AZ57" i="59"/>
  <c r="AZ64" i="59"/>
  <c r="AZ74" i="59"/>
  <c r="AZ81" i="59"/>
  <c r="AZ96" i="59"/>
  <c r="AZ18" i="59"/>
  <c r="AZ33" i="59"/>
  <c r="AZ49" i="59"/>
  <c r="AZ60" i="59"/>
  <c r="AZ68" i="59"/>
  <c r="AZ73" i="59"/>
  <c r="AZ77" i="59"/>
  <c r="AZ90" i="59"/>
  <c r="AZ12" i="59"/>
  <c r="AZ35" i="59"/>
  <c r="AZ28" i="59"/>
  <c r="AZ34" i="59"/>
  <c r="AZ41" i="59"/>
  <c r="AZ55" i="59"/>
  <c r="AZ63" i="59"/>
  <c r="AZ69" i="59"/>
  <c r="AZ79" i="59"/>
  <c r="AZ85" i="59"/>
  <c r="AZ95" i="59"/>
  <c r="BB7" i="59"/>
  <c r="BA8" i="59"/>
  <c r="BA96" i="59" s="1"/>
  <c r="AZ46" i="59"/>
  <c r="AZ67" i="59"/>
  <c r="AZ72" i="59"/>
  <c r="AZ62" i="59"/>
  <c r="AZ89" i="59"/>
  <c r="AZ92" i="59"/>
  <c r="AZ31" i="59"/>
  <c r="AZ17" i="59"/>
  <c r="AZ23" i="59"/>
  <c r="AZ24" i="59"/>
  <c r="AZ51" i="59"/>
  <c r="AZ50" i="59"/>
  <c r="AZ70" i="59"/>
  <c r="AZ75" i="59"/>
  <c r="AZ71" i="59"/>
  <c r="AZ94" i="59"/>
  <c r="AZ37" i="59"/>
  <c r="AZ14" i="59"/>
  <c r="AZ40" i="59"/>
  <c r="AZ52" i="59"/>
  <c r="AZ29" i="59"/>
  <c r="AZ53" i="59"/>
  <c r="AZ86" i="59"/>
  <c r="AZ80" i="59"/>
  <c r="AZ97" i="59"/>
  <c r="AZ91" i="59"/>
  <c r="BA91" i="113"/>
  <c r="BA94" i="113"/>
  <c r="BA92" i="113"/>
  <c r="BA84" i="113"/>
  <c r="BA97" i="113"/>
  <c r="BA82" i="113"/>
  <c r="BA66" i="113"/>
  <c r="BA57" i="113"/>
  <c r="BA77" i="113"/>
  <c r="BA60" i="113"/>
  <c r="BA55" i="113"/>
  <c r="BA72" i="113"/>
  <c r="BA69" i="113"/>
  <c r="BA39" i="113"/>
  <c r="BA67" i="113"/>
  <c r="BA53" i="113"/>
  <c r="BA51" i="113"/>
  <c r="BA37" i="113"/>
  <c r="BA49" i="113"/>
  <c r="BA44" i="113"/>
  <c r="BA35" i="113"/>
  <c r="BA50" i="113"/>
  <c r="BA41" i="113"/>
  <c r="BA29" i="113"/>
  <c r="BA24" i="113"/>
  <c r="BA58" i="113"/>
  <c r="BA36" i="113"/>
  <c r="BA28" i="113"/>
  <c r="BA22" i="113"/>
  <c r="BA23" i="113"/>
  <c r="BA38" i="113"/>
  <c r="BA45" i="113"/>
  <c r="BA31" i="113"/>
  <c r="BA19" i="113"/>
  <c r="BA11" i="113"/>
  <c r="BB7" i="113"/>
  <c r="BA59" i="113"/>
  <c r="BA15" i="113"/>
  <c r="BA16" i="113"/>
  <c r="BA8" i="113"/>
  <c r="BA95" i="113" s="1"/>
  <c r="AZ74" i="113"/>
  <c r="AZ90" i="113"/>
  <c r="AZ31" i="113"/>
  <c r="AZ39" i="113"/>
  <c r="AZ69" i="113"/>
  <c r="AZ59" i="113"/>
  <c r="AZ94" i="113"/>
  <c r="AZ83" i="113"/>
  <c r="AZ86" i="113"/>
  <c r="AZ48" i="113"/>
  <c r="AZ72" i="113"/>
  <c r="AZ67" i="113"/>
  <c r="AZ97" i="113"/>
  <c r="AZ89" i="113"/>
  <c r="AZ95" i="113"/>
  <c r="AZ25" i="113"/>
  <c r="AZ22" i="113"/>
  <c r="AZ44" i="113"/>
  <c r="AZ49" i="113"/>
  <c r="AZ66" i="113"/>
  <c r="AZ64" i="113"/>
  <c r="AZ62" i="113"/>
  <c r="AZ73" i="113"/>
  <c r="AZ80" i="113"/>
  <c r="BA23" i="111"/>
  <c r="BA58" i="111"/>
  <c r="BA69" i="111"/>
  <c r="BA63" i="111"/>
  <c r="BA72" i="111"/>
  <c r="BA92" i="111"/>
  <c r="BA86" i="111"/>
  <c r="BA17" i="111"/>
  <c r="BB90" i="111"/>
  <c r="BB93" i="111"/>
  <c r="BB89" i="111"/>
  <c r="BB80" i="111"/>
  <c r="BB83" i="111"/>
  <c r="BB55" i="111"/>
  <c r="BB37" i="111"/>
  <c r="BB73" i="111"/>
  <c r="BB51" i="111"/>
  <c r="BB62" i="111"/>
  <c r="BB61" i="111"/>
  <c r="BB75" i="111"/>
  <c r="BB59" i="111"/>
  <c r="BB58" i="111"/>
  <c r="BB86" i="111"/>
  <c r="BB35" i="111"/>
  <c r="BB69" i="111"/>
  <c r="BB72" i="111"/>
  <c r="BB70" i="111"/>
  <c r="BB44" i="111"/>
  <c r="BB41" i="111"/>
  <c r="BB29" i="111"/>
  <c r="BB20" i="111"/>
  <c r="BB27" i="111"/>
  <c r="BB38" i="111"/>
  <c r="BB30" i="111"/>
  <c r="BB25" i="111"/>
  <c r="BB12" i="111"/>
  <c r="BB45" i="111"/>
  <c r="BB8" i="111"/>
  <c r="BB96" i="111" s="1"/>
  <c r="BC7" i="111"/>
  <c r="BB24" i="111"/>
  <c r="BB18" i="111"/>
  <c r="BB36" i="111"/>
  <c r="BB22" i="111"/>
  <c r="BB14" i="111"/>
  <c r="BB16" i="111"/>
  <c r="BB28" i="111"/>
  <c r="BB11" i="111"/>
  <c r="BB84" i="111"/>
  <c r="BB33" i="111"/>
  <c r="BB13" i="111"/>
  <c r="BA64" i="111"/>
  <c r="BA83" i="111"/>
  <c r="BA68" i="111"/>
  <c r="BA67" i="111"/>
  <c r="BA51" i="111"/>
  <c r="BA85" i="111"/>
  <c r="BA81" i="111"/>
  <c r="BA19" i="111"/>
  <c r="BA14" i="111"/>
  <c r="BA48" i="111"/>
  <c r="BA38" i="111"/>
  <c r="BA78" i="111"/>
  <c r="BA73" i="111"/>
  <c r="BA60" i="111"/>
  <c r="BA94" i="111"/>
  <c r="BA84" i="111"/>
  <c r="BA29" i="111"/>
  <c r="BA28" i="111"/>
  <c r="BA46" i="111"/>
  <c r="BA41" i="111"/>
  <c r="BA88" i="111"/>
  <c r="BA97" i="111"/>
  <c r="BA82" i="111"/>
  <c r="BA91" i="111"/>
  <c r="BA47" i="111"/>
  <c r="BA45" i="111"/>
  <c r="BA79" i="111"/>
  <c r="BA59" i="111"/>
  <c r="BA89" i="111"/>
  <c r="AZ13" i="109"/>
  <c r="AZ42" i="109"/>
  <c r="AZ44" i="109"/>
  <c r="AZ40" i="109"/>
  <c r="AZ47" i="109"/>
  <c r="AZ36" i="109"/>
  <c r="AZ56" i="109"/>
  <c r="AZ80" i="109"/>
  <c r="AZ69" i="109"/>
  <c r="AZ88" i="109"/>
  <c r="AZ15" i="109"/>
  <c r="AZ24" i="109"/>
  <c r="AZ25" i="109"/>
  <c r="AZ67" i="109"/>
  <c r="AZ50" i="109"/>
  <c r="AZ46" i="109"/>
  <c r="AZ68" i="109"/>
  <c r="AZ57" i="109"/>
  <c r="AZ81" i="109"/>
  <c r="AZ96" i="109"/>
  <c r="AZ23" i="109"/>
  <c r="AZ35" i="109"/>
  <c r="AZ26" i="109"/>
  <c r="AZ82" i="109"/>
  <c r="AZ22" i="109"/>
  <c r="AZ49" i="109"/>
  <c r="AZ58" i="109"/>
  <c r="AZ59" i="109"/>
  <c r="AZ94" i="109"/>
  <c r="AZ93" i="109"/>
  <c r="AZ12" i="109"/>
  <c r="AZ38" i="109"/>
  <c r="AZ31" i="109"/>
  <c r="AZ85" i="109"/>
  <c r="AZ30" i="109"/>
  <c r="AZ75" i="109"/>
  <c r="AZ64" i="109"/>
  <c r="AZ86" i="109"/>
  <c r="AZ84" i="109"/>
  <c r="AZ90" i="109"/>
  <c r="AZ52" i="109"/>
  <c r="AZ14" i="109"/>
  <c r="AZ41" i="109"/>
  <c r="AZ45" i="109"/>
  <c r="AZ77" i="109"/>
  <c r="AZ39" i="109"/>
  <c r="AZ48" i="109"/>
  <c r="AZ70" i="109"/>
  <c r="AZ73" i="109"/>
  <c r="AZ78" i="109"/>
  <c r="AZ95" i="109"/>
  <c r="AZ16" i="109"/>
  <c r="BA8" i="109"/>
  <c r="BA96" i="109" s="1"/>
  <c r="BB7" i="109"/>
  <c r="AZ11" i="109"/>
  <c r="AZ51" i="109"/>
  <c r="AZ19" i="109"/>
  <c r="AZ60" i="109"/>
  <c r="AZ53" i="109"/>
  <c r="AZ71" i="109"/>
  <c r="AZ79" i="109"/>
  <c r="AZ91" i="109"/>
  <c r="AZ92" i="109"/>
  <c r="AZ33" i="109"/>
  <c r="AZ29" i="109"/>
  <c r="AZ55" i="109"/>
  <c r="AZ28" i="109"/>
  <c r="AZ18" i="109"/>
  <c r="AZ61" i="109"/>
  <c r="AZ72" i="109"/>
  <c r="AZ62" i="109"/>
  <c r="BA12" i="107"/>
  <c r="BB90" i="107"/>
  <c r="BB88" i="107"/>
  <c r="BB94" i="107"/>
  <c r="BB89" i="107"/>
  <c r="BB92" i="107"/>
  <c r="BB81" i="107"/>
  <c r="BB70" i="107"/>
  <c r="BB82" i="107"/>
  <c r="BB84" i="107"/>
  <c r="BB69" i="107"/>
  <c r="BB66" i="107"/>
  <c r="BB62" i="107"/>
  <c r="BB77" i="107"/>
  <c r="BB55" i="107"/>
  <c r="BB58" i="107"/>
  <c r="BB52" i="107"/>
  <c r="BB49" i="107"/>
  <c r="BB40" i="107"/>
  <c r="BB31" i="107"/>
  <c r="BB47" i="107"/>
  <c r="BB85" i="107"/>
  <c r="BB63" i="107"/>
  <c r="BB57" i="107"/>
  <c r="BB39" i="107"/>
  <c r="BB75" i="107"/>
  <c r="BB33" i="107"/>
  <c r="BB67" i="107"/>
  <c r="BB56" i="107"/>
  <c r="BB73" i="107"/>
  <c r="BB38" i="107"/>
  <c r="BB30" i="107"/>
  <c r="BB22" i="107"/>
  <c r="BB42" i="107"/>
  <c r="BB25" i="107"/>
  <c r="BB45" i="107"/>
  <c r="BB60" i="107"/>
  <c r="BB37" i="107"/>
  <c r="BB23" i="107"/>
  <c r="BB48" i="107"/>
  <c r="BB14" i="107"/>
  <c r="BC7" i="107"/>
  <c r="BB46" i="107"/>
  <c r="BB29" i="107"/>
  <c r="BB26" i="107"/>
  <c r="BB17" i="107"/>
  <c r="BB8" i="107"/>
  <c r="BB93" i="107" s="1"/>
  <c r="BB41" i="107"/>
  <c r="BB13" i="107"/>
  <c r="BB27" i="107"/>
  <c r="BB28" i="107"/>
  <c r="BB24" i="107"/>
  <c r="BB12" i="107"/>
  <c r="BB15" i="107"/>
  <c r="BA19" i="107"/>
  <c r="BA27" i="107"/>
  <c r="BA39" i="107"/>
  <c r="BA31" i="107"/>
  <c r="BA72" i="107"/>
  <c r="BA80" i="107"/>
  <c r="BA83" i="107"/>
  <c r="BA89" i="107"/>
  <c r="BA86" i="107"/>
  <c r="BA49" i="107"/>
  <c r="BA37" i="107"/>
  <c r="BA66" i="107"/>
  <c r="BA67" i="107"/>
  <c r="BA94" i="107"/>
  <c r="BA74" i="107"/>
  <c r="BA81" i="107"/>
  <c r="BA91" i="107"/>
  <c r="BA20" i="107"/>
  <c r="BA22" i="107"/>
  <c r="BA41" i="107"/>
  <c r="BA48" i="107"/>
  <c r="BA53" i="107"/>
  <c r="BA60" i="107"/>
  <c r="BA57" i="107"/>
  <c r="BA78" i="107"/>
  <c r="BA88" i="107"/>
  <c r="BA16" i="107"/>
  <c r="BA56" i="107"/>
  <c r="BA30" i="107"/>
  <c r="BA47" i="107"/>
  <c r="BA69" i="107"/>
  <c r="BA58" i="107"/>
  <c r="BA61" i="107"/>
  <c r="BA79" i="107"/>
  <c r="BA77" i="107"/>
  <c r="BA96" i="107"/>
  <c r="BA82" i="107"/>
  <c r="BA68" i="107"/>
  <c r="BA63" i="107"/>
  <c r="BA84" i="107"/>
  <c r="BA85" i="107"/>
  <c r="BA93" i="107"/>
  <c r="BA15" i="107"/>
  <c r="BA26" i="107"/>
  <c r="BA18" i="107"/>
  <c r="BA36" i="107"/>
  <c r="BA55" i="107"/>
  <c r="BA70" i="107"/>
  <c r="BA64" i="107"/>
  <c r="BA75" i="107"/>
  <c r="BA92" i="107"/>
  <c r="BA30" i="105"/>
  <c r="BA23" i="105"/>
  <c r="BA16" i="105"/>
  <c r="BA35" i="105"/>
  <c r="BA45" i="105"/>
  <c r="BA66" i="105"/>
  <c r="BA55" i="105"/>
  <c r="BA72" i="105"/>
  <c r="BA82" i="105"/>
  <c r="BA86" i="105"/>
  <c r="BA41" i="105"/>
  <c r="BA15" i="105"/>
  <c r="BA40" i="105"/>
  <c r="BA31" i="105"/>
  <c r="BA47" i="105"/>
  <c r="BA58" i="105"/>
  <c r="BA59" i="105"/>
  <c r="BA60" i="105"/>
  <c r="BA78" i="105"/>
  <c r="BA94" i="105"/>
  <c r="BA29" i="105"/>
  <c r="BA50" i="105"/>
  <c r="BA56" i="105"/>
  <c r="BA69" i="105"/>
  <c r="BA83" i="105"/>
  <c r="BA91" i="105"/>
  <c r="BA20" i="105"/>
  <c r="BA34" i="105"/>
  <c r="BA11" i="105"/>
  <c r="BA71" i="105"/>
  <c r="BA46" i="105"/>
  <c r="BA68" i="105"/>
  <c r="BA64" i="105"/>
  <c r="BA75" i="105"/>
  <c r="BA92" i="105"/>
  <c r="BA88" i="105"/>
  <c r="BA19" i="105"/>
  <c r="BA38" i="105"/>
  <c r="BA39" i="105"/>
  <c r="BA53" i="105"/>
  <c r="BA61" i="105"/>
  <c r="BA80" i="105"/>
  <c r="BA77" i="105"/>
  <c r="BA96" i="105"/>
  <c r="BB96" i="105"/>
  <c r="BB88" i="105"/>
  <c r="BB91" i="105"/>
  <c r="BB94" i="105"/>
  <c r="BB89" i="105"/>
  <c r="BB85" i="105"/>
  <c r="BB80" i="105"/>
  <c r="BB92" i="105"/>
  <c r="BB83" i="105"/>
  <c r="BB78" i="105"/>
  <c r="BB95" i="105"/>
  <c r="BB84" i="105"/>
  <c r="BB63" i="105"/>
  <c r="BB67" i="105"/>
  <c r="BB58" i="105"/>
  <c r="BB82" i="105"/>
  <c r="BB70" i="105"/>
  <c r="BB64" i="105"/>
  <c r="BB73" i="105"/>
  <c r="BB68" i="105"/>
  <c r="BB59" i="105"/>
  <c r="BB86" i="105"/>
  <c r="BB74" i="105"/>
  <c r="BB66" i="105"/>
  <c r="BB62" i="105"/>
  <c r="BB53" i="105"/>
  <c r="BB71" i="105"/>
  <c r="BB57" i="105"/>
  <c r="BB45" i="105"/>
  <c r="BB48" i="105"/>
  <c r="BB60" i="105"/>
  <c r="BB55" i="105"/>
  <c r="BB51" i="105"/>
  <c r="BB42" i="105"/>
  <c r="BB40" i="105"/>
  <c r="BB33" i="105"/>
  <c r="BB44" i="105"/>
  <c r="BB31" i="105"/>
  <c r="BB61" i="105"/>
  <c r="BB50" i="105"/>
  <c r="BB38" i="105"/>
  <c r="BB36" i="105"/>
  <c r="BB26" i="105"/>
  <c r="BB19" i="105"/>
  <c r="BB11" i="105"/>
  <c r="BB12" i="105"/>
  <c r="BB14" i="105"/>
  <c r="BC7" i="105"/>
  <c r="BB35" i="105"/>
  <c r="BB28" i="105"/>
  <c r="BB17" i="105"/>
  <c r="BB20" i="105"/>
  <c r="BB25" i="105"/>
  <c r="BB18" i="105"/>
  <c r="BB8" i="105"/>
  <c r="BB97" i="105" s="1"/>
  <c r="BB47" i="105"/>
  <c r="BB37" i="105"/>
  <c r="BB22" i="105"/>
  <c r="BB15" i="105"/>
  <c r="BB29" i="105"/>
  <c r="BB16" i="105"/>
  <c r="BB24" i="105"/>
  <c r="BB13" i="105"/>
  <c r="BA48" i="105"/>
  <c r="BA62" i="105"/>
  <c r="BA70" i="105"/>
  <c r="BA79" i="105"/>
  <c r="BA85" i="105"/>
  <c r="BA11" i="103"/>
  <c r="BA15" i="103"/>
  <c r="BA20" i="103"/>
  <c r="BA37" i="103"/>
  <c r="BA51" i="103"/>
  <c r="BA53" i="103"/>
  <c r="BA56" i="103"/>
  <c r="BA63" i="103"/>
  <c r="BA78" i="103"/>
  <c r="BA91" i="103"/>
  <c r="BA16" i="103"/>
  <c r="BA25" i="103"/>
  <c r="BA29" i="103"/>
  <c r="BA47" i="103"/>
  <c r="BA58" i="103"/>
  <c r="BA55" i="103"/>
  <c r="BA59" i="103"/>
  <c r="BA72" i="103"/>
  <c r="BA86" i="103"/>
  <c r="BA88" i="103"/>
  <c r="BA33" i="103"/>
  <c r="BA12" i="103"/>
  <c r="BA35" i="103"/>
  <c r="BA52" i="103"/>
  <c r="BA61" i="103"/>
  <c r="BA62" i="103"/>
  <c r="BA82" i="103"/>
  <c r="BA57" i="103"/>
  <c r="BA83" i="103"/>
  <c r="BA96" i="103"/>
  <c r="BA13" i="103"/>
  <c r="BA17" i="103"/>
  <c r="BA40" i="103"/>
  <c r="BA34" i="103"/>
  <c r="BA64" i="103"/>
  <c r="BA41" i="103"/>
  <c r="BA85" i="103"/>
  <c r="BA66" i="103"/>
  <c r="BA92" i="103"/>
  <c r="BA93" i="103"/>
  <c r="BA14" i="103"/>
  <c r="BA24" i="103"/>
  <c r="BA30" i="103"/>
  <c r="BA23" i="103"/>
  <c r="BA42" i="103"/>
  <c r="BA68" i="103"/>
  <c r="BA50" i="103"/>
  <c r="BA70" i="103"/>
  <c r="BA74" i="103"/>
  <c r="BA80" i="103"/>
  <c r="BA90" i="103"/>
  <c r="BB91" i="103"/>
  <c r="BB81" i="103"/>
  <c r="BB79" i="103"/>
  <c r="BB72" i="103"/>
  <c r="BB75" i="103"/>
  <c r="BB80" i="103"/>
  <c r="BB66" i="103"/>
  <c r="BB56" i="103"/>
  <c r="BB62" i="103"/>
  <c r="BB61" i="103"/>
  <c r="BB55" i="103"/>
  <c r="BB45" i="103"/>
  <c r="BB42" i="103"/>
  <c r="BB46" i="103"/>
  <c r="BB38" i="103"/>
  <c r="BB44" i="103"/>
  <c r="BB31" i="103"/>
  <c r="BB40" i="103"/>
  <c r="BB36" i="103"/>
  <c r="BB30" i="103"/>
  <c r="BB22" i="103"/>
  <c r="BB47" i="103"/>
  <c r="BB23" i="103"/>
  <c r="BB18" i="103"/>
  <c r="BB8" i="103"/>
  <c r="BB94" i="103" s="1"/>
  <c r="BB35" i="103"/>
  <c r="BB13" i="103"/>
  <c r="BB29" i="103"/>
  <c r="BB27" i="103"/>
  <c r="BB16" i="103"/>
  <c r="BB11" i="103"/>
  <c r="BB28" i="103"/>
  <c r="BB20" i="103"/>
  <c r="BB14" i="103"/>
  <c r="BC7" i="103"/>
  <c r="BB17" i="103"/>
  <c r="BA44" i="103"/>
  <c r="BA31" i="103"/>
  <c r="BA60" i="103"/>
  <c r="BA39" i="103"/>
  <c r="BA69" i="103"/>
  <c r="BA73" i="103"/>
  <c r="BA75" i="103"/>
  <c r="BA89" i="103"/>
  <c r="BA95" i="103"/>
  <c r="BA48" i="103"/>
  <c r="BA77" i="103"/>
  <c r="BA67" i="103"/>
  <c r="BA84" i="103"/>
  <c r="AZ30" i="101"/>
  <c r="AZ41" i="101"/>
  <c r="AZ26" i="101"/>
  <c r="AZ67" i="101"/>
  <c r="AZ53" i="101"/>
  <c r="AZ77" i="101"/>
  <c r="AZ94" i="101"/>
  <c r="AZ93" i="101"/>
  <c r="BA96" i="101"/>
  <c r="BA91" i="101"/>
  <c r="BA94" i="101"/>
  <c r="BA97" i="101"/>
  <c r="BA75" i="101"/>
  <c r="BA72" i="101"/>
  <c r="BA73" i="101"/>
  <c r="BA59" i="101"/>
  <c r="BA80" i="101"/>
  <c r="BA69" i="101"/>
  <c r="BA78" i="101"/>
  <c r="BA63" i="101"/>
  <c r="BA48" i="101"/>
  <c r="BA67" i="101"/>
  <c r="BA51" i="101"/>
  <c r="BA61" i="101"/>
  <c r="BA56" i="101"/>
  <c r="BA47" i="101"/>
  <c r="BA24" i="101"/>
  <c r="BA27" i="101"/>
  <c r="BA70" i="101"/>
  <c r="BA45" i="101"/>
  <c r="BA31" i="101"/>
  <c r="BA34" i="101"/>
  <c r="BA15" i="101"/>
  <c r="BA8" i="101"/>
  <c r="BA95" i="101" s="1"/>
  <c r="BB7" i="101"/>
  <c r="BA30" i="101"/>
  <c r="BA22" i="101"/>
  <c r="BA11" i="101"/>
  <c r="BA23" i="101"/>
  <c r="BA14" i="101"/>
  <c r="AZ90" i="101"/>
  <c r="AZ28" i="101"/>
  <c r="AZ52" i="101"/>
  <c r="AZ33" i="101"/>
  <c r="AZ44" i="101"/>
  <c r="AZ58" i="101"/>
  <c r="AZ85" i="101"/>
  <c r="AZ84" i="101"/>
  <c r="AZ80" i="101"/>
  <c r="AZ25" i="99"/>
  <c r="AZ49" i="99"/>
  <c r="AZ48" i="99"/>
  <c r="AZ42" i="99"/>
  <c r="AZ62" i="99"/>
  <c r="AZ83" i="99"/>
  <c r="AZ82" i="99"/>
  <c r="AZ91" i="99"/>
  <c r="AZ35" i="99"/>
  <c r="AZ63" i="99"/>
  <c r="AZ61" i="99"/>
  <c r="AZ39" i="99"/>
  <c r="AZ59" i="99"/>
  <c r="AZ80" i="99"/>
  <c r="AZ79" i="99"/>
  <c r="AZ96" i="99"/>
  <c r="AZ36" i="99"/>
  <c r="AZ22" i="99"/>
  <c r="AZ40" i="99"/>
  <c r="AZ51" i="99"/>
  <c r="AZ72" i="99"/>
  <c r="AZ77" i="99"/>
  <c r="AZ67" i="99"/>
  <c r="AZ93" i="99"/>
  <c r="AZ29" i="99"/>
  <c r="AZ18" i="99"/>
  <c r="AZ44" i="99"/>
  <c r="AZ30" i="99"/>
  <c r="AZ52" i="99"/>
  <c r="AZ81" i="99"/>
  <c r="AZ47" i="99"/>
  <c r="AZ85" i="99"/>
  <c r="AZ75" i="99"/>
  <c r="AZ90" i="99"/>
  <c r="AZ55" i="99"/>
  <c r="AZ26" i="99"/>
  <c r="AZ31" i="99"/>
  <c r="AZ27" i="99"/>
  <c r="AZ69" i="99"/>
  <c r="AZ60" i="99"/>
  <c r="AZ56" i="99"/>
  <c r="AZ97" i="99"/>
  <c r="AZ84" i="99"/>
  <c r="AZ86" i="99"/>
  <c r="AZ16" i="99"/>
  <c r="AZ11" i="99"/>
  <c r="AZ34" i="99"/>
  <c r="AZ33" i="99"/>
  <c r="AZ57" i="99"/>
  <c r="AZ37" i="99"/>
  <c r="AZ78" i="99"/>
  <c r="AZ66" i="99"/>
  <c r="AZ64" i="99"/>
  <c r="AZ89" i="99"/>
  <c r="AZ95" i="99"/>
  <c r="BA95" i="99"/>
  <c r="BA96" i="99"/>
  <c r="BA94" i="99"/>
  <c r="BA97" i="99"/>
  <c r="BA92" i="99"/>
  <c r="BA85" i="99"/>
  <c r="BA77" i="99"/>
  <c r="BA71" i="99"/>
  <c r="BA83" i="99"/>
  <c r="BA78" i="99"/>
  <c r="BA69" i="99"/>
  <c r="BA50" i="99"/>
  <c r="BA84" i="99"/>
  <c r="BA67" i="99"/>
  <c r="BA57" i="99"/>
  <c r="BA75" i="99"/>
  <c r="BA55" i="99"/>
  <c r="BA58" i="99"/>
  <c r="BA42" i="99"/>
  <c r="BA46" i="99"/>
  <c r="BA52" i="99"/>
  <c r="BA40" i="99"/>
  <c r="BA49" i="99"/>
  <c r="BA47" i="99"/>
  <c r="BA44" i="99"/>
  <c r="BA56" i="99"/>
  <c r="BA30" i="99"/>
  <c r="BA22" i="99"/>
  <c r="BA25" i="99"/>
  <c r="BA61" i="99"/>
  <c r="BA41" i="99"/>
  <c r="BA38" i="99"/>
  <c r="BA31" i="99"/>
  <c r="BA26" i="99"/>
  <c r="BA15" i="99"/>
  <c r="BA81" i="99"/>
  <c r="BA34" i="99"/>
  <c r="BA18" i="99"/>
  <c r="BA8" i="99"/>
  <c r="BA86" i="99" s="1"/>
  <c r="BA23" i="99"/>
  <c r="BA13" i="99"/>
  <c r="BA53" i="99"/>
  <c r="BA48" i="99"/>
  <c r="BA37" i="99"/>
  <c r="BA28" i="99"/>
  <c r="BA24" i="99"/>
  <c r="BA14" i="99"/>
  <c r="BB7" i="99"/>
  <c r="BA51" i="99"/>
  <c r="BA35" i="99"/>
  <c r="BA11" i="99"/>
  <c r="BA27" i="99"/>
  <c r="BA12" i="99"/>
  <c r="BA20" i="99"/>
  <c r="BA19" i="99"/>
  <c r="AZ38" i="99"/>
  <c r="AZ41" i="99"/>
  <c r="AZ46" i="99"/>
  <c r="AZ53" i="99"/>
  <c r="AZ74" i="99"/>
  <c r="AZ73" i="99"/>
  <c r="AZ94" i="99"/>
  <c r="AZ47" i="97"/>
  <c r="AZ48" i="97"/>
  <c r="AZ61" i="97"/>
  <c r="AZ85" i="97"/>
  <c r="AZ84" i="97"/>
  <c r="AZ86" i="97"/>
  <c r="AZ45" i="97"/>
  <c r="AZ70" i="97"/>
  <c r="AZ64" i="97"/>
  <c r="AZ94" i="97"/>
  <c r="AZ92" i="97"/>
  <c r="BA93" i="97"/>
  <c r="BA96" i="97"/>
  <c r="BA88" i="97"/>
  <c r="BA70" i="97"/>
  <c r="BA92" i="97"/>
  <c r="BA82" i="97"/>
  <c r="BA83" i="97"/>
  <c r="BA66" i="97"/>
  <c r="BA61" i="97"/>
  <c r="BA84" i="97"/>
  <c r="BA73" i="97"/>
  <c r="BA57" i="97"/>
  <c r="BA49" i="97"/>
  <c r="BA81" i="97"/>
  <c r="BA74" i="97"/>
  <c r="BA47" i="97"/>
  <c r="BA39" i="97"/>
  <c r="BA69" i="97"/>
  <c r="BA13" i="97"/>
  <c r="BA29" i="97"/>
  <c r="BA25" i="97"/>
  <c r="BA42" i="97"/>
  <c r="BA19" i="97"/>
  <c r="BA11" i="97"/>
  <c r="BA23" i="97"/>
  <c r="BA18" i="97"/>
  <c r="BA24" i="97"/>
  <c r="BB7" i="97"/>
  <c r="BA26" i="97"/>
  <c r="BA20" i="97"/>
  <c r="BA16" i="97"/>
  <c r="BA8" i="97"/>
  <c r="BA91" i="97" s="1"/>
  <c r="AZ34" i="97"/>
  <c r="AZ59" i="97"/>
  <c r="AZ38" i="97"/>
  <c r="AZ72" i="97"/>
  <c r="AZ58" i="97"/>
  <c r="AZ82" i="97"/>
  <c r="BB46" i="95"/>
  <c r="BB50" i="95"/>
  <c r="BB59" i="95"/>
  <c r="BB72" i="95"/>
  <c r="BB23" i="95"/>
  <c r="BB29" i="95"/>
  <c r="BB51" i="95"/>
  <c r="BB89" i="95"/>
  <c r="BB11" i="95"/>
  <c r="BB36" i="95"/>
  <c r="BB60" i="95"/>
  <c r="BB78" i="95"/>
  <c r="BB19" i="95"/>
  <c r="BB33" i="95"/>
  <c r="BB68" i="95"/>
  <c r="BB96" i="95"/>
  <c r="BB30" i="95"/>
  <c r="BB15" i="95"/>
  <c r="BB12" i="95"/>
  <c r="BB41" i="95"/>
  <c r="BB88" i="95"/>
  <c r="BB17" i="95"/>
  <c r="BB39" i="95"/>
  <c r="BB67" i="95"/>
  <c r="BB90" i="95"/>
  <c r="BB16" i="95"/>
  <c r="BB42" i="95"/>
  <c r="BB64" i="95"/>
  <c r="BB94" i="95"/>
  <c r="BC8" i="95"/>
  <c r="BC91" i="95" s="1"/>
  <c r="BD7" i="95"/>
  <c r="BB20" i="95"/>
  <c r="BB14" i="95"/>
  <c r="BB28" i="95"/>
  <c r="BB24" i="95"/>
  <c r="BB31" i="95"/>
  <c r="BB84" i="95"/>
  <c r="BB49" i="95"/>
  <c r="BB56" i="95"/>
  <c r="BB57" i="95"/>
  <c r="BB91" i="95"/>
  <c r="BB79" i="95"/>
  <c r="BB85" i="95"/>
  <c r="BB86" i="95"/>
  <c r="BB27" i="95"/>
  <c r="BB13" i="95"/>
  <c r="BB35" i="95"/>
  <c r="BB34" i="95"/>
  <c r="BB47" i="95"/>
  <c r="BB40" i="95"/>
  <c r="BB63" i="95"/>
  <c r="BB58" i="95"/>
  <c r="BB69" i="95"/>
  <c r="BB62" i="95"/>
  <c r="BB66" i="95"/>
  <c r="BB71" i="95"/>
  <c r="BB97" i="95"/>
  <c r="BB92" i="95"/>
  <c r="BB44" i="95"/>
  <c r="BB18" i="95"/>
  <c r="BB52" i="95"/>
  <c r="BB37" i="95"/>
  <c r="BB73" i="95"/>
  <c r="BB48" i="95"/>
  <c r="BB75" i="95"/>
  <c r="BB74" i="95"/>
  <c r="BB81" i="95"/>
  <c r="BB93" i="95"/>
  <c r="BB95" i="95"/>
  <c r="BB61" i="95"/>
  <c r="BB45" i="95"/>
  <c r="BB26" i="95"/>
  <c r="BB22" i="95"/>
  <c r="BB25" i="95"/>
  <c r="BB53" i="95"/>
  <c r="BB38" i="95"/>
  <c r="BB70" i="95"/>
  <c r="BB55" i="95"/>
  <c r="BB82" i="95"/>
  <c r="BB77" i="95"/>
  <c r="BB83" i="95"/>
  <c r="BA62" i="59" l="1"/>
  <c r="BA94" i="59"/>
  <c r="BA20" i="59"/>
  <c r="BA23" i="59"/>
  <c r="BA39" i="59"/>
  <c r="BA73" i="59"/>
  <c r="BA78" i="59"/>
  <c r="BA93" i="59"/>
  <c r="BA17" i="59"/>
  <c r="BA45" i="59"/>
  <c r="BA74" i="59"/>
  <c r="BA14" i="59"/>
  <c r="BA28" i="59"/>
  <c r="BA58" i="59"/>
  <c r="BA56" i="59"/>
  <c r="BA85" i="59"/>
  <c r="BA52" i="59"/>
  <c r="BA22" i="59"/>
  <c r="BA49" i="59"/>
  <c r="BA61" i="59"/>
  <c r="BA89" i="59"/>
  <c r="BA13" i="59"/>
  <c r="BA33" i="59"/>
  <c r="BA59" i="59"/>
  <c r="BA92" i="59"/>
  <c r="BA86" i="59"/>
  <c r="BA26" i="59"/>
  <c r="BA15" i="59"/>
  <c r="BA18" i="59"/>
  <c r="BA46" i="59"/>
  <c r="BA68" i="59"/>
  <c r="BA24" i="59"/>
  <c r="BA35" i="59"/>
  <c r="BA29" i="59"/>
  <c r="BA36" i="59"/>
  <c r="BA72" i="59"/>
  <c r="BA57" i="59"/>
  <c r="BA69" i="59"/>
  <c r="BA84" i="59"/>
  <c r="BA80" i="59"/>
  <c r="BA90" i="59"/>
  <c r="BA12" i="59"/>
  <c r="BA11" i="59"/>
  <c r="BA48" i="59"/>
  <c r="BA38" i="59"/>
  <c r="BA41" i="59"/>
  <c r="BA55" i="59"/>
  <c r="BA60" i="59"/>
  <c r="BA64" i="59"/>
  <c r="BA66" i="59"/>
  <c r="BA97" i="59"/>
  <c r="BA95" i="59"/>
  <c r="BA40" i="59"/>
  <c r="BA31" i="59"/>
  <c r="BA27" i="59"/>
  <c r="BA47" i="59"/>
  <c r="BA53" i="59"/>
  <c r="BA63" i="59"/>
  <c r="BA71" i="59"/>
  <c r="BA79" i="59"/>
  <c r="BA91" i="59"/>
  <c r="BA37" i="59"/>
  <c r="BA19" i="59"/>
  <c r="BA16" i="59"/>
  <c r="BA34" i="59"/>
  <c r="BA51" i="59"/>
  <c r="BA77" i="59"/>
  <c r="BA67" i="59"/>
  <c r="BA50" i="59"/>
  <c r="BA82" i="59"/>
  <c r="BA88" i="59"/>
  <c r="BB92" i="59"/>
  <c r="BB85" i="59"/>
  <c r="BB84" i="59"/>
  <c r="BB81" i="59"/>
  <c r="BB78" i="59"/>
  <c r="BB61" i="59"/>
  <c r="BB57" i="59"/>
  <c r="BB66" i="59"/>
  <c r="BB59" i="59"/>
  <c r="BB72" i="59"/>
  <c r="BB58" i="59"/>
  <c r="BB36" i="59"/>
  <c r="BB27" i="59"/>
  <c r="BB30" i="59"/>
  <c r="BB44" i="59"/>
  <c r="BB29" i="59"/>
  <c r="BB28" i="59"/>
  <c r="BB35" i="59"/>
  <c r="BB26" i="59"/>
  <c r="BB20" i="59"/>
  <c r="BB40" i="59"/>
  <c r="BB16" i="59"/>
  <c r="BB14" i="59"/>
  <c r="BC7" i="59"/>
  <c r="BB18" i="59"/>
  <c r="BB8" i="59"/>
  <c r="BB96" i="59" s="1"/>
  <c r="BB56" i="59"/>
  <c r="BB13" i="59"/>
  <c r="BA42" i="59"/>
  <c r="BA25" i="59"/>
  <c r="BA30" i="59"/>
  <c r="BA44" i="59"/>
  <c r="BA81" i="59"/>
  <c r="BA70" i="59"/>
  <c r="BA75" i="59"/>
  <c r="BA83" i="59"/>
  <c r="BA88" i="113"/>
  <c r="BB94" i="113"/>
  <c r="BB75" i="113"/>
  <c r="BB82" i="113"/>
  <c r="BB61" i="113"/>
  <c r="BB37" i="113"/>
  <c r="BB62" i="113"/>
  <c r="BB25" i="113"/>
  <c r="BB45" i="113"/>
  <c r="BB35" i="113"/>
  <c r="BC7" i="113"/>
  <c r="BB12" i="113"/>
  <c r="BB8" i="113"/>
  <c r="BB89" i="113" s="1"/>
  <c r="BA81" i="113"/>
  <c r="BA96" i="113"/>
  <c r="BA20" i="113"/>
  <c r="BA18" i="113"/>
  <c r="BA14" i="113"/>
  <c r="BA33" i="113"/>
  <c r="BA46" i="113"/>
  <c r="BA48" i="113"/>
  <c r="BA68" i="113"/>
  <c r="BA64" i="113"/>
  <c r="BA78" i="113"/>
  <c r="BA93" i="113"/>
  <c r="BA27" i="113"/>
  <c r="BA56" i="113"/>
  <c r="BA25" i="113"/>
  <c r="BA79" i="113"/>
  <c r="BA71" i="113"/>
  <c r="BA80" i="113"/>
  <c r="BA74" i="113"/>
  <c r="BA90" i="113"/>
  <c r="BA13" i="113"/>
  <c r="BA30" i="113"/>
  <c r="BA12" i="113"/>
  <c r="BA47" i="113"/>
  <c r="BA62" i="113"/>
  <c r="BA34" i="113"/>
  <c r="BA73" i="113"/>
  <c r="BA63" i="113"/>
  <c r="BA70" i="113"/>
  <c r="BA83" i="113"/>
  <c r="BA86" i="113"/>
  <c r="BA40" i="113"/>
  <c r="BA17" i="113"/>
  <c r="BA52" i="113"/>
  <c r="BA26" i="113"/>
  <c r="BA42" i="113"/>
  <c r="BA61" i="113"/>
  <c r="BA75" i="113"/>
  <c r="BA85" i="113"/>
  <c r="BA89" i="113"/>
  <c r="BB71" i="111"/>
  <c r="BB85" i="111"/>
  <c r="BB64" i="111"/>
  <c r="BB78" i="111"/>
  <c r="BB46" i="111"/>
  <c r="BB92" i="111"/>
  <c r="BB26" i="111"/>
  <c r="BB39" i="111"/>
  <c r="BB47" i="111"/>
  <c r="BB91" i="111"/>
  <c r="BB60" i="111"/>
  <c r="BB63" i="111"/>
  <c r="BB97" i="111"/>
  <c r="BB31" i="111"/>
  <c r="BC79" i="111"/>
  <c r="BC8" i="111"/>
  <c r="BC88" i="111" s="1"/>
  <c r="BC13" i="111"/>
  <c r="BD7" i="111"/>
  <c r="BB17" i="111"/>
  <c r="BB82" i="111"/>
  <c r="BB42" i="111"/>
  <c r="BB50" i="111"/>
  <c r="BB49" i="111"/>
  <c r="BB68" i="111"/>
  <c r="BB79" i="111"/>
  <c r="BB94" i="111"/>
  <c r="BB19" i="111"/>
  <c r="BB77" i="111"/>
  <c r="BB48" i="111"/>
  <c r="BB53" i="111"/>
  <c r="BB52" i="111"/>
  <c r="BB95" i="111"/>
  <c r="BB66" i="111"/>
  <c r="BB88" i="111"/>
  <c r="BB23" i="111"/>
  <c r="BB15" i="111"/>
  <c r="BB34" i="111"/>
  <c r="BB40" i="111"/>
  <c r="BB81" i="111"/>
  <c r="BB57" i="111"/>
  <c r="BB56" i="111"/>
  <c r="BB67" i="111"/>
  <c r="BB74" i="111"/>
  <c r="BA36" i="109"/>
  <c r="BA58" i="109"/>
  <c r="BA13" i="109"/>
  <c r="BA68" i="109"/>
  <c r="BA82" i="109"/>
  <c r="BA94" i="109"/>
  <c r="BA90" i="109"/>
  <c r="BA26" i="109"/>
  <c r="BA15" i="109"/>
  <c r="BA44" i="109"/>
  <c r="BA55" i="109"/>
  <c r="BA40" i="109"/>
  <c r="BA71" i="109"/>
  <c r="BA57" i="109"/>
  <c r="BA97" i="109"/>
  <c r="BA72" i="109"/>
  <c r="BA93" i="109"/>
  <c r="BA12" i="109"/>
  <c r="BA20" i="109"/>
  <c r="BA67" i="109"/>
  <c r="BA45" i="109"/>
  <c r="BA61" i="109"/>
  <c r="BA16" i="109"/>
  <c r="BA22" i="109"/>
  <c r="BA73" i="109"/>
  <c r="BA84" i="109"/>
  <c r="BA81" i="109"/>
  <c r="BA86" i="109"/>
  <c r="BA64" i="109"/>
  <c r="BA48" i="109"/>
  <c r="BA19" i="109"/>
  <c r="BA56" i="109"/>
  <c r="BA47" i="109"/>
  <c r="BA25" i="109"/>
  <c r="BA30" i="109"/>
  <c r="BA74" i="109"/>
  <c r="BA60" i="109"/>
  <c r="BA78" i="109"/>
  <c r="BA95" i="109"/>
  <c r="BA11" i="109"/>
  <c r="BA49" i="109"/>
  <c r="BA24" i="109"/>
  <c r="BA27" i="109"/>
  <c r="BA89" i="109"/>
  <c r="BA34" i="109"/>
  <c r="BA39" i="109"/>
  <c r="BA79" i="109"/>
  <c r="BA83" i="109"/>
  <c r="BA92" i="109"/>
  <c r="BA18" i="109"/>
  <c r="BA52" i="109"/>
  <c r="BA35" i="109"/>
  <c r="BA37" i="109"/>
  <c r="BA14" i="109"/>
  <c r="BA42" i="109"/>
  <c r="BA59" i="109"/>
  <c r="BA62" i="109"/>
  <c r="BA75" i="109"/>
  <c r="BA91" i="109"/>
  <c r="BA53" i="109"/>
  <c r="BA28" i="109"/>
  <c r="BA50" i="109"/>
  <c r="BA38" i="109"/>
  <c r="BA41" i="109"/>
  <c r="BA23" i="109"/>
  <c r="BA66" i="109"/>
  <c r="BA51" i="109"/>
  <c r="BA69" i="109"/>
  <c r="BA85" i="109"/>
  <c r="BA88" i="109"/>
  <c r="BA33" i="109"/>
  <c r="BB90" i="109"/>
  <c r="BB84" i="109"/>
  <c r="BB80" i="109"/>
  <c r="BB92" i="109"/>
  <c r="BB73" i="109"/>
  <c r="BB25" i="109"/>
  <c r="BB44" i="109"/>
  <c r="BB45" i="109"/>
  <c r="BB39" i="109"/>
  <c r="BB13" i="109"/>
  <c r="BB8" i="109"/>
  <c r="BB93" i="109" s="1"/>
  <c r="BB18" i="109"/>
  <c r="BC7" i="109"/>
  <c r="BB22" i="109"/>
  <c r="BB14" i="109"/>
  <c r="BA17" i="109"/>
  <c r="BA29" i="109"/>
  <c r="BA46" i="109"/>
  <c r="BA31" i="109"/>
  <c r="BA70" i="109"/>
  <c r="BA77" i="109"/>
  <c r="BA80" i="109"/>
  <c r="BA63" i="109"/>
  <c r="BB61" i="107"/>
  <c r="BB97" i="107"/>
  <c r="BC94" i="107"/>
  <c r="BC97" i="107"/>
  <c r="BC89" i="107"/>
  <c r="BC75" i="107"/>
  <c r="BC85" i="107"/>
  <c r="BC78" i="107"/>
  <c r="BC69" i="107"/>
  <c r="BC82" i="107"/>
  <c r="BC77" i="107"/>
  <c r="BC47" i="107"/>
  <c r="BC38" i="107"/>
  <c r="BC29" i="107"/>
  <c r="BC49" i="107"/>
  <c r="BC67" i="107"/>
  <c r="BC66" i="107"/>
  <c r="BC53" i="107"/>
  <c r="BC46" i="107"/>
  <c r="BC62" i="107"/>
  <c r="BC19" i="107"/>
  <c r="BC63" i="107"/>
  <c r="BC57" i="107"/>
  <c r="BC80" i="107"/>
  <c r="BC61" i="107"/>
  <c r="BC39" i="107"/>
  <c r="BD7" i="107"/>
  <c r="BC34" i="107"/>
  <c r="BC12" i="107"/>
  <c r="BC41" i="107"/>
  <c r="BC17" i="107"/>
  <c r="BC15" i="107"/>
  <c r="BC48" i="107"/>
  <c r="BC8" i="107"/>
  <c r="BC92" i="107" s="1"/>
  <c r="BB19" i="107"/>
  <c r="BB34" i="107"/>
  <c r="BB50" i="107"/>
  <c r="BB71" i="107"/>
  <c r="BB53" i="107"/>
  <c r="BB83" i="107"/>
  <c r="BB86" i="107"/>
  <c r="BB91" i="107"/>
  <c r="BB18" i="107"/>
  <c r="BB11" i="107"/>
  <c r="BB78" i="107"/>
  <c r="BB51" i="107"/>
  <c r="BB36" i="107"/>
  <c r="BB35" i="107"/>
  <c r="BB68" i="107"/>
  <c r="BB74" i="107"/>
  <c r="BB80" i="107"/>
  <c r="BB96" i="107"/>
  <c r="BB20" i="107"/>
  <c r="BB16" i="107"/>
  <c r="BB59" i="107"/>
  <c r="BB64" i="107"/>
  <c r="BB44" i="107"/>
  <c r="BB72" i="107"/>
  <c r="BB79" i="107"/>
  <c r="BB95" i="107"/>
  <c r="BB41" i="105"/>
  <c r="BB27" i="105"/>
  <c r="BB30" i="105"/>
  <c r="BB39" i="105"/>
  <c r="BB69" i="105"/>
  <c r="BB56" i="105"/>
  <c r="BB75" i="105"/>
  <c r="BB77" i="105"/>
  <c r="BB93" i="105"/>
  <c r="BC93" i="105"/>
  <c r="BC97" i="105"/>
  <c r="BC92" i="105"/>
  <c r="BC80" i="105"/>
  <c r="BC95" i="105"/>
  <c r="BC79" i="105"/>
  <c r="BC67" i="105"/>
  <c r="BC61" i="105"/>
  <c r="BC73" i="105"/>
  <c r="BC68" i="105"/>
  <c r="BC66" i="105"/>
  <c r="BC52" i="105"/>
  <c r="BC85" i="105"/>
  <c r="BC48" i="105"/>
  <c r="BC51" i="105"/>
  <c r="BC42" i="105"/>
  <c r="BC37" i="105"/>
  <c r="BC35" i="105"/>
  <c r="BC27" i="105"/>
  <c r="BC29" i="105"/>
  <c r="BC31" i="105"/>
  <c r="BC23" i="105"/>
  <c r="BD7" i="105"/>
  <c r="BC28" i="105"/>
  <c r="BC20" i="105"/>
  <c r="BC12" i="105"/>
  <c r="BC22" i="105"/>
  <c r="BC18" i="105"/>
  <c r="BC26" i="105"/>
  <c r="BC11" i="105"/>
  <c r="BC8" i="105"/>
  <c r="BC96" i="105" s="1"/>
  <c r="BC49" i="105"/>
  <c r="BC38" i="105"/>
  <c r="BB90" i="105"/>
  <c r="BB46" i="105"/>
  <c r="BB23" i="105"/>
  <c r="BB34" i="105"/>
  <c r="BB49" i="105"/>
  <c r="BB52" i="105"/>
  <c r="BB79" i="105"/>
  <c r="BB72" i="105"/>
  <c r="BB81" i="105"/>
  <c r="BB33" i="103"/>
  <c r="BB34" i="103"/>
  <c r="BB57" i="103"/>
  <c r="BB58" i="103"/>
  <c r="BB59" i="103"/>
  <c r="BB67" i="103"/>
  <c r="BB95" i="103"/>
  <c r="BB88" i="103"/>
  <c r="BB86" i="103"/>
  <c r="BB96" i="103"/>
  <c r="BB24" i="103"/>
  <c r="BB39" i="103"/>
  <c r="BB51" i="103"/>
  <c r="BB64" i="103"/>
  <c r="BB85" i="103"/>
  <c r="BB60" i="103"/>
  <c r="BB83" i="103"/>
  <c r="BB93" i="103"/>
  <c r="BB12" i="103"/>
  <c r="BB37" i="103"/>
  <c r="BB15" i="103"/>
  <c r="BB63" i="103"/>
  <c r="BB52" i="103"/>
  <c r="BB68" i="103"/>
  <c r="BB74" i="103"/>
  <c r="BB78" i="103"/>
  <c r="BB69" i="103"/>
  <c r="BB92" i="103"/>
  <c r="BB90" i="103"/>
  <c r="BC8" i="103"/>
  <c r="BC91" i="103" s="1"/>
  <c r="BD7" i="103"/>
  <c r="BB19" i="103"/>
  <c r="BB25" i="103"/>
  <c r="BB26" i="103"/>
  <c r="BB50" i="103"/>
  <c r="BB48" i="103"/>
  <c r="BB73" i="103"/>
  <c r="BB77" i="103"/>
  <c r="BB82" i="103"/>
  <c r="BB89" i="103"/>
  <c r="BB97" i="103"/>
  <c r="BB41" i="103"/>
  <c r="BB49" i="103"/>
  <c r="BB53" i="103"/>
  <c r="BB71" i="103"/>
  <c r="BB70" i="103"/>
  <c r="BB84" i="103"/>
  <c r="BA35" i="101"/>
  <c r="BA41" i="101"/>
  <c r="BA49" i="101"/>
  <c r="BA39" i="101"/>
  <c r="BA60" i="101"/>
  <c r="BA68" i="101"/>
  <c r="BA84" i="101"/>
  <c r="BA88" i="101"/>
  <c r="BA16" i="101"/>
  <c r="BA19" i="101"/>
  <c r="BA38" i="101"/>
  <c r="BA33" i="101"/>
  <c r="BA37" i="101"/>
  <c r="BA53" i="101"/>
  <c r="BA57" i="101"/>
  <c r="BA82" i="101"/>
  <c r="BA81" i="101"/>
  <c r="BA93" i="101"/>
  <c r="BB90" i="101"/>
  <c r="BB88" i="101"/>
  <c r="BB91" i="101"/>
  <c r="BB94" i="101"/>
  <c r="BB89" i="101"/>
  <c r="BB95" i="101"/>
  <c r="BB92" i="101"/>
  <c r="BB81" i="101"/>
  <c r="BB84" i="101"/>
  <c r="BB72" i="101"/>
  <c r="BB83" i="101"/>
  <c r="BB85" i="101"/>
  <c r="BB80" i="101"/>
  <c r="BB62" i="101"/>
  <c r="BB53" i="101"/>
  <c r="BB71" i="101"/>
  <c r="BB66" i="101"/>
  <c r="BB60" i="101"/>
  <c r="BB77" i="101"/>
  <c r="BB63" i="101"/>
  <c r="BB67" i="101"/>
  <c r="BB42" i="101"/>
  <c r="BB55" i="101"/>
  <c r="BB61" i="101"/>
  <c r="BB59" i="101"/>
  <c r="BB49" i="101"/>
  <c r="BB40" i="101"/>
  <c r="BB73" i="101"/>
  <c r="BB70" i="101"/>
  <c r="BB50" i="101"/>
  <c r="BB41" i="101"/>
  <c r="BB39" i="101"/>
  <c r="BB33" i="101"/>
  <c r="BB57" i="101"/>
  <c r="BB27" i="101"/>
  <c r="BB30" i="101"/>
  <c r="BB58" i="101"/>
  <c r="BB38" i="101"/>
  <c r="BB31" i="101"/>
  <c r="BB48" i="101"/>
  <c r="BB45" i="101"/>
  <c r="BB47" i="101"/>
  <c r="BB37" i="101"/>
  <c r="BB34" i="101"/>
  <c r="BB23" i="101"/>
  <c r="BB36" i="101"/>
  <c r="BB26" i="101"/>
  <c r="BB25" i="101"/>
  <c r="BB13" i="101"/>
  <c r="BB12" i="101"/>
  <c r="BB16" i="101"/>
  <c r="BB24" i="101"/>
  <c r="BB22" i="101"/>
  <c r="BB44" i="101"/>
  <c r="BB14" i="101"/>
  <c r="BC7" i="101"/>
  <c r="BB18" i="101"/>
  <c r="BB20" i="101"/>
  <c r="BB15" i="101"/>
  <c r="BB8" i="101"/>
  <c r="BB97" i="101" s="1"/>
  <c r="BA17" i="101"/>
  <c r="BA20" i="101"/>
  <c r="BA52" i="101"/>
  <c r="BA29" i="101"/>
  <c r="BA46" i="101"/>
  <c r="BA58" i="101"/>
  <c r="BA66" i="101"/>
  <c r="BA85" i="101"/>
  <c r="BA83" i="101"/>
  <c r="BA90" i="101"/>
  <c r="BA12" i="101"/>
  <c r="BA18" i="101"/>
  <c r="BA26" i="101"/>
  <c r="BA28" i="101"/>
  <c r="BA40" i="101"/>
  <c r="BA55" i="101"/>
  <c r="BA64" i="101"/>
  <c r="BA71" i="101"/>
  <c r="BA77" i="101"/>
  <c r="BA89" i="101"/>
  <c r="BA86" i="101"/>
  <c r="BA25" i="101"/>
  <c r="BA13" i="101"/>
  <c r="BA36" i="101"/>
  <c r="BA44" i="101"/>
  <c r="BA50" i="101"/>
  <c r="BA42" i="101"/>
  <c r="BA74" i="101"/>
  <c r="BA62" i="101"/>
  <c r="BA79" i="101"/>
  <c r="BA92" i="101"/>
  <c r="BB89" i="99"/>
  <c r="BB82" i="99"/>
  <c r="BB64" i="99"/>
  <c r="BB95" i="99"/>
  <c r="BB71" i="99"/>
  <c r="BB74" i="99"/>
  <c r="BB72" i="99"/>
  <c r="BB84" i="99"/>
  <c r="BB62" i="99"/>
  <c r="BB60" i="99"/>
  <c r="BB86" i="99"/>
  <c r="BB58" i="99"/>
  <c r="BB40" i="99"/>
  <c r="BB59" i="99"/>
  <c r="BB47" i="99"/>
  <c r="BB38" i="99"/>
  <c r="BB39" i="99"/>
  <c r="BB61" i="99"/>
  <c r="BB26" i="99"/>
  <c r="BB36" i="99"/>
  <c r="BB34" i="99"/>
  <c r="BB8" i="99"/>
  <c r="BB90" i="99" s="1"/>
  <c r="BB30" i="99"/>
  <c r="BB13" i="99"/>
  <c r="BB45" i="99"/>
  <c r="BB11" i="99"/>
  <c r="BB27" i="99"/>
  <c r="BB41" i="99"/>
  <c r="BB20" i="99"/>
  <c r="BB12" i="99"/>
  <c r="BB14" i="99"/>
  <c r="BC7" i="99"/>
  <c r="BA33" i="99"/>
  <c r="BA45" i="99"/>
  <c r="BA64" i="99"/>
  <c r="BA62" i="99"/>
  <c r="BA66" i="99"/>
  <c r="BA73" i="99"/>
  <c r="BA91" i="99"/>
  <c r="BA74" i="99"/>
  <c r="BA82" i="99"/>
  <c r="BA88" i="99"/>
  <c r="BA70" i="99"/>
  <c r="BA93" i="99"/>
  <c r="BA59" i="99"/>
  <c r="BA80" i="99"/>
  <c r="BA79" i="99"/>
  <c r="BA90" i="99"/>
  <c r="BA17" i="99"/>
  <c r="BA29" i="99"/>
  <c r="BA16" i="99"/>
  <c r="BA36" i="99"/>
  <c r="BA39" i="99"/>
  <c r="BA60" i="99"/>
  <c r="BA63" i="99"/>
  <c r="BA72" i="99"/>
  <c r="BA68" i="99"/>
  <c r="BA89" i="99"/>
  <c r="BA30" i="97"/>
  <c r="BA27" i="97"/>
  <c r="BA44" i="97"/>
  <c r="BA22" i="97"/>
  <c r="BA67" i="97"/>
  <c r="BA58" i="97"/>
  <c r="BA59" i="97"/>
  <c r="BA71" i="97"/>
  <c r="BA79" i="97"/>
  <c r="BA90" i="97"/>
  <c r="BA31" i="97"/>
  <c r="BA28" i="97"/>
  <c r="BA60" i="97"/>
  <c r="BA37" i="97"/>
  <c r="BA33" i="97"/>
  <c r="BA51" i="97"/>
  <c r="BA63" i="97"/>
  <c r="BA80" i="97"/>
  <c r="BA89" i="97"/>
  <c r="BA86" i="97"/>
  <c r="BA15" i="97"/>
  <c r="BA36" i="97"/>
  <c r="BA35" i="97"/>
  <c r="BA64" i="97"/>
  <c r="BA40" i="97"/>
  <c r="BA46" i="97"/>
  <c r="BA55" i="97"/>
  <c r="BA75" i="97"/>
  <c r="BA68" i="97"/>
  <c r="BA97" i="97"/>
  <c r="BA95" i="97"/>
  <c r="BA17" i="97"/>
  <c r="BB93" i="97"/>
  <c r="BB88" i="97"/>
  <c r="BB89" i="97"/>
  <c r="BB82" i="97"/>
  <c r="BB64" i="97"/>
  <c r="BB71" i="97"/>
  <c r="BB74" i="97"/>
  <c r="BB78" i="97"/>
  <c r="BB63" i="97"/>
  <c r="BB84" i="97"/>
  <c r="BB62" i="97"/>
  <c r="BB55" i="97"/>
  <c r="BB42" i="97"/>
  <c r="BB86" i="97"/>
  <c r="BB27" i="97"/>
  <c r="BB34" i="97"/>
  <c r="BB41" i="97"/>
  <c r="BB29" i="97"/>
  <c r="BB16" i="97"/>
  <c r="BB68" i="97"/>
  <c r="BB14" i="97"/>
  <c r="BC7" i="97"/>
  <c r="BB38" i="97"/>
  <c r="BB35" i="97"/>
  <c r="BB57" i="97"/>
  <c r="BB47" i="97"/>
  <c r="BB40" i="97"/>
  <c r="BB39" i="97"/>
  <c r="BB18" i="97"/>
  <c r="BB12" i="97"/>
  <c r="BB8" i="97"/>
  <c r="BB90" i="97" s="1"/>
  <c r="BB31" i="97"/>
  <c r="BB20" i="97"/>
  <c r="BB26" i="97"/>
  <c r="BA38" i="97"/>
  <c r="BA72" i="97"/>
  <c r="BA45" i="97"/>
  <c r="BA50" i="97"/>
  <c r="BA62" i="97"/>
  <c r="BA56" i="97"/>
  <c r="BA77" i="97"/>
  <c r="BA94" i="97"/>
  <c r="BA14" i="97"/>
  <c r="BA12" i="97"/>
  <c r="BA41" i="97"/>
  <c r="BA34" i="97"/>
  <c r="BA52" i="97"/>
  <c r="BA53" i="97"/>
  <c r="BA48" i="97"/>
  <c r="BA78" i="97"/>
  <c r="BA85" i="97"/>
  <c r="BC41" i="95"/>
  <c r="BC22" i="95"/>
  <c r="BC35" i="95"/>
  <c r="BC39" i="95"/>
  <c r="BC58" i="95"/>
  <c r="BC57" i="95"/>
  <c r="BC77" i="95"/>
  <c r="BC27" i="95"/>
  <c r="BC28" i="95"/>
  <c r="BC68" i="95"/>
  <c r="BC93" i="95"/>
  <c r="BC13" i="95"/>
  <c r="BC52" i="95"/>
  <c r="BC44" i="95"/>
  <c r="BC53" i="95"/>
  <c r="BC95" i="95"/>
  <c r="BC45" i="95"/>
  <c r="BC11" i="95"/>
  <c r="BC81" i="95"/>
  <c r="BC94" i="95"/>
  <c r="BC15" i="95"/>
  <c r="BC18" i="95"/>
  <c r="BC46" i="95"/>
  <c r="BC40" i="95"/>
  <c r="BC31" i="95"/>
  <c r="BC23" i="95"/>
  <c r="BC60" i="95"/>
  <c r="BC86" i="95"/>
  <c r="BC16" i="95"/>
  <c r="BC12" i="95"/>
  <c r="BC29" i="95"/>
  <c r="BC74" i="95"/>
  <c r="BC25" i="95"/>
  <c r="BC33" i="95"/>
  <c r="BC51" i="95"/>
  <c r="BC34" i="95"/>
  <c r="BC49" i="95"/>
  <c r="BC56" i="95"/>
  <c r="BC55" i="95"/>
  <c r="BC80" i="95"/>
  <c r="BC88" i="95"/>
  <c r="BC42" i="95"/>
  <c r="BC24" i="95"/>
  <c r="BC36" i="95"/>
  <c r="BC69" i="95"/>
  <c r="BC47" i="95"/>
  <c r="BC64" i="95"/>
  <c r="BC92" i="95"/>
  <c r="BC66" i="95"/>
  <c r="BC14" i="95"/>
  <c r="BC30" i="95"/>
  <c r="BC50" i="95"/>
  <c r="BC83" i="95"/>
  <c r="BC61" i="95"/>
  <c r="BC84" i="95"/>
  <c r="BC79" i="95"/>
  <c r="BC38" i="95"/>
  <c r="BC63" i="95"/>
  <c r="BC75" i="95"/>
  <c r="BC71" i="95"/>
  <c r="BC90" i="95"/>
  <c r="BC85" i="95"/>
  <c r="BC19" i="95"/>
  <c r="BC20" i="95"/>
  <c r="BC26" i="95"/>
  <c r="BC78" i="95"/>
  <c r="BC37" i="95"/>
  <c r="BC97" i="95"/>
  <c r="BC82" i="95"/>
  <c r="BC70" i="95"/>
  <c r="BC96" i="95"/>
  <c r="BC17" i="95"/>
  <c r="BC48" i="95"/>
  <c r="BC62" i="95"/>
  <c r="BC67" i="95"/>
  <c r="BC72" i="95"/>
  <c r="BC59" i="95"/>
  <c r="BC73" i="95"/>
  <c r="BC89" i="95"/>
  <c r="BD8" i="95"/>
  <c r="BD92" i="95" s="1"/>
  <c r="BE7" i="95"/>
  <c r="BB17" i="59" l="1"/>
  <c r="BB45" i="59"/>
  <c r="BB55" i="59"/>
  <c r="BB68" i="59"/>
  <c r="BB97" i="59"/>
  <c r="BB90" i="59"/>
  <c r="BB31" i="59"/>
  <c r="BB19" i="59"/>
  <c r="BB22" i="59"/>
  <c r="BB47" i="59"/>
  <c r="BB63" i="59"/>
  <c r="BB71" i="59"/>
  <c r="BB79" i="59"/>
  <c r="BB94" i="59"/>
  <c r="BB60" i="59"/>
  <c r="BB82" i="59"/>
  <c r="BB88" i="59"/>
  <c r="BB33" i="59"/>
  <c r="BB11" i="59"/>
  <c r="BB48" i="59"/>
  <c r="BB46" i="59"/>
  <c r="BB49" i="59"/>
  <c r="BB70" i="59"/>
  <c r="BB69" i="59"/>
  <c r="BB83" i="59"/>
  <c r="BB93" i="59"/>
  <c r="BB12" i="59"/>
  <c r="BB37" i="59"/>
  <c r="BB41" i="59"/>
  <c r="BB39" i="59"/>
  <c r="BB50" i="59"/>
  <c r="BB67" i="59"/>
  <c r="BB75" i="59"/>
  <c r="BB74" i="59"/>
  <c r="BB89" i="59"/>
  <c r="BC56" i="59"/>
  <c r="BC29" i="59"/>
  <c r="BD7" i="59"/>
  <c r="BC26" i="59"/>
  <c r="BC8" i="59"/>
  <c r="BC92" i="59" s="1"/>
  <c r="BB15" i="59"/>
  <c r="BB42" i="59"/>
  <c r="BB38" i="59"/>
  <c r="BB52" i="59"/>
  <c r="BB73" i="59"/>
  <c r="BB53" i="59"/>
  <c r="BB77" i="59"/>
  <c r="BB86" i="59"/>
  <c r="BB91" i="59"/>
  <c r="BB24" i="59"/>
  <c r="BB23" i="59"/>
  <c r="BB25" i="59"/>
  <c r="BB34" i="59"/>
  <c r="BB51" i="59"/>
  <c r="BB62" i="59"/>
  <c r="BB64" i="59"/>
  <c r="BB80" i="59"/>
  <c r="BB95" i="59"/>
  <c r="BB16" i="113"/>
  <c r="BB23" i="113"/>
  <c r="BB30" i="113"/>
  <c r="BB20" i="113"/>
  <c r="BB58" i="113"/>
  <c r="BB28" i="113"/>
  <c r="BB66" i="113"/>
  <c r="BB77" i="113"/>
  <c r="BB79" i="113"/>
  <c r="BB97" i="113"/>
  <c r="BB14" i="113"/>
  <c r="BB39" i="113"/>
  <c r="BB70" i="113"/>
  <c r="BB41" i="113"/>
  <c r="BB63" i="113"/>
  <c r="BB46" i="113"/>
  <c r="BB57" i="113"/>
  <c r="BB59" i="113"/>
  <c r="BB84" i="113"/>
  <c r="BB91" i="113"/>
  <c r="BC91" i="113"/>
  <c r="BC75" i="113"/>
  <c r="BC86" i="113"/>
  <c r="BC60" i="113"/>
  <c r="BC53" i="113"/>
  <c r="BC44" i="113"/>
  <c r="BC24" i="113"/>
  <c r="BC35" i="113"/>
  <c r="BC18" i="113"/>
  <c r="BC14" i="113"/>
  <c r="BD7" i="113"/>
  <c r="BC8" i="113"/>
  <c r="BC94" i="113" s="1"/>
  <c r="BB17" i="113"/>
  <c r="BB18" i="113"/>
  <c r="BB50" i="113"/>
  <c r="BB44" i="113"/>
  <c r="BB42" i="113"/>
  <c r="BB64" i="113"/>
  <c r="BB68" i="113"/>
  <c r="BB92" i="113"/>
  <c r="BB88" i="113"/>
  <c r="BB24" i="113"/>
  <c r="BB22" i="113"/>
  <c r="BB26" i="113"/>
  <c r="BB29" i="113"/>
  <c r="BB40" i="113"/>
  <c r="BB51" i="113"/>
  <c r="BB72" i="113"/>
  <c r="BB74" i="113"/>
  <c r="BB81" i="113"/>
  <c r="BB96" i="113"/>
  <c r="BB11" i="113"/>
  <c r="BB27" i="113"/>
  <c r="BB36" i="113"/>
  <c r="BB34" i="113"/>
  <c r="BB38" i="113"/>
  <c r="BB49" i="113"/>
  <c r="BB53" i="113"/>
  <c r="BB71" i="113"/>
  <c r="BB80" i="113"/>
  <c r="BB78" i="113"/>
  <c r="BB93" i="113"/>
  <c r="BB13" i="113"/>
  <c r="BB33" i="113"/>
  <c r="BB19" i="113"/>
  <c r="BB52" i="113"/>
  <c r="BB47" i="113"/>
  <c r="BB55" i="113"/>
  <c r="BB67" i="113"/>
  <c r="BB60" i="113"/>
  <c r="BB85" i="113"/>
  <c r="BB86" i="113"/>
  <c r="BB90" i="113"/>
  <c r="BB15" i="113"/>
  <c r="BB31" i="113"/>
  <c r="BB73" i="113"/>
  <c r="BB56" i="113"/>
  <c r="BB83" i="113"/>
  <c r="BB48" i="113"/>
  <c r="BB69" i="113"/>
  <c r="BB95" i="113"/>
  <c r="BC48" i="111"/>
  <c r="BC64" i="111"/>
  <c r="BD97" i="111"/>
  <c r="BD83" i="111"/>
  <c r="BD60" i="111"/>
  <c r="BD84" i="111"/>
  <c r="BD42" i="111"/>
  <c r="BD40" i="111"/>
  <c r="BD38" i="111"/>
  <c r="BD62" i="111"/>
  <c r="BD26" i="111"/>
  <c r="BD13" i="111"/>
  <c r="BD8" i="111"/>
  <c r="BD95" i="111" s="1"/>
  <c r="BD22" i="111"/>
  <c r="BD82" i="111"/>
  <c r="BD23" i="111"/>
  <c r="BE7" i="111"/>
  <c r="BD28" i="111"/>
  <c r="BD11" i="111"/>
  <c r="BD19" i="111"/>
  <c r="BD16" i="111"/>
  <c r="BC26" i="111"/>
  <c r="BC34" i="111"/>
  <c r="BC25" i="111"/>
  <c r="BC29" i="111"/>
  <c r="BC44" i="111"/>
  <c r="BC71" i="111"/>
  <c r="BC62" i="111"/>
  <c r="BC94" i="111"/>
  <c r="BC69" i="111"/>
  <c r="BC96" i="111"/>
  <c r="BC16" i="111"/>
  <c r="BC17" i="111"/>
  <c r="BC15" i="111"/>
  <c r="BC30" i="111"/>
  <c r="BC57" i="111"/>
  <c r="BC36" i="111"/>
  <c r="BC84" i="111"/>
  <c r="BC75" i="111"/>
  <c r="BC40" i="111"/>
  <c r="BC83" i="111"/>
  <c r="BC93" i="111"/>
  <c r="BC19" i="111"/>
  <c r="BC51" i="111"/>
  <c r="BC38" i="111"/>
  <c r="BC35" i="111"/>
  <c r="BC39" i="111"/>
  <c r="BC59" i="111"/>
  <c r="BC85" i="111"/>
  <c r="BC90" i="111"/>
  <c r="BC49" i="111"/>
  <c r="BC92" i="111"/>
  <c r="BC78" i="111"/>
  <c r="BC47" i="111"/>
  <c r="BC28" i="111"/>
  <c r="BC80" i="111"/>
  <c r="BC53" i="111"/>
  <c r="BC41" i="111"/>
  <c r="BC66" i="111"/>
  <c r="BC86" i="111"/>
  <c r="BC60" i="111"/>
  <c r="BC58" i="111"/>
  <c r="BC89" i="111"/>
  <c r="BC11" i="111"/>
  <c r="BC31" i="111"/>
  <c r="BC18" i="111"/>
  <c r="BC24" i="111"/>
  <c r="BC42" i="111"/>
  <c r="BC72" i="111"/>
  <c r="BC52" i="111"/>
  <c r="BC63" i="111"/>
  <c r="BC67" i="111"/>
  <c r="BC97" i="111"/>
  <c r="BC27" i="111"/>
  <c r="BC50" i="111"/>
  <c r="BC95" i="111"/>
  <c r="BC55" i="111"/>
  <c r="BC14" i="111"/>
  <c r="BC37" i="111"/>
  <c r="BC33" i="111"/>
  <c r="BC45" i="111"/>
  <c r="BC81" i="111"/>
  <c r="BC56" i="111"/>
  <c r="BC68" i="111"/>
  <c r="BC70" i="111"/>
  <c r="BC91" i="111"/>
  <c r="BC77" i="111"/>
  <c r="BC23" i="111"/>
  <c r="BC22" i="111"/>
  <c r="BC12" i="111"/>
  <c r="BC20" i="111"/>
  <c r="BC46" i="111"/>
  <c r="BC82" i="111"/>
  <c r="BC61" i="111"/>
  <c r="BC74" i="111"/>
  <c r="BC73" i="111"/>
  <c r="BB48" i="109"/>
  <c r="BB23" i="109"/>
  <c r="BB40" i="109"/>
  <c r="BB51" i="109"/>
  <c r="BB19" i="109"/>
  <c r="BB34" i="109"/>
  <c r="BB53" i="109"/>
  <c r="BB55" i="109"/>
  <c r="BB97" i="109"/>
  <c r="BB81" i="109"/>
  <c r="BB24" i="109"/>
  <c r="BB30" i="109"/>
  <c r="BB15" i="109"/>
  <c r="BB41" i="109"/>
  <c r="BB28" i="109"/>
  <c r="BB42" i="109"/>
  <c r="BB56" i="109"/>
  <c r="BB63" i="109"/>
  <c r="BB78" i="109"/>
  <c r="BB95" i="109"/>
  <c r="BC88" i="109"/>
  <c r="BC94" i="109"/>
  <c r="BC97" i="109"/>
  <c r="BC79" i="109"/>
  <c r="BC81" i="109"/>
  <c r="BC82" i="109"/>
  <c r="BC67" i="109"/>
  <c r="BC74" i="109"/>
  <c r="BC64" i="109"/>
  <c r="BC71" i="109"/>
  <c r="BC75" i="109"/>
  <c r="BC66" i="109"/>
  <c r="BC61" i="109"/>
  <c r="BC50" i="109"/>
  <c r="BC37" i="109"/>
  <c r="BC28" i="109"/>
  <c r="BC40" i="109"/>
  <c r="BC14" i="109"/>
  <c r="BC51" i="109"/>
  <c r="BC48" i="109"/>
  <c r="BC38" i="109"/>
  <c r="BC69" i="109"/>
  <c r="BC41" i="109"/>
  <c r="BC27" i="109"/>
  <c r="BC83" i="109"/>
  <c r="BC80" i="109"/>
  <c r="BC53" i="109"/>
  <c r="BC42" i="109"/>
  <c r="BC25" i="109"/>
  <c r="BC39" i="109"/>
  <c r="BC33" i="109"/>
  <c r="BC12" i="109"/>
  <c r="BC13" i="109"/>
  <c r="BC8" i="109"/>
  <c r="BC89" i="109" s="1"/>
  <c r="BC16" i="109"/>
  <c r="BD7" i="109"/>
  <c r="BC17" i="109"/>
  <c r="BC18" i="109"/>
  <c r="BC11" i="109"/>
  <c r="BB49" i="109"/>
  <c r="BB27" i="109"/>
  <c r="BB31" i="109"/>
  <c r="BB37" i="109"/>
  <c r="BB57" i="109"/>
  <c r="BB61" i="109"/>
  <c r="BB74" i="109"/>
  <c r="BB82" i="109"/>
  <c r="BB94" i="109"/>
  <c r="BB59" i="109"/>
  <c r="BB38" i="109"/>
  <c r="BB36" i="109"/>
  <c r="BB47" i="109"/>
  <c r="BB62" i="109"/>
  <c r="BB66" i="109"/>
  <c r="BB79" i="109"/>
  <c r="BB89" i="109"/>
  <c r="BB91" i="109"/>
  <c r="BB52" i="109"/>
  <c r="BB11" i="109"/>
  <c r="BB29" i="109"/>
  <c r="BB17" i="109"/>
  <c r="BB50" i="109"/>
  <c r="BB86" i="109"/>
  <c r="BB58" i="109"/>
  <c r="BB71" i="109"/>
  <c r="BB67" i="109"/>
  <c r="BB88" i="109"/>
  <c r="BB68" i="109"/>
  <c r="BB12" i="109"/>
  <c r="BB83" i="109"/>
  <c r="BB26" i="109"/>
  <c r="BB72" i="109"/>
  <c r="BB46" i="109"/>
  <c r="BB60" i="109"/>
  <c r="BB70" i="109"/>
  <c r="BB75" i="109"/>
  <c r="BB96" i="109"/>
  <c r="BB20" i="109"/>
  <c r="BB33" i="109"/>
  <c r="BB35" i="109"/>
  <c r="BB16" i="109"/>
  <c r="BB69" i="109"/>
  <c r="BB64" i="109"/>
  <c r="BB77" i="109"/>
  <c r="BB85" i="109"/>
  <c r="BC18" i="107"/>
  <c r="BC22" i="107"/>
  <c r="BC26" i="107"/>
  <c r="BC51" i="107"/>
  <c r="BC60" i="107"/>
  <c r="BC36" i="107"/>
  <c r="BC35" i="107"/>
  <c r="BC74" i="107"/>
  <c r="BC84" i="107"/>
  <c r="BC91" i="107"/>
  <c r="BC27" i="107"/>
  <c r="BD88" i="107"/>
  <c r="BD86" i="107"/>
  <c r="BD90" i="107"/>
  <c r="BD58" i="107"/>
  <c r="BD47" i="107"/>
  <c r="BD33" i="107"/>
  <c r="BD45" i="107"/>
  <c r="BD35" i="107"/>
  <c r="BD72" i="107"/>
  <c r="BD69" i="107"/>
  <c r="BD31" i="107"/>
  <c r="BE7" i="107"/>
  <c r="BD8" i="107"/>
  <c r="BD89" i="107" s="1"/>
  <c r="BD13" i="107"/>
  <c r="BC68" i="107"/>
  <c r="BC16" i="107"/>
  <c r="BC52" i="107"/>
  <c r="BC81" i="107"/>
  <c r="BC44" i="107"/>
  <c r="BC79" i="107"/>
  <c r="BC83" i="107"/>
  <c r="BC88" i="107"/>
  <c r="BC30" i="107"/>
  <c r="BC33" i="107"/>
  <c r="BC14" i="107"/>
  <c r="BC72" i="107"/>
  <c r="BC25" i="107"/>
  <c r="BC40" i="107"/>
  <c r="BC50" i="107"/>
  <c r="BC70" i="107"/>
  <c r="BC90" i="107"/>
  <c r="BC86" i="107"/>
  <c r="BC96" i="107"/>
  <c r="BC11" i="107"/>
  <c r="BC20" i="107"/>
  <c r="BC24" i="107"/>
  <c r="BC23" i="107"/>
  <c r="BC31" i="107"/>
  <c r="BC45" i="107"/>
  <c r="BC59" i="107"/>
  <c r="BC58" i="107"/>
  <c r="BC64" i="107"/>
  <c r="BC95" i="107"/>
  <c r="BC93" i="107"/>
  <c r="BC13" i="107"/>
  <c r="BC28" i="107"/>
  <c r="BC37" i="107"/>
  <c r="BC42" i="107"/>
  <c r="BC56" i="107"/>
  <c r="BC71" i="107"/>
  <c r="BC55" i="107"/>
  <c r="BC73" i="107"/>
  <c r="BC13" i="105"/>
  <c r="BC17" i="105"/>
  <c r="BC44" i="105"/>
  <c r="BC47" i="105"/>
  <c r="BC75" i="105"/>
  <c r="BC55" i="105"/>
  <c r="BC64" i="105"/>
  <c r="BC84" i="105"/>
  <c r="BC89" i="105"/>
  <c r="BC36" i="105"/>
  <c r="BC30" i="105"/>
  <c r="BC33" i="105"/>
  <c r="BC39" i="105"/>
  <c r="BC46" i="105"/>
  <c r="BC69" i="105"/>
  <c r="BC62" i="105"/>
  <c r="BC70" i="105"/>
  <c r="BC81" i="105"/>
  <c r="BC94" i="105"/>
  <c r="BC63" i="105"/>
  <c r="BC45" i="105"/>
  <c r="BC40" i="105"/>
  <c r="BC56" i="105"/>
  <c r="BC53" i="105"/>
  <c r="BC57" i="105"/>
  <c r="BC71" i="105"/>
  <c r="BC72" i="105"/>
  <c r="BC74" i="105"/>
  <c r="BC91" i="105"/>
  <c r="BC16" i="105"/>
  <c r="BC15" i="105"/>
  <c r="BD96" i="105"/>
  <c r="BD91" i="105"/>
  <c r="BD94" i="105"/>
  <c r="BD86" i="105"/>
  <c r="BD83" i="105"/>
  <c r="BD74" i="105"/>
  <c r="BD82" i="105"/>
  <c r="BD80" i="105"/>
  <c r="BD81" i="105"/>
  <c r="BD56" i="105"/>
  <c r="BD77" i="105"/>
  <c r="BD71" i="105"/>
  <c r="BD60" i="105"/>
  <c r="BD63" i="105"/>
  <c r="BD75" i="105"/>
  <c r="BD53" i="105"/>
  <c r="BD37" i="105"/>
  <c r="BD49" i="105"/>
  <c r="BD38" i="105"/>
  <c r="BD28" i="105"/>
  <c r="BD39" i="105"/>
  <c r="BD33" i="105"/>
  <c r="BD17" i="105"/>
  <c r="BD35" i="105"/>
  <c r="BD18" i="105"/>
  <c r="BD24" i="105"/>
  <c r="BD15" i="105"/>
  <c r="BD22" i="105"/>
  <c r="BD8" i="105"/>
  <c r="BD88" i="105" s="1"/>
  <c r="BD44" i="105"/>
  <c r="BD23" i="105"/>
  <c r="BE7" i="105"/>
  <c r="BD13" i="105"/>
  <c r="BD31" i="105"/>
  <c r="BC50" i="105"/>
  <c r="BC86" i="105"/>
  <c r="BC78" i="105"/>
  <c r="BC77" i="105"/>
  <c r="BC82" i="105"/>
  <c r="BC83" i="105"/>
  <c r="BC88" i="105"/>
  <c r="BC25" i="105"/>
  <c r="BC19" i="105"/>
  <c r="BC24" i="105"/>
  <c r="BC14" i="105"/>
  <c r="BC41" i="105"/>
  <c r="BC34" i="105"/>
  <c r="BC60" i="105"/>
  <c r="BC59" i="105"/>
  <c r="BC58" i="105"/>
  <c r="BC90" i="105"/>
  <c r="BD97" i="103"/>
  <c r="BD89" i="103"/>
  <c r="BD92" i="103"/>
  <c r="BD95" i="103"/>
  <c r="BD84" i="103"/>
  <c r="BD79" i="103"/>
  <c r="BD82" i="103"/>
  <c r="BD85" i="103"/>
  <c r="BD73" i="103"/>
  <c r="BD64" i="103"/>
  <c r="BD80" i="103"/>
  <c r="BD68" i="103"/>
  <c r="BD60" i="103"/>
  <c r="BD57" i="103"/>
  <c r="BD72" i="103"/>
  <c r="BD83" i="103"/>
  <c r="BD46" i="103"/>
  <c r="BD69" i="103"/>
  <c r="BD49" i="103"/>
  <c r="BD40" i="103"/>
  <c r="BD47" i="103"/>
  <c r="BD44" i="103"/>
  <c r="BD35" i="103"/>
  <c r="BD53" i="103"/>
  <c r="BD63" i="103"/>
  <c r="BD38" i="103"/>
  <c r="BD41" i="103"/>
  <c r="BD29" i="103"/>
  <c r="BD24" i="103"/>
  <c r="BD37" i="103"/>
  <c r="BD30" i="103"/>
  <c r="BD22" i="103"/>
  <c r="BD28" i="103"/>
  <c r="BD39" i="103"/>
  <c r="BD31" i="103"/>
  <c r="BD18" i="103"/>
  <c r="BD26" i="103"/>
  <c r="BD50" i="103"/>
  <c r="BD27" i="103"/>
  <c r="BD16" i="103"/>
  <c r="BD11" i="103"/>
  <c r="BE7" i="103"/>
  <c r="BD19" i="103"/>
  <c r="BD59" i="103"/>
  <c r="BD17" i="103"/>
  <c r="BD12" i="103"/>
  <c r="BD25" i="103"/>
  <c r="BD23" i="103"/>
  <c r="BD8" i="103"/>
  <c r="BD96" i="103" s="1"/>
  <c r="BC31" i="103"/>
  <c r="BC55" i="103"/>
  <c r="BC56" i="103"/>
  <c r="BC49" i="103"/>
  <c r="BC39" i="103"/>
  <c r="BC80" i="103"/>
  <c r="BC63" i="103"/>
  <c r="BC90" i="103"/>
  <c r="BC88" i="103"/>
  <c r="BC12" i="103"/>
  <c r="BC14" i="103"/>
  <c r="BC38" i="103"/>
  <c r="BC53" i="103"/>
  <c r="BC40" i="103"/>
  <c r="BC69" i="103"/>
  <c r="BC48" i="103"/>
  <c r="BC66" i="103"/>
  <c r="BC72" i="103"/>
  <c r="BC86" i="103"/>
  <c r="BC96" i="103"/>
  <c r="BC59" i="103"/>
  <c r="BC71" i="103"/>
  <c r="BC93" i="103"/>
  <c r="BC16" i="103"/>
  <c r="BC44" i="103"/>
  <c r="BC57" i="103"/>
  <c r="BC30" i="103"/>
  <c r="BC33" i="103"/>
  <c r="BC25" i="103"/>
  <c r="BC35" i="103"/>
  <c r="BC34" i="103"/>
  <c r="BC58" i="103"/>
  <c r="BC60" i="103"/>
  <c r="BC64" i="103"/>
  <c r="BC79" i="103"/>
  <c r="BC89" i="103"/>
  <c r="BC17" i="103"/>
  <c r="BC20" i="103"/>
  <c r="BC95" i="103"/>
  <c r="BC36" i="103"/>
  <c r="BC11" i="103"/>
  <c r="BC47" i="103"/>
  <c r="BC45" i="103"/>
  <c r="BC42" i="103"/>
  <c r="BC61" i="103"/>
  <c r="BC68" i="103"/>
  <c r="BC73" i="103"/>
  <c r="BC84" i="103"/>
  <c r="BC97" i="103"/>
  <c r="BC37" i="103"/>
  <c r="BC15" i="103"/>
  <c r="BC23" i="103"/>
  <c r="BC29" i="103"/>
  <c r="BC46" i="103"/>
  <c r="BC83" i="103"/>
  <c r="BC82" i="103"/>
  <c r="BC22" i="103"/>
  <c r="BC24" i="103"/>
  <c r="BC18" i="103"/>
  <c r="BC26" i="103"/>
  <c r="BC50" i="103"/>
  <c r="BC51" i="103"/>
  <c r="BC62" i="103"/>
  <c r="BC70" i="103"/>
  <c r="BC81" i="103"/>
  <c r="BC94" i="103"/>
  <c r="BC28" i="103"/>
  <c r="BC74" i="103"/>
  <c r="BC85" i="103"/>
  <c r="BC92" i="103"/>
  <c r="BC19" i="103"/>
  <c r="BC13" i="103"/>
  <c r="BC27" i="103"/>
  <c r="BC41" i="103"/>
  <c r="BC52" i="103"/>
  <c r="BC77" i="103"/>
  <c r="BC67" i="103"/>
  <c r="BC75" i="103"/>
  <c r="BC78" i="103"/>
  <c r="BC94" i="101"/>
  <c r="BC97" i="101"/>
  <c r="BC89" i="101"/>
  <c r="BC92" i="101"/>
  <c r="BC79" i="101"/>
  <c r="BC82" i="101"/>
  <c r="BC83" i="101"/>
  <c r="BC77" i="101"/>
  <c r="BC71" i="101"/>
  <c r="BC66" i="101"/>
  <c r="BC57" i="101"/>
  <c r="BC69" i="101"/>
  <c r="BC67" i="101"/>
  <c r="BC58" i="101"/>
  <c r="BC74" i="101"/>
  <c r="BC46" i="101"/>
  <c r="BC59" i="101"/>
  <c r="BC49" i="101"/>
  <c r="BC40" i="101"/>
  <c r="BC68" i="101"/>
  <c r="BC44" i="101"/>
  <c r="BC72" i="101"/>
  <c r="BC45" i="101"/>
  <c r="BC27" i="101"/>
  <c r="BC62" i="101"/>
  <c r="BC51" i="101"/>
  <c r="BC25" i="101"/>
  <c r="BC42" i="101"/>
  <c r="BC73" i="101"/>
  <c r="BC64" i="101"/>
  <c r="BC53" i="101"/>
  <c r="BC31" i="101"/>
  <c r="BC50" i="101"/>
  <c r="BC33" i="101"/>
  <c r="BC23" i="101"/>
  <c r="BC28" i="101"/>
  <c r="BC38" i="101"/>
  <c r="BC13" i="101"/>
  <c r="BC16" i="101"/>
  <c r="BC24" i="101"/>
  <c r="BC22" i="101"/>
  <c r="BD7" i="101"/>
  <c r="BC18" i="101"/>
  <c r="BC17" i="101"/>
  <c r="BC12" i="101"/>
  <c r="BC20" i="101"/>
  <c r="BC8" i="101"/>
  <c r="BC93" i="101" s="1"/>
  <c r="BB78" i="101"/>
  <c r="BB96" i="101"/>
  <c r="BB11" i="101"/>
  <c r="BB29" i="101"/>
  <c r="BB19" i="101"/>
  <c r="BB56" i="101"/>
  <c r="BB52" i="101"/>
  <c r="BB46" i="101"/>
  <c r="BB69" i="101"/>
  <c r="BB79" i="101"/>
  <c r="BB86" i="101"/>
  <c r="BB93" i="101"/>
  <c r="BB17" i="101"/>
  <c r="BB35" i="101"/>
  <c r="BB28" i="101"/>
  <c r="BB64" i="101"/>
  <c r="BB74" i="101"/>
  <c r="BB68" i="101"/>
  <c r="BB51" i="101"/>
  <c r="BB82" i="101"/>
  <c r="BB75" i="101"/>
  <c r="BB50" i="99"/>
  <c r="BB55" i="99"/>
  <c r="BB52" i="99"/>
  <c r="BB75" i="99"/>
  <c r="BB81" i="99"/>
  <c r="BB68" i="99"/>
  <c r="BB97" i="99"/>
  <c r="BB24" i="99"/>
  <c r="BB16" i="99"/>
  <c r="BB18" i="99"/>
  <c r="BB56" i="99"/>
  <c r="BB35" i="99"/>
  <c r="BB37" i="99"/>
  <c r="BB57" i="99"/>
  <c r="BB69" i="99"/>
  <c r="BB77" i="99"/>
  <c r="BB94" i="99"/>
  <c r="BB17" i="99"/>
  <c r="BB31" i="99"/>
  <c r="BB22" i="99"/>
  <c r="BB28" i="99"/>
  <c r="BB44" i="99"/>
  <c r="BB46" i="99"/>
  <c r="BB53" i="99"/>
  <c r="BB78" i="99"/>
  <c r="BB85" i="99"/>
  <c r="BB91" i="99"/>
  <c r="BB88" i="99"/>
  <c r="BB33" i="99"/>
  <c r="BB48" i="99"/>
  <c r="BB29" i="99"/>
  <c r="BB25" i="99"/>
  <c r="BB49" i="99"/>
  <c r="BB70" i="99"/>
  <c r="BB67" i="99"/>
  <c r="BB83" i="99"/>
  <c r="BB73" i="99"/>
  <c r="BB96" i="99"/>
  <c r="BC83" i="99"/>
  <c r="BD7" i="99"/>
  <c r="BC24" i="99"/>
  <c r="BC8" i="99"/>
  <c r="BC88" i="99" s="1"/>
  <c r="BB93" i="99"/>
  <c r="BB15" i="99"/>
  <c r="BB19" i="99"/>
  <c r="BB23" i="99"/>
  <c r="BB42" i="99"/>
  <c r="BB66" i="99"/>
  <c r="BB79" i="99"/>
  <c r="BB51" i="99"/>
  <c r="BB63" i="99"/>
  <c r="BB80" i="99"/>
  <c r="BB92" i="99"/>
  <c r="BB48" i="97"/>
  <c r="BB13" i="97"/>
  <c r="BB15" i="97"/>
  <c r="BB23" i="97"/>
  <c r="BB33" i="97"/>
  <c r="BB36" i="97"/>
  <c r="BB61" i="97"/>
  <c r="BB75" i="97"/>
  <c r="BB80" i="97"/>
  <c r="BB97" i="97"/>
  <c r="BB17" i="97"/>
  <c r="BB24" i="97"/>
  <c r="BB30" i="97"/>
  <c r="BB50" i="97"/>
  <c r="BB52" i="97"/>
  <c r="BB77" i="97"/>
  <c r="BB56" i="97"/>
  <c r="BB95" i="97"/>
  <c r="BB94" i="97"/>
  <c r="BB11" i="97"/>
  <c r="BB81" i="97"/>
  <c r="BB28" i="97"/>
  <c r="BB60" i="97"/>
  <c r="BB58" i="97"/>
  <c r="BB53" i="97"/>
  <c r="BB79" i="97"/>
  <c r="BB70" i="97"/>
  <c r="BB85" i="97"/>
  <c r="BB91" i="97"/>
  <c r="BB19" i="97"/>
  <c r="BB45" i="97"/>
  <c r="BB37" i="97"/>
  <c r="BB72" i="97"/>
  <c r="BB44" i="97"/>
  <c r="BB46" i="97"/>
  <c r="BB67" i="97"/>
  <c r="BB66" i="97"/>
  <c r="BB73" i="97"/>
  <c r="BB96" i="97"/>
  <c r="BB22" i="97"/>
  <c r="BB49" i="97"/>
  <c r="BC88" i="97"/>
  <c r="BC89" i="97"/>
  <c r="BC92" i="97"/>
  <c r="BC90" i="97"/>
  <c r="BC80" i="97"/>
  <c r="BC83" i="97"/>
  <c r="BC78" i="97"/>
  <c r="BC75" i="97"/>
  <c r="BC59" i="97"/>
  <c r="BC84" i="97"/>
  <c r="BC62" i="97"/>
  <c r="BC72" i="97"/>
  <c r="BC46" i="97"/>
  <c r="BC58" i="97"/>
  <c r="BC47" i="97"/>
  <c r="BC55" i="97"/>
  <c r="BC30" i="97"/>
  <c r="BC52" i="97"/>
  <c r="BC37" i="97"/>
  <c r="BC48" i="97"/>
  <c r="BC51" i="97"/>
  <c r="BC60" i="97"/>
  <c r="BC11" i="97"/>
  <c r="BC53" i="97"/>
  <c r="BC38" i="97"/>
  <c r="BC35" i="97"/>
  <c r="BC17" i="97"/>
  <c r="BC23" i="97"/>
  <c r="BC56" i="97"/>
  <c r="BC45" i="97"/>
  <c r="BC25" i="97"/>
  <c r="BC16" i="97"/>
  <c r="BC8" i="97"/>
  <c r="BC93" i="97" s="1"/>
  <c r="BC61" i="97"/>
  <c r="BC22" i="97"/>
  <c r="BC18" i="97"/>
  <c r="BC70" i="97"/>
  <c r="BC50" i="97"/>
  <c r="BD7" i="97"/>
  <c r="BC14" i="97"/>
  <c r="BB25" i="97"/>
  <c r="BB69" i="97"/>
  <c r="BB51" i="97"/>
  <c r="BB59" i="97"/>
  <c r="BB83" i="97"/>
  <c r="BB92" i="97"/>
  <c r="BD80" i="95"/>
  <c r="BD95" i="95"/>
  <c r="BD11" i="95"/>
  <c r="BD31" i="95"/>
  <c r="BD66" i="95"/>
  <c r="BD79" i="95"/>
  <c r="BD71" i="95"/>
  <c r="BD90" i="95"/>
  <c r="BD14" i="95"/>
  <c r="BD20" i="95"/>
  <c r="BD59" i="95"/>
  <c r="BD44" i="95"/>
  <c r="BD50" i="95"/>
  <c r="BD52" i="95"/>
  <c r="BD72" i="95"/>
  <c r="BD82" i="95"/>
  <c r="BD22" i="95"/>
  <c r="BD30" i="95"/>
  <c r="BD12" i="95"/>
  <c r="BD29" i="95"/>
  <c r="BD47" i="95"/>
  <c r="BD35" i="95"/>
  <c r="BD55" i="95"/>
  <c r="BD64" i="95"/>
  <c r="BD78" i="95"/>
  <c r="BD85" i="95"/>
  <c r="BD91" i="95"/>
  <c r="BD13" i="95"/>
  <c r="BD33" i="95"/>
  <c r="BD34" i="95"/>
  <c r="BD58" i="95"/>
  <c r="BF7" i="95"/>
  <c r="BE8" i="95"/>
  <c r="BE89" i="95" s="1"/>
  <c r="BD37" i="95"/>
  <c r="BD61" i="95"/>
  <c r="BD77" i="95"/>
  <c r="BD73" i="95"/>
  <c r="BD39" i="95"/>
  <c r="BD89" i="95"/>
  <c r="BD88" i="95"/>
  <c r="BD97" i="95"/>
  <c r="BD94" i="95"/>
  <c r="BD17" i="95"/>
  <c r="BD16" i="95"/>
  <c r="BD84" i="95"/>
  <c r="BD15" i="95"/>
  <c r="BD24" i="95"/>
  <c r="BD27" i="95"/>
  <c r="BD40" i="95"/>
  <c r="BD23" i="95"/>
  <c r="BD45" i="95"/>
  <c r="BD49" i="95"/>
  <c r="BD53" i="95"/>
  <c r="BD62" i="95"/>
  <c r="BD68" i="95"/>
  <c r="BD57" i="95"/>
  <c r="BD83" i="95"/>
  <c r="BD75" i="95"/>
  <c r="BD93" i="95"/>
  <c r="BD26" i="95"/>
  <c r="BD18" i="95"/>
  <c r="BD56" i="95"/>
  <c r="BD41" i="95"/>
  <c r="BD46" i="95"/>
  <c r="BD96" i="95"/>
  <c r="BD25" i="95"/>
  <c r="BD48" i="95"/>
  <c r="BD69" i="95"/>
  <c r="BD63" i="95"/>
  <c r="BD19" i="95"/>
  <c r="BD28" i="95"/>
  <c r="BD42" i="95"/>
  <c r="BD38" i="95"/>
  <c r="BD36" i="95"/>
  <c r="BD51" i="95"/>
  <c r="BD60" i="95"/>
  <c r="BD74" i="95"/>
  <c r="BD70" i="95"/>
  <c r="BD81" i="95"/>
  <c r="BD67" i="95"/>
  <c r="BD86" i="95"/>
  <c r="BC59" i="59" l="1"/>
  <c r="BC17" i="59"/>
  <c r="BC34" i="59"/>
  <c r="BC80" i="59"/>
  <c r="BC38" i="59"/>
  <c r="BC55" i="59"/>
  <c r="BC45" i="59"/>
  <c r="BC79" i="59"/>
  <c r="BC41" i="59"/>
  <c r="BC67" i="59"/>
  <c r="BC14" i="59"/>
  <c r="BC42" i="59"/>
  <c r="BC57" i="59"/>
  <c r="BC12" i="59"/>
  <c r="BC24" i="59"/>
  <c r="BC30" i="59"/>
  <c r="BC74" i="59"/>
  <c r="BC31" i="59"/>
  <c r="BC23" i="59"/>
  <c r="BC46" i="59"/>
  <c r="BC81" i="59"/>
  <c r="BC97" i="59"/>
  <c r="BC27" i="59"/>
  <c r="BC25" i="59"/>
  <c r="BC53" i="59"/>
  <c r="BC58" i="59"/>
  <c r="BC94" i="59"/>
  <c r="BC77" i="59"/>
  <c r="BC73" i="59"/>
  <c r="BC85" i="59"/>
  <c r="BC89" i="59"/>
  <c r="BC66" i="59"/>
  <c r="BC60" i="59"/>
  <c r="BC86" i="59"/>
  <c r="BC82" i="59"/>
  <c r="BC91" i="59"/>
  <c r="BC18" i="59"/>
  <c r="BC36" i="59"/>
  <c r="BC40" i="59"/>
  <c r="BC48" i="59"/>
  <c r="BC39" i="59"/>
  <c r="BC47" i="59"/>
  <c r="BC61" i="59"/>
  <c r="BC63" i="59"/>
  <c r="BC78" i="59"/>
  <c r="BC88" i="59"/>
  <c r="BC33" i="59"/>
  <c r="BC50" i="59"/>
  <c r="BC19" i="59"/>
  <c r="BC28" i="59"/>
  <c r="BC62" i="59"/>
  <c r="BC51" i="59"/>
  <c r="BC64" i="59"/>
  <c r="BC72" i="59"/>
  <c r="BC90" i="59"/>
  <c r="BC96" i="59"/>
  <c r="BC13" i="59"/>
  <c r="BC52" i="59"/>
  <c r="BC11" i="59"/>
  <c r="BC35" i="59"/>
  <c r="BC37" i="59"/>
  <c r="BC70" i="59"/>
  <c r="BC44" i="59"/>
  <c r="BC68" i="59"/>
  <c r="BC83" i="59"/>
  <c r="BC95" i="59"/>
  <c r="BC93" i="59"/>
  <c r="BD80" i="59"/>
  <c r="BD47" i="59"/>
  <c r="BD56" i="59"/>
  <c r="BD50" i="59"/>
  <c r="BE7" i="59"/>
  <c r="BD8" i="59"/>
  <c r="BD96" i="59" s="1"/>
  <c r="BD41" i="59"/>
  <c r="BC22" i="59"/>
  <c r="BC20" i="59"/>
  <c r="BC15" i="59"/>
  <c r="BC16" i="59"/>
  <c r="BC49" i="59"/>
  <c r="BC69" i="59"/>
  <c r="BC75" i="59"/>
  <c r="BC71" i="59"/>
  <c r="BC84" i="59"/>
  <c r="BC20" i="113"/>
  <c r="BC15" i="113"/>
  <c r="BC38" i="113"/>
  <c r="BC29" i="113"/>
  <c r="BC31" i="113"/>
  <c r="BC67" i="113"/>
  <c r="BC68" i="113"/>
  <c r="BC62" i="113"/>
  <c r="BC84" i="113"/>
  <c r="BC88" i="113"/>
  <c r="BC11" i="113"/>
  <c r="BC59" i="113"/>
  <c r="BC12" i="113"/>
  <c r="BC22" i="113"/>
  <c r="BC33" i="113"/>
  <c r="BC40" i="113"/>
  <c r="BC66" i="113"/>
  <c r="BC73" i="113"/>
  <c r="BC71" i="113"/>
  <c r="BC90" i="113"/>
  <c r="BC96" i="113"/>
  <c r="BC13" i="113"/>
  <c r="BC25" i="113"/>
  <c r="BC26" i="113"/>
  <c r="BC30" i="113"/>
  <c r="BC41" i="113"/>
  <c r="BC49" i="113"/>
  <c r="BC52" i="113"/>
  <c r="BC78" i="113"/>
  <c r="BC74" i="113"/>
  <c r="BC81" i="113"/>
  <c r="BC93" i="113"/>
  <c r="BC57" i="113"/>
  <c r="BC28" i="113"/>
  <c r="BC42" i="113"/>
  <c r="BC50" i="113"/>
  <c r="BC37" i="113"/>
  <c r="BC61" i="113"/>
  <c r="BC83" i="113"/>
  <c r="BC80" i="113"/>
  <c r="BC92" i="113"/>
  <c r="BC16" i="113"/>
  <c r="BC19" i="113"/>
  <c r="BC23" i="113"/>
  <c r="BC45" i="113"/>
  <c r="BC47" i="113"/>
  <c r="BC46" i="113"/>
  <c r="BC69" i="113"/>
  <c r="BC63" i="113"/>
  <c r="BC85" i="113"/>
  <c r="BC89" i="113"/>
  <c r="BD8" i="113"/>
  <c r="BD89" i="113" s="1"/>
  <c r="BE7" i="113"/>
  <c r="BC48" i="113"/>
  <c r="BC36" i="113"/>
  <c r="BC70" i="113"/>
  <c r="BC56" i="113"/>
  <c r="BC77" i="113"/>
  <c r="BC64" i="113"/>
  <c r="BC72" i="113"/>
  <c r="BC82" i="113"/>
  <c r="BC97" i="113"/>
  <c r="BC17" i="113"/>
  <c r="BC27" i="113"/>
  <c r="BC39" i="113"/>
  <c r="BC34" i="113"/>
  <c r="BC58" i="113"/>
  <c r="BC51" i="113"/>
  <c r="BC55" i="113"/>
  <c r="BC95" i="113"/>
  <c r="BC79" i="113"/>
  <c r="BD37" i="111"/>
  <c r="BD49" i="111"/>
  <c r="BD39" i="111"/>
  <c r="BD77" i="111"/>
  <c r="BD90" i="111"/>
  <c r="BD61" i="111"/>
  <c r="BD92" i="111"/>
  <c r="BD67" i="111"/>
  <c r="BD27" i="111"/>
  <c r="BD41" i="111"/>
  <c r="BD46" i="111"/>
  <c r="BD85" i="111"/>
  <c r="BD63" i="111"/>
  <c r="BD72" i="111"/>
  <c r="BD94" i="111"/>
  <c r="BD31" i="111"/>
  <c r="BD18" i="111"/>
  <c r="BD15" i="111"/>
  <c r="BD66" i="111"/>
  <c r="BD45" i="111"/>
  <c r="BD47" i="111"/>
  <c r="BD56" i="111"/>
  <c r="BD68" i="111"/>
  <c r="BD81" i="111"/>
  <c r="BD91" i="111"/>
  <c r="BD14" i="111"/>
  <c r="BE94" i="111"/>
  <c r="BE86" i="111"/>
  <c r="BE90" i="111"/>
  <c r="BE84" i="111"/>
  <c r="BE80" i="111"/>
  <c r="BE64" i="111"/>
  <c r="BE38" i="111"/>
  <c r="BE61" i="111"/>
  <c r="BE58" i="111"/>
  <c r="BE77" i="111"/>
  <c r="BE74" i="111"/>
  <c r="BE60" i="111"/>
  <c r="BE53" i="111"/>
  <c r="BE48" i="111"/>
  <c r="BE92" i="111"/>
  <c r="BE36" i="111"/>
  <c r="BE37" i="111"/>
  <c r="BE46" i="111"/>
  <c r="BE82" i="111"/>
  <c r="BE27" i="111"/>
  <c r="BE35" i="111"/>
  <c r="BE28" i="111"/>
  <c r="BE8" i="111"/>
  <c r="BE93" i="111" s="1"/>
  <c r="BE31" i="111"/>
  <c r="BE16" i="111"/>
  <c r="BE72" i="111"/>
  <c r="BE45" i="111"/>
  <c r="BE13" i="111"/>
  <c r="BE11" i="111"/>
  <c r="BF7" i="111"/>
  <c r="BE34" i="111"/>
  <c r="BE23" i="111"/>
  <c r="BE24" i="111"/>
  <c r="BE15" i="111"/>
  <c r="BE29" i="111"/>
  <c r="BE33" i="111"/>
  <c r="BE12" i="111"/>
  <c r="BE17" i="111"/>
  <c r="BE14" i="111"/>
  <c r="BD20" i="111"/>
  <c r="BD29" i="111"/>
  <c r="BD80" i="111"/>
  <c r="BD51" i="111"/>
  <c r="BD48" i="111"/>
  <c r="BD73" i="111"/>
  <c r="BD74" i="111"/>
  <c r="BD93" i="111"/>
  <c r="BD88" i="111"/>
  <c r="BD17" i="111"/>
  <c r="BD12" i="111"/>
  <c r="BD30" i="111"/>
  <c r="BD35" i="111"/>
  <c r="BD24" i="111"/>
  <c r="BD55" i="111"/>
  <c r="BD50" i="111"/>
  <c r="BD64" i="111"/>
  <c r="BD89" i="111"/>
  <c r="BD78" i="111"/>
  <c r="BD96" i="111"/>
  <c r="BD53" i="111"/>
  <c r="BD57" i="111"/>
  <c r="BD36" i="111"/>
  <c r="BD25" i="111"/>
  <c r="BD33" i="111"/>
  <c r="BD70" i="111"/>
  <c r="BD59" i="111"/>
  <c r="BD69" i="111"/>
  <c r="BD44" i="111"/>
  <c r="BD86" i="111"/>
  <c r="BD34" i="111"/>
  <c r="BD79" i="111"/>
  <c r="BD58" i="111"/>
  <c r="BD71" i="111"/>
  <c r="BD75" i="111"/>
  <c r="BD52" i="111"/>
  <c r="BC15" i="109"/>
  <c r="BC36" i="109"/>
  <c r="BC68" i="109"/>
  <c r="BC57" i="109"/>
  <c r="BC52" i="109"/>
  <c r="BC47" i="109"/>
  <c r="BC77" i="109"/>
  <c r="BC63" i="109"/>
  <c r="BC85" i="109"/>
  <c r="BC91" i="109"/>
  <c r="BC22" i="109"/>
  <c r="BC59" i="109"/>
  <c r="BC34" i="109"/>
  <c r="BC24" i="109"/>
  <c r="BC20" i="109"/>
  <c r="BC23" i="109"/>
  <c r="BC49" i="109"/>
  <c r="BC72" i="109"/>
  <c r="BC73" i="109"/>
  <c r="BC86" i="109"/>
  <c r="BC96" i="109"/>
  <c r="BC35" i="109"/>
  <c r="BC56" i="109"/>
  <c r="BC29" i="109"/>
  <c r="BC31" i="109"/>
  <c r="BC55" i="109"/>
  <c r="BC95" i="109"/>
  <c r="BC90" i="109"/>
  <c r="BC92" i="109"/>
  <c r="BC93" i="109"/>
  <c r="BC58" i="109"/>
  <c r="BC70" i="109"/>
  <c r="BC84" i="109"/>
  <c r="BC26" i="109"/>
  <c r="BC30" i="109"/>
  <c r="BC44" i="109"/>
  <c r="BC46" i="109"/>
  <c r="BC45" i="109"/>
  <c r="BC19" i="109"/>
  <c r="BC62" i="109"/>
  <c r="BC60" i="109"/>
  <c r="BC78" i="109"/>
  <c r="BD8" i="109"/>
  <c r="BD92" i="109" s="1"/>
  <c r="BE7" i="109"/>
  <c r="BD39" i="107"/>
  <c r="BD46" i="107"/>
  <c r="BD57" i="107"/>
  <c r="BD51" i="107"/>
  <c r="BD73" i="107"/>
  <c r="BD77" i="107"/>
  <c r="BD70" i="107"/>
  <c r="BD79" i="107"/>
  <c r="BD97" i="107"/>
  <c r="BD14" i="107"/>
  <c r="BD12" i="107"/>
  <c r="BD17" i="107"/>
  <c r="BD85" i="107"/>
  <c r="BD37" i="107"/>
  <c r="BD83" i="107"/>
  <c r="BD29" i="107"/>
  <c r="BD71" i="107"/>
  <c r="BD78" i="107"/>
  <c r="BD94" i="107"/>
  <c r="BD30" i="107"/>
  <c r="BD16" i="107"/>
  <c r="BD34" i="107"/>
  <c r="BD26" i="107"/>
  <c r="BD19" i="107"/>
  <c r="BD40" i="107"/>
  <c r="BD56" i="107"/>
  <c r="BD38" i="107"/>
  <c r="BD75" i="107"/>
  <c r="BD93" i="107"/>
  <c r="BD91" i="107"/>
  <c r="BD62" i="107"/>
  <c r="BD22" i="107"/>
  <c r="BD81" i="107"/>
  <c r="BD42" i="107"/>
  <c r="BD66" i="107"/>
  <c r="BD41" i="107"/>
  <c r="BD52" i="107"/>
  <c r="BD84" i="107"/>
  <c r="BD96" i="107"/>
  <c r="BE91" i="107"/>
  <c r="BE94" i="107"/>
  <c r="BE92" i="107"/>
  <c r="BE95" i="107"/>
  <c r="BE93" i="107"/>
  <c r="BE96" i="107"/>
  <c r="BE71" i="107"/>
  <c r="BE62" i="107"/>
  <c r="BE88" i="107"/>
  <c r="BE70" i="107"/>
  <c r="BE63" i="107"/>
  <c r="BE60" i="107"/>
  <c r="BE56" i="107"/>
  <c r="BE77" i="107"/>
  <c r="BE50" i="107"/>
  <c r="BE41" i="107"/>
  <c r="BE36" i="107"/>
  <c r="BE79" i="107"/>
  <c r="BE78" i="107"/>
  <c r="BE72" i="107"/>
  <c r="BE61" i="107"/>
  <c r="BE40" i="107"/>
  <c r="BE52" i="107"/>
  <c r="BE51" i="107"/>
  <c r="BE68" i="107"/>
  <c r="BE53" i="107"/>
  <c r="BE35" i="107"/>
  <c r="BE23" i="107"/>
  <c r="BE26" i="107"/>
  <c r="BE17" i="107"/>
  <c r="BE84" i="107"/>
  <c r="BE38" i="107"/>
  <c r="BE24" i="107"/>
  <c r="BE30" i="107"/>
  <c r="BE22" i="107"/>
  <c r="BE25" i="107"/>
  <c r="BE73" i="107"/>
  <c r="BE8" i="107"/>
  <c r="BE97" i="107" s="1"/>
  <c r="BE42" i="107"/>
  <c r="BE27" i="107"/>
  <c r="BE18" i="107"/>
  <c r="BE14" i="107"/>
  <c r="BF7" i="107"/>
  <c r="BE16" i="107"/>
  <c r="BE31" i="107"/>
  <c r="BE13" i="107"/>
  <c r="BE47" i="107"/>
  <c r="BD15" i="107"/>
  <c r="BD18" i="107"/>
  <c r="BD23" i="107"/>
  <c r="BD48" i="107"/>
  <c r="BD44" i="107"/>
  <c r="BD50" i="107"/>
  <c r="BD60" i="107"/>
  <c r="BD74" i="107"/>
  <c r="BD95" i="107"/>
  <c r="BD25" i="107"/>
  <c r="BD24" i="107"/>
  <c r="BD27" i="107"/>
  <c r="BD36" i="107"/>
  <c r="BD61" i="107"/>
  <c r="BD49" i="107"/>
  <c r="BD55" i="107"/>
  <c r="BD63" i="107"/>
  <c r="BD68" i="107"/>
  <c r="BD92" i="107"/>
  <c r="BD11" i="107"/>
  <c r="BD28" i="107"/>
  <c r="BD20" i="107"/>
  <c r="BD53" i="107"/>
  <c r="BD80" i="107"/>
  <c r="BD64" i="107"/>
  <c r="BD59" i="107"/>
  <c r="BD67" i="107"/>
  <c r="BD82" i="107"/>
  <c r="BD14" i="105"/>
  <c r="BD42" i="105"/>
  <c r="BD25" i="105"/>
  <c r="BD45" i="105"/>
  <c r="BD48" i="105"/>
  <c r="BD55" i="105"/>
  <c r="BD85" i="105"/>
  <c r="BD64" i="105"/>
  <c r="BD79" i="105"/>
  <c r="BD95" i="105"/>
  <c r="BD27" i="105"/>
  <c r="BD19" i="105"/>
  <c r="BD29" i="105"/>
  <c r="BD52" i="105"/>
  <c r="BD30" i="105"/>
  <c r="BD59" i="105"/>
  <c r="BD57" i="105"/>
  <c r="BD61" i="105"/>
  <c r="BD84" i="105"/>
  <c r="BD92" i="105"/>
  <c r="BD11" i="105"/>
  <c r="BD26" i="105"/>
  <c r="BD12" i="105"/>
  <c r="BD69" i="105"/>
  <c r="BD47" i="105"/>
  <c r="BD51" i="105"/>
  <c r="BD66" i="105"/>
  <c r="BD70" i="105"/>
  <c r="BD93" i="105"/>
  <c r="BD89" i="105"/>
  <c r="BE91" i="105"/>
  <c r="BE78" i="105"/>
  <c r="BE85" i="105"/>
  <c r="BE62" i="105"/>
  <c r="BE80" i="105"/>
  <c r="BE46" i="105"/>
  <c r="BE31" i="105"/>
  <c r="BE39" i="105"/>
  <c r="BE13" i="105"/>
  <c r="BE8" i="105"/>
  <c r="BE97" i="105" s="1"/>
  <c r="BE48" i="105"/>
  <c r="BE36" i="105"/>
  <c r="BE23" i="105"/>
  <c r="BF7" i="105"/>
  <c r="BE17" i="105"/>
  <c r="BD16" i="105"/>
  <c r="BD20" i="105"/>
  <c r="BD34" i="105"/>
  <c r="BD40" i="105"/>
  <c r="BD58" i="105"/>
  <c r="BD62" i="105"/>
  <c r="BD72" i="105"/>
  <c r="BD78" i="105"/>
  <c r="BD97" i="105"/>
  <c r="BD41" i="105"/>
  <c r="BD50" i="105"/>
  <c r="BD36" i="105"/>
  <c r="BD46" i="105"/>
  <c r="BD67" i="105"/>
  <c r="BD68" i="105"/>
  <c r="BD73" i="105"/>
  <c r="BD90" i="105"/>
  <c r="BD61" i="103"/>
  <c r="BD62" i="103"/>
  <c r="BD75" i="103"/>
  <c r="BD93" i="103"/>
  <c r="BD94" i="103"/>
  <c r="BE97" i="103"/>
  <c r="BE75" i="103"/>
  <c r="BE61" i="103"/>
  <c r="BE69" i="103"/>
  <c r="BE78" i="103"/>
  <c r="BE52" i="103"/>
  <c r="BE40" i="103"/>
  <c r="BE31" i="103"/>
  <c r="BE30" i="103"/>
  <c r="BF7" i="103"/>
  <c r="BE12" i="103"/>
  <c r="BE8" i="103"/>
  <c r="BE89" i="103" s="1"/>
  <c r="BD45" i="103"/>
  <c r="BD56" i="103"/>
  <c r="BD42" i="103"/>
  <c r="BD71" i="103"/>
  <c r="BD58" i="103"/>
  <c r="BD81" i="103"/>
  <c r="BD91" i="103"/>
  <c r="BD15" i="103"/>
  <c r="BD20" i="103"/>
  <c r="BD34" i="103"/>
  <c r="BD33" i="103"/>
  <c r="BD48" i="103"/>
  <c r="BD66" i="103"/>
  <c r="BD51" i="103"/>
  <c r="BD74" i="103"/>
  <c r="BD67" i="103"/>
  <c r="BD90" i="103"/>
  <c r="BD88" i="103"/>
  <c r="BD14" i="103"/>
  <c r="BD13" i="103"/>
  <c r="BD36" i="103"/>
  <c r="BD55" i="103"/>
  <c r="BD52" i="103"/>
  <c r="BD70" i="103"/>
  <c r="BD78" i="103"/>
  <c r="BD77" i="103"/>
  <c r="BD86" i="103"/>
  <c r="BD95" i="101"/>
  <c r="BD82" i="101"/>
  <c r="BD85" i="101"/>
  <c r="BD69" i="101"/>
  <c r="BD64" i="101"/>
  <c r="BD66" i="101"/>
  <c r="BD44" i="101"/>
  <c r="BD56" i="101"/>
  <c r="BD48" i="101"/>
  <c r="BD39" i="101"/>
  <c r="BD37" i="101"/>
  <c r="BD53" i="101"/>
  <c r="BD8" i="101"/>
  <c r="BD96" i="101" s="1"/>
  <c r="BD11" i="101"/>
  <c r="BE7" i="101"/>
  <c r="BD15" i="101"/>
  <c r="BC55" i="101"/>
  <c r="BC78" i="101"/>
  <c r="BC95" i="101"/>
  <c r="BC91" i="101"/>
  <c r="BC14" i="101"/>
  <c r="BC39" i="101"/>
  <c r="BC36" i="101"/>
  <c r="BC34" i="101"/>
  <c r="BC47" i="101"/>
  <c r="BC61" i="101"/>
  <c r="BC63" i="101"/>
  <c r="BC80" i="101"/>
  <c r="BC84" i="101"/>
  <c r="BC88" i="101"/>
  <c r="BC15" i="101"/>
  <c r="BC29" i="101"/>
  <c r="BC48" i="101"/>
  <c r="BC30" i="101"/>
  <c r="BC56" i="101"/>
  <c r="BC86" i="101"/>
  <c r="BC75" i="101"/>
  <c r="BC85" i="101"/>
  <c r="BC81" i="101"/>
  <c r="BC96" i="101"/>
  <c r="BC19" i="101"/>
  <c r="BC11" i="101"/>
  <c r="BC26" i="101"/>
  <c r="BC52" i="101"/>
  <c r="BC41" i="101"/>
  <c r="BC35" i="101"/>
  <c r="BC37" i="101"/>
  <c r="BC60" i="101"/>
  <c r="BC70" i="101"/>
  <c r="BC90" i="101"/>
  <c r="BC36" i="99"/>
  <c r="BC82" i="99"/>
  <c r="BC95" i="99"/>
  <c r="BC17" i="99"/>
  <c r="BC70" i="99"/>
  <c r="BC26" i="99"/>
  <c r="BC29" i="99"/>
  <c r="BC28" i="99"/>
  <c r="BC38" i="99"/>
  <c r="BC52" i="99"/>
  <c r="BC57" i="99"/>
  <c r="BC74" i="99"/>
  <c r="BC86" i="99"/>
  <c r="BC96" i="99"/>
  <c r="BC20" i="99"/>
  <c r="BC14" i="99"/>
  <c r="BC25" i="99"/>
  <c r="BC56" i="99"/>
  <c r="BC42" i="99"/>
  <c r="BC44" i="99"/>
  <c r="BC79" i="99"/>
  <c r="BC75" i="99"/>
  <c r="BC71" i="99"/>
  <c r="BC92" i="99"/>
  <c r="BC15" i="99"/>
  <c r="BC11" i="99"/>
  <c r="BC30" i="99"/>
  <c r="BC23" i="99"/>
  <c r="BC51" i="99"/>
  <c r="BC47" i="99"/>
  <c r="BC55" i="99"/>
  <c r="BC84" i="99"/>
  <c r="BC80" i="99"/>
  <c r="BC89" i="99"/>
  <c r="BC13" i="99"/>
  <c r="BC39" i="99"/>
  <c r="BC61" i="99"/>
  <c r="BC67" i="99"/>
  <c r="BC93" i="99"/>
  <c r="BC18" i="99"/>
  <c r="BC27" i="99"/>
  <c r="BC35" i="99"/>
  <c r="BC31" i="99"/>
  <c r="BC62" i="99"/>
  <c r="BC49" i="99"/>
  <c r="BC69" i="99"/>
  <c r="BC72" i="99"/>
  <c r="BC68" i="99"/>
  <c r="BC97" i="99"/>
  <c r="BC22" i="99"/>
  <c r="BC46" i="99"/>
  <c r="BC45" i="99"/>
  <c r="BC33" i="99"/>
  <c r="BC41" i="99"/>
  <c r="BC59" i="99"/>
  <c r="BC60" i="99"/>
  <c r="BC81" i="99"/>
  <c r="BC77" i="99"/>
  <c r="BC94" i="99"/>
  <c r="BC12" i="99"/>
  <c r="BD94" i="99"/>
  <c r="BD97" i="99"/>
  <c r="BD89" i="99"/>
  <c r="BD71" i="99"/>
  <c r="BD93" i="99"/>
  <c r="BD83" i="99"/>
  <c r="BD69" i="99"/>
  <c r="BD72" i="99"/>
  <c r="BD84" i="99"/>
  <c r="BD75" i="99"/>
  <c r="BD73" i="99"/>
  <c r="BD51" i="99"/>
  <c r="BD85" i="99"/>
  <c r="BD68" i="99"/>
  <c r="BD49" i="99"/>
  <c r="BD56" i="99"/>
  <c r="BD64" i="99"/>
  <c r="BD59" i="99"/>
  <c r="BD47" i="99"/>
  <c r="BD35" i="99"/>
  <c r="BD53" i="99"/>
  <c r="BD41" i="99"/>
  <c r="BD33" i="99"/>
  <c r="BD50" i="99"/>
  <c r="BD45" i="99"/>
  <c r="BD62" i="99"/>
  <c r="BD57" i="99"/>
  <c r="BD46" i="99"/>
  <c r="BD31" i="99"/>
  <c r="BD40" i="99"/>
  <c r="BD42" i="99"/>
  <c r="BD34" i="99"/>
  <c r="BD27" i="99"/>
  <c r="BD16" i="99"/>
  <c r="BD24" i="99"/>
  <c r="BD14" i="99"/>
  <c r="BE7" i="99"/>
  <c r="BD17" i="99"/>
  <c r="BD39" i="99"/>
  <c r="BD15" i="99"/>
  <c r="BD25" i="99"/>
  <c r="BD28" i="99"/>
  <c r="BD22" i="99"/>
  <c r="BD13" i="99"/>
  <c r="BD8" i="99"/>
  <c r="BD92" i="99" s="1"/>
  <c r="BD18" i="99"/>
  <c r="BC34" i="99"/>
  <c r="BC37" i="99"/>
  <c r="BC53" i="99"/>
  <c r="BC64" i="99"/>
  <c r="BC73" i="99"/>
  <c r="BC78" i="99"/>
  <c r="BC85" i="99"/>
  <c r="BC91" i="99"/>
  <c r="BC50" i="99"/>
  <c r="BC16" i="99"/>
  <c r="BC58" i="99"/>
  <c r="BC19" i="99"/>
  <c r="BC63" i="99"/>
  <c r="BC40" i="99"/>
  <c r="BC48" i="99"/>
  <c r="BC66" i="99"/>
  <c r="BC90" i="99"/>
  <c r="BC12" i="97"/>
  <c r="BC42" i="97"/>
  <c r="BC40" i="97"/>
  <c r="BC39" i="97"/>
  <c r="BC57" i="97"/>
  <c r="BC63" i="97"/>
  <c r="BC68" i="97"/>
  <c r="BC97" i="97"/>
  <c r="BC77" i="97"/>
  <c r="BC94" i="97"/>
  <c r="BC36" i="97"/>
  <c r="BC20" i="97"/>
  <c r="BC24" i="97"/>
  <c r="BC64" i="97"/>
  <c r="BC73" i="97"/>
  <c r="BC82" i="97"/>
  <c r="BC79" i="97"/>
  <c r="BC69" i="97"/>
  <c r="BC85" i="97"/>
  <c r="BC91" i="97"/>
  <c r="BD88" i="97"/>
  <c r="BD91" i="97"/>
  <c r="BD97" i="97"/>
  <c r="BD95" i="97"/>
  <c r="BD90" i="97"/>
  <c r="BD80" i="97"/>
  <c r="BD71" i="97"/>
  <c r="BD93" i="97"/>
  <c r="BD69" i="97"/>
  <c r="BD72" i="97"/>
  <c r="BD84" i="97"/>
  <c r="BD67" i="97"/>
  <c r="BD62" i="97"/>
  <c r="BD57" i="97"/>
  <c r="BD60" i="97"/>
  <c r="BD85" i="97"/>
  <c r="BD58" i="97"/>
  <c r="BD49" i="97"/>
  <c r="BD44" i="97"/>
  <c r="BD50" i="97"/>
  <c r="BD82" i="97"/>
  <c r="BD68" i="97"/>
  <c r="BD63" i="97"/>
  <c r="BD34" i="97"/>
  <c r="BD48" i="97"/>
  <c r="BD40" i="97"/>
  <c r="BD66" i="97"/>
  <c r="BD64" i="97"/>
  <c r="BD14" i="97"/>
  <c r="BE7" i="97"/>
  <c r="BD30" i="97"/>
  <c r="BD27" i="97"/>
  <c r="BD26" i="97"/>
  <c r="BD75" i="97"/>
  <c r="BD61" i="97"/>
  <c r="BD20" i="97"/>
  <c r="BD12" i="97"/>
  <c r="BD56" i="97"/>
  <c r="BD45" i="97"/>
  <c r="BD33" i="97"/>
  <c r="BD25" i="97"/>
  <c r="BD36" i="97"/>
  <c r="BD13" i="97"/>
  <c r="BD39" i="97"/>
  <c r="BD29" i="97"/>
  <c r="BD16" i="97"/>
  <c r="BD70" i="97"/>
  <c r="BD17" i="97"/>
  <c r="BD24" i="97"/>
  <c r="BD8" i="97"/>
  <c r="BD89" i="97" s="1"/>
  <c r="BD28" i="97"/>
  <c r="BD46" i="97"/>
  <c r="BD18" i="97"/>
  <c r="BC13" i="97"/>
  <c r="BC15" i="97"/>
  <c r="BC31" i="97"/>
  <c r="BC26" i="97"/>
  <c r="BC19" i="97"/>
  <c r="BC41" i="97"/>
  <c r="BC81" i="97"/>
  <c r="BC67" i="97"/>
  <c r="BC66" i="97"/>
  <c r="BC86" i="97"/>
  <c r="BC96" i="97"/>
  <c r="BC28" i="97"/>
  <c r="BC29" i="97"/>
  <c r="BC33" i="97"/>
  <c r="BC27" i="97"/>
  <c r="BC34" i="97"/>
  <c r="BC44" i="97"/>
  <c r="BC49" i="97"/>
  <c r="BC71" i="97"/>
  <c r="BC74" i="97"/>
  <c r="BC95" i="97"/>
  <c r="BE24" i="95"/>
  <c r="BE83" i="95"/>
  <c r="BE70" i="95"/>
  <c r="BE11" i="95"/>
  <c r="BE16" i="95"/>
  <c r="BE47" i="95"/>
  <c r="BE38" i="95"/>
  <c r="BE26" i="95"/>
  <c r="BE31" i="95"/>
  <c r="BE29" i="95"/>
  <c r="BE57" i="95"/>
  <c r="BE45" i="95"/>
  <c r="BE73" i="95"/>
  <c r="BE91" i="95"/>
  <c r="BE41" i="95"/>
  <c r="BE37" i="95"/>
  <c r="BE40" i="95"/>
  <c r="BE61" i="95"/>
  <c r="BE51" i="95"/>
  <c r="BE84" i="95"/>
  <c r="BE67" i="95"/>
  <c r="BE55" i="95"/>
  <c r="BE34" i="95"/>
  <c r="BE66" i="95"/>
  <c r="BE85" i="95"/>
  <c r="BE27" i="95"/>
  <c r="BE22" i="95"/>
  <c r="BE46" i="95"/>
  <c r="BE88" i="95"/>
  <c r="BE93" i="95"/>
  <c r="BE12" i="95"/>
  <c r="BE30" i="95"/>
  <c r="BE28" i="95"/>
  <c r="BE50" i="95"/>
  <c r="BE96" i="95"/>
  <c r="BE97" i="95"/>
  <c r="BE59" i="95"/>
  <c r="BE94" i="95"/>
  <c r="BE35" i="95"/>
  <c r="BE52" i="95"/>
  <c r="BE64" i="95"/>
  <c r="BE90" i="95"/>
  <c r="BE17" i="95"/>
  <c r="BE33" i="95"/>
  <c r="BE78" i="95"/>
  <c r="BE42" i="95"/>
  <c r="BE79" i="95"/>
  <c r="BE77" i="95"/>
  <c r="BE86" i="95"/>
  <c r="BE39" i="95"/>
  <c r="BE20" i="95"/>
  <c r="BE60" i="95"/>
  <c r="BE48" i="95"/>
  <c r="BE53" i="95"/>
  <c r="BE56" i="95"/>
  <c r="BE74" i="95"/>
  <c r="BE62" i="95"/>
  <c r="BE80" i="95"/>
  <c r="BE19" i="95"/>
  <c r="BE14" i="95"/>
  <c r="BE23" i="95"/>
  <c r="BE36" i="95"/>
  <c r="BE58" i="95"/>
  <c r="BE81" i="95"/>
  <c r="BE95" i="95"/>
  <c r="BE69" i="95"/>
  <c r="BE82" i="95"/>
  <c r="BE92" i="95"/>
  <c r="BG7" i="95"/>
  <c r="BF8" i="95"/>
  <c r="BF83" i="95" s="1"/>
  <c r="BE13" i="95"/>
  <c r="BE25" i="95"/>
  <c r="BE18" i="95"/>
  <c r="BE15" i="95"/>
  <c r="BE44" i="95"/>
  <c r="BE49" i="95"/>
  <c r="BE72" i="95"/>
  <c r="BE63" i="95"/>
  <c r="BE75" i="95"/>
  <c r="BE71" i="95"/>
  <c r="BE68" i="95"/>
  <c r="BD34" i="59" l="1"/>
  <c r="BD11" i="59"/>
  <c r="BD33" i="59"/>
  <c r="BD70" i="59"/>
  <c r="BD72" i="59"/>
  <c r="BD28" i="59"/>
  <c r="BD67" i="59"/>
  <c r="BD12" i="59"/>
  <c r="BD71" i="59"/>
  <c r="BD58" i="59"/>
  <c r="BD95" i="59"/>
  <c r="BD13" i="59"/>
  <c r="BD20" i="59"/>
  <c r="BD44" i="59"/>
  <c r="BD82" i="59"/>
  <c r="BD97" i="59"/>
  <c r="BD22" i="59"/>
  <c r="BD62" i="59"/>
  <c r="BD15" i="59"/>
  <c r="BD29" i="59"/>
  <c r="BD16" i="59"/>
  <c r="BD18" i="59"/>
  <c r="BD19" i="59"/>
  <c r="BD40" i="59"/>
  <c r="BD53" i="59"/>
  <c r="BD64" i="59"/>
  <c r="BD57" i="59"/>
  <c r="BD69" i="59"/>
  <c r="BD93" i="59"/>
  <c r="BD89" i="59"/>
  <c r="BD27" i="59"/>
  <c r="BD61" i="59"/>
  <c r="BD26" i="59"/>
  <c r="BD17" i="59"/>
  <c r="BD35" i="59"/>
  <c r="BD37" i="59"/>
  <c r="BD52" i="59"/>
  <c r="BD63" i="59"/>
  <c r="BD86" i="59"/>
  <c r="BD77" i="59"/>
  <c r="BD75" i="59"/>
  <c r="BD94" i="59"/>
  <c r="BD24" i="59"/>
  <c r="BD30" i="59"/>
  <c r="BD68" i="59"/>
  <c r="BD49" i="59"/>
  <c r="BD45" i="59"/>
  <c r="BD84" i="59"/>
  <c r="BD55" i="59"/>
  <c r="BD51" i="59"/>
  <c r="BD85" i="59"/>
  <c r="BD91" i="59"/>
  <c r="BD25" i="59"/>
  <c r="BD38" i="59"/>
  <c r="BD36" i="59"/>
  <c r="BD23" i="59"/>
  <c r="BD31" i="59"/>
  <c r="BD46" i="59"/>
  <c r="BD60" i="59"/>
  <c r="BD73" i="59"/>
  <c r="BD66" i="59"/>
  <c r="BD83" i="59"/>
  <c r="BD92" i="59"/>
  <c r="BE78" i="59"/>
  <c r="BE8" i="59"/>
  <c r="BE91" i="59" s="1"/>
  <c r="BE14" i="59"/>
  <c r="BF7" i="59"/>
  <c r="BD74" i="59"/>
  <c r="BD81" i="59"/>
  <c r="BD88" i="59"/>
  <c r="BD14" i="59"/>
  <c r="BD39" i="59"/>
  <c r="BD42" i="59"/>
  <c r="BD48" i="59"/>
  <c r="BD79" i="59"/>
  <c r="BD59" i="59"/>
  <c r="BD78" i="59"/>
  <c r="BD90" i="59"/>
  <c r="BD24" i="113"/>
  <c r="BD39" i="113"/>
  <c r="BD27" i="113"/>
  <c r="BD38" i="113"/>
  <c r="BD60" i="113"/>
  <c r="BD72" i="113"/>
  <c r="BD15" i="113"/>
  <c r="BD16" i="113"/>
  <c r="BD33" i="113"/>
  <c r="BD28" i="113"/>
  <c r="BD36" i="113"/>
  <c r="BD47" i="113"/>
  <c r="BD68" i="113"/>
  <c r="BD80" i="113"/>
  <c r="BD71" i="113"/>
  <c r="BD84" i="113"/>
  <c r="BD91" i="113"/>
  <c r="BD34" i="113"/>
  <c r="BE97" i="113"/>
  <c r="BE92" i="113"/>
  <c r="BE95" i="113"/>
  <c r="BE73" i="113"/>
  <c r="BE85" i="113"/>
  <c r="BE77" i="113"/>
  <c r="BE69" i="113"/>
  <c r="BE78" i="113"/>
  <c r="BE88" i="113"/>
  <c r="BE57" i="113"/>
  <c r="BE74" i="113"/>
  <c r="BE66" i="113"/>
  <c r="BE59" i="113"/>
  <c r="BE49" i="113"/>
  <c r="BE55" i="113"/>
  <c r="BE64" i="113"/>
  <c r="BE56" i="113"/>
  <c r="BE50" i="113"/>
  <c r="BE30" i="113"/>
  <c r="BE42" i="113"/>
  <c r="BE26" i="113"/>
  <c r="BE19" i="113"/>
  <c r="BE46" i="113"/>
  <c r="BE31" i="113"/>
  <c r="BE23" i="113"/>
  <c r="BE34" i="113"/>
  <c r="BE24" i="113"/>
  <c r="BE12" i="113"/>
  <c r="BE8" i="113"/>
  <c r="BE86" i="113" s="1"/>
  <c r="BE13" i="113"/>
  <c r="BE11" i="113"/>
  <c r="BF7" i="113"/>
  <c r="BD17" i="113"/>
  <c r="BD48" i="113"/>
  <c r="BD37" i="113"/>
  <c r="BD45" i="113"/>
  <c r="BD26" i="113"/>
  <c r="BD62" i="113"/>
  <c r="BD64" i="113"/>
  <c r="BD83" i="113"/>
  <c r="BD90" i="113"/>
  <c r="BD88" i="113"/>
  <c r="BD94" i="113"/>
  <c r="BD11" i="113"/>
  <c r="BD20" i="113"/>
  <c r="BD13" i="113"/>
  <c r="BD30" i="113"/>
  <c r="BD52" i="113"/>
  <c r="BD35" i="113"/>
  <c r="BD77" i="113"/>
  <c r="BD58" i="113"/>
  <c r="BD85" i="113"/>
  <c r="BD86" i="113"/>
  <c r="BD96" i="113"/>
  <c r="BD63" i="113"/>
  <c r="BD49" i="113"/>
  <c r="BD69" i="113"/>
  <c r="BD66" i="113"/>
  <c r="BD79" i="113"/>
  <c r="BD97" i="113"/>
  <c r="BD14" i="113"/>
  <c r="BD25" i="113"/>
  <c r="BD41" i="113"/>
  <c r="BD42" i="113"/>
  <c r="BD59" i="113"/>
  <c r="BD44" i="113"/>
  <c r="BD74" i="113"/>
  <c r="BD67" i="113"/>
  <c r="BD93" i="113"/>
  <c r="BD95" i="113"/>
  <c r="BD19" i="113"/>
  <c r="BD75" i="113"/>
  <c r="BD22" i="113"/>
  <c r="BD31" i="113"/>
  <c r="BD23" i="113"/>
  <c r="BD51" i="113"/>
  <c r="BD70" i="113"/>
  <c r="BD55" i="113"/>
  <c r="BD56" i="113"/>
  <c r="BD78" i="113"/>
  <c r="BD73" i="113"/>
  <c r="BD92" i="113"/>
  <c r="BD12" i="113"/>
  <c r="BD81" i="113"/>
  <c r="BD29" i="113"/>
  <c r="BD46" i="113"/>
  <c r="BD53" i="113"/>
  <c r="BD18" i="113"/>
  <c r="BD50" i="113"/>
  <c r="BD40" i="113"/>
  <c r="BD61" i="113"/>
  <c r="BD57" i="113"/>
  <c r="BD82" i="113"/>
  <c r="BE41" i="111"/>
  <c r="BE40" i="111"/>
  <c r="BE51" i="111"/>
  <c r="BE68" i="111"/>
  <c r="BE70" i="111"/>
  <c r="BE88" i="111"/>
  <c r="BE95" i="111"/>
  <c r="BE18" i="111"/>
  <c r="BE66" i="111"/>
  <c r="BE44" i="111"/>
  <c r="BE55" i="111"/>
  <c r="BE52" i="111"/>
  <c r="BE96" i="111"/>
  <c r="BE67" i="111"/>
  <c r="BE89" i="111"/>
  <c r="BF84" i="111"/>
  <c r="BF59" i="111"/>
  <c r="BF58" i="111"/>
  <c r="BF66" i="111"/>
  <c r="BF35" i="111"/>
  <c r="BF67" i="111"/>
  <c r="BF38" i="111"/>
  <c r="BF11" i="111"/>
  <c r="BF56" i="111"/>
  <c r="BG7" i="111"/>
  <c r="BF8" i="111"/>
  <c r="BF97" i="111" s="1"/>
  <c r="BF17" i="111"/>
  <c r="BE19" i="111"/>
  <c r="BE26" i="111"/>
  <c r="BE20" i="111"/>
  <c r="BE63" i="111"/>
  <c r="BE79" i="111"/>
  <c r="BE50" i="111"/>
  <c r="BE71" i="111"/>
  <c r="BE69" i="111"/>
  <c r="BE75" i="111"/>
  <c r="BE97" i="111"/>
  <c r="BE73" i="111"/>
  <c r="BE25" i="111"/>
  <c r="BE62" i="111"/>
  <c r="BE22" i="111"/>
  <c r="BE39" i="111"/>
  <c r="BE49" i="111"/>
  <c r="BE57" i="111"/>
  <c r="BE78" i="111"/>
  <c r="BE47" i="111"/>
  <c r="BE81" i="111"/>
  <c r="BE91" i="111"/>
  <c r="BE30" i="111"/>
  <c r="BE42" i="111"/>
  <c r="BE83" i="111"/>
  <c r="BE59" i="111"/>
  <c r="BE85" i="111"/>
  <c r="BE56" i="111"/>
  <c r="BD19" i="109"/>
  <c r="BE91" i="109"/>
  <c r="BE95" i="109"/>
  <c r="BE86" i="109"/>
  <c r="BE96" i="109"/>
  <c r="BE82" i="109"/>
  <c r="BE68" i="109"/>
  <c r="BE83" i="109"/>
  <c r="BE79" i="109"/>
  <c r="BE73" i="109"/>
  <c r="BE71" i="109"/>
  <c r="BE66" i="109"/>
  <c r="BE56" i="109"/>
  <c r="BE61" i="109"/>
  <c r="BE59" i="109"/>
  <c r="BE57" i="109"/>
  <c r="BE67" i="109"/>
  <c r="BE63" i="109"/>
  <c r="BE47" i="109"/>
  <c r="BE80" i="109"/>
  <c r="BE60" i="109"/>
  <c r="BE17" i="109"/>
  <c r="BE51" i="109"/>
  <c r="BE48" i="109"/>
  <c r="BE45" i="109"/>
  <c r="BE38" i="109"/>
  <c r="BE64" i="109"/>
  <c r="BE36" i="109"/>
  <c r="BE27" i="109"/>
  <c r="BE18" i="109"/>
  <c r="BE93" i="109"/>
  <c r="BE37" i="109"/>
  <c r="BE42" i="109"/>
  <c r="BE53" i="109"/>
  <c r="BE50" i="109"/>
  <c r="BE34" i="109"/>
  <c r="BE52" i="109"/>
  <c r="BE84" i="109"/>
  <c r="BE62" i="109"/>
  <c r="BE41" i="109"/>
  <c r="BE40" i="109"/>
  <c r="BE30" i="109"/>
  <c r="BE16" i="109"/>
  <c r="BE8" i="109"/>
  <c r="BE94" i="109" s="1"/>
  <c r="BE22" i="109"/>
  <c r="BE15" i="109"/>
  <c r="BF7" i="109"/>
  <c r="BE58" i="109"/>
  <c r="BE11" i="109"/>
  <c r="BE12" i="109"/>
  <c r="BE14" i="109"/>
  <c r="BE25" i="109"/>
  <c r="BE24" i="109"/>
  <c r="BE19" i="109"/>
  <c r="BE31" i="109"/>
  <c r="BE28" i="109"/>
  <c r="BE74" i="109"/>
  <c r="BE46" i="109"/>
  <c r="BE13" i="109"/>
  <c r="BD34" i="109"/>
  <c r="BD56" i="109"/>
  <c r="BD41" i="109"/>
  <c r="BD14" i="109"/>
  <c r="BD62" i="109"/>
  <c r="BD85" i="109"/>
  <c r="BD64" i="109"/>
  <c r="BD89" i="109"/>
  <c r="BD11" i="109"/>
  <c r="BD16" i="109"/>
  <c r="BD28" i="109"/>
  <c r="BD46" i="109"/>
  <c r="BD55" i="109"/>
  <c r="BD31" i="109"/>
  <c r="BD84" i="109"/>
  <c r="BD71" i="109"/>
  <c r="BD90" i="109"/>
  <c r="BD94" i="109"/>
  <c r="BD18" i="109"/>
  <c r="BD30" i="109"/>
  <c r="BD38" i="109"/>
  <c r="BD74" i="109"/>
  <c r="BD17" i="109"/>
  <c r="BD40" i="109"/>
  <c r="BD67" i="109"/>
  <c r="BD72" i="109"/>
  <c r="BD82" i="109"/>
  <c r="BD91" i="109"/>
  <c r="BD29" i="109"/>
  <c r="BD13" i="109"/>
  <c r="BD20" i="109"/>
  <c r="BD42" i="109"/>
  <c r="BD78" i="109"/>
  <c r="BD26" i="109"/>
  <c r="BD59" i="109"/>
  <c r="BD68" i="109"/>
  <c r="BD95" i="109"/>
  <c r="BD79" i="109"/>
  <c r="BD88" i="109"/>
  <c r="BD48" i="109"/>
  <c r="BD12" i="109"/>
  <c r="BD27" i="109"/>
  <c r="BD37" i="109"/>
  <c r="BD15" i="109"/>
  <c r="BD35" i="109"/>
  <c r="BD60" i="109"/>
  <c r="BD83" i="109"/>
  <c r="BD61" i="109"/>
  <c r="BD86" i="109"/>
  <c r="BD96" i="109"/>
  <c r="BD63" i="109"/>
  <c r="BD49" i="109"/>
  <c r="BD47" i="109"/>
  <c r="BD36" i="109"/>
  <c r="BD45" i="109"/>
  <c r="BD24" i="109"/>
  <c r="BD44" i="109"/>
  <c r="BD58" i="109"/>
  <c r="BD66" i="109"/>
  <c r="BD81" i="109"/>
  <c r="BD93" i="109"/>
  <c r="BD22" i="109"/>
  <c r="BD50" i="109"/>
  <c r="BD53" i="109"/>
  <c r="BD23" i="109"/>
  <c r="BD75" i="109"/>
  <c r="BD52" i="109"/>
  <c r="BD73" i="109"/>
  <c r="BD97" i="109"/>
  <c r="BD25" i="109"/>
  <c r="BD57" i="109"/>
  <c r="BD39" i="109"/>
  <c r="BD51" i="109"/>
  <c r="BD33" i="109"/>
  <c r="BD80" i="109"/>
  <c r="BD69" i="109"/>
  <c r="BD70" i="109"/>
  <c r="BD77" i="109"/>
  <c r="BE44" i="107"/>
  <c r="BE29" i="107"/>
  <c r="BE64" i="107"/>
  <c r="BE45" i="107"/>
  <c r="BE69" i="107"/>
  <c r="BE75" i="107"/>
  <c r="BE90" i="107"/>
  <c r="BE28" i="107"/>
  <c r="BE49" i="107"/>
  <c r="BE34" i="107"/>
  <c r="BE66" i="107"/>
  <c r="BE33" i="107"/>
  <c r="BE80" i="107"/>
  <c r="BE83" i="107"/>
  <c r="BE86" i="107"/>
  <c r="BF94" i="107"/>
  <c r="BF97" i="107"/>
  <c r="BF92" i="107"/>
  <c r="BF95" i="107"/>
  <c r="BF86" i="107"/>
  <c r="BF93" i="107"/>
  <c r="BF96" i="107"/>
  <c r="BF88" i="107"/>
  <c r="BF75" i="107"/>
  <c r="BF85" i="107"/>
  <c r="BF77" i="107"/>
  <c r="BF74" i="107"/>
  <c r="BF66" i="107"/>
  <c r="BF80" i="107"/>
  <c r="BF91" i="107"/>
  <c r="BF81" i="107"/>
  <c r="BF82" i="107"/>
  <c r="BF78" i="107"/>
  <c r="BF71" i="107"/>
  <c r="BF69" i="107"/>
  <c r="BF73" i="107"/>
  <c r="BF59" i="107"/>
  <c r="BF45" i="107"/>
  <c r="BF36" i="107"/>
  <c r="BF48" i="107"/>
  <c r="BF39" i="107"/>
  <c r="BF30" i="107"/>
  <c r="BF68" i="107"/>
  <c r="BF67" i="107"/>
  <c r="BF63" i="107"/>
  <c r="BF62" i="107"/>
  <c r="BF37" i="107"/>
  <c r="BF58" i="107"/>
  <c r="BF52" i="107"/>
  <c r="BF34" i="107"/>
  <c r="BF83" i="107"/>
  <c r="BF53" i="107"/>
  <c r="BF46" i="107"/>
  <c r="BF41" i="107"/>
  <c r="BF57" i="107"/>
  <c r="BF49" i="107"/>
  <c r="BF26" i="107"/>
  <c r="BF17" i="107"/>
  <c r="BF20" i="107"/>
  <c r="BF60" i="107"/>
  <c r="BF38" i="107"/>
  <c r="BF28" i="107"/>
  <c r="BF24" i="107"/>
  <c r="BF40" i="107"/>
  <c r="BF31" i="107"/>
  <c r="BF25" i="107"/>
  <c r="BF64" i="107"/>
  <c r="BF15" i="107"/>
  <c r="BF35" i="107"/>
  <c r="BF23" i="107"/>
  <c r="BF8" i="107"/>
  <c r="BF89" i="107" s="1"/>
  <c r="BF29" i="107"/>
  <c r="BF13" i="107"/>
  <c r="BF47" i="107"/>
  <c r="BF55" i="107"/>
  <c r="BF33" i="107"/>
  <c r="BF19" i="107"/>
  <c r="BF14" i="107"/>
  <c r="BG7" i="107"/>
  <c r="BF61" i="107"/>
  <c r="BF22" i="107"/>
  <c r="BF16" i="107"/>
  <c r="BF18" i="107"/>
  <c r="BF42" i="107"/>
  <c r="BF12" i="107"/>
  <c r="BF11" i="107"/>
  <c r="BE19" i="107"/>
  <c r="BE15" i="107"/>
  <c r="BE20" i="107"/>
  <c r="BE39" i="107"/>
  <c r="BE58" i="107"/>
  <c r="BE85" i="107"/>
  <c r="BE55" i="107"/>
  <c r="BE67" i="107"/>
  <c r="BE82" i="107"/>
  <c r="BE89" i="107"/>
  <c r="BE11" i="107"/>
  <c r="BE12" i="107"/>
  <c r="BE46" i="107"/>
  <c r="BE57" i="107"/>
  <c r="BE37" i="107"/>
  <c r="BE48" i="107"/>
  <c r="BE59" i="107"/>
  <c r="BE74" i="107"/>
  <c r="BE81" i="107"/>
  <c r="BE14" i="105"/>
  <c r="BE38" i="105"/>
  <c r="BE29" i="105"/>
  <c r="BE28" i="105"/>
  <c r="BE61" i="105"/>
  <c r="BE49" i="105"/>
  <c r="BE75" i="105"/>
  <c r="BE66" i="105"/>
  <c r="BE77" i="105"/>
  <c r="BE81" i="105"/>
  <c r="BE94" i="105"/>
  <c r="BF97" i="105"/>
  <c r="BF89" i="105"/>
  <c r="BF92" i="105"/>
  <c r="BF95" i="105"/>
  <c r="BF90" i="105"/>
  <c r="BF81" i="105"/>
  <c r="BF72" i="105"/>
  <c r="BF91" i="105"/>
  <c r="BF84" i="105"/>
  <c r="BF75" i="105"/>
  <c r="BF96" i="105"/>
  <c r="BF77" i="105"/>
  <c r="BF80" i="105"/>
  <c r="BF68" i="105"/>
  <c r="BF59" i="105"/>
  <c r="BF88" i="105"/>
  <c r="BF71" i="105"/>
  <c r="BF66" i="105"/>
  <c r="BF83" i="105"/>
  <c r="BF74" i="105"/>
  <c r="BF69" i="105"/>
  <c r="BF60" i="105"/>
  <c r="BF63" i="105"/>
  <c r="BF67" i="105"/>
  <c r="BF53" i="105"/>
  <c r="BF61" i="105"/>
  <c r="BF58" i="105"/>
  <c r="BF56" i="105"/>
  <c r="BF49" i="105"/>
  <c r="BF35" i="105"/>
  <c r="BF64" i="105"/>
  <c r="BF57" i="105"/>
  <c r="BF47" i="105"/>
  <c r="BF38" i="105"/>
  <c r="BF36" i="105"/>
  <c r="BF70" i="105"/>
  <c r="BF42" i="105"/>
  <c r="BF79" i="105"/>
  <c r="BF51" i="105"/>
  <c r="BF46" i="105"/>
  <c r="BF30" i="105"/>
  <c r="BF24" i="105"/>
  <c r="BF15" i="105"/>
  <c r="BF41" i="105"/>
  <c r="BF29" i="105"/>
  <c r="BF18" i="105"/>
  <c r="BF8" i="105"/>
  <c r="BF86" i="105" s="1"/>
  <c r="BF16" i="105"/>
  <c r="BF25" i="105"/>
  <c r="BF22" i="105"/>
  <c r="BF13" i="105"/>
  <c r="BF34" i="105"/>
  <c r="BF37" i="105"/>
  <c r="BF23" i="105"/>
  <c r="BF14" i="105"/>
  <c r="BG7" i="105"/>
  <c r="BF31" i="105"/>
  <c r="BF27" i="105"/>
  <c r="BF26" i="105"/>
  <c r="BF19" i="105"/>
  <c r="BF39" i="105"/>
  <c r="BF20" i="105"/>
  <c r="BF17" i="105"/>
  <c r="BF50" i="105"/>
  <c r="BF11" i="105"/>
  <c r="BF12" i="105"/>
  <c r="BF45" i="105"/>
  <c r="BE11" i="105"/>
  <c r="BE22" i="105"/>
  <c r="BE27" i="105"/>
  <c r="BE25" i="105"/>
  <c r="BE53" i="105"/>
  <c r="BE67" i="105"/>
  <c r="BE71" i="105"/>
  <c r="BE96" i="105"/>
  <c r="BE90" i="105"/>
  <c r="BE16" i="105"/>
  <c r="BE19" i="105"/>
  <c r="BE42" i="105"/>
  <c r="BE35" i="105"/>
  <c r="BE37" i="105"/>
  <c r="BE55" i="105"/>
  <c r="BE60" i="105"/>
  <c r="BE73" i="105"/>
  <c r="BE82" i="105"/>
  <c r="BE86" i="105"/>
  <c r="BE30" i="105"/>
  <c r="BE26" i="105"/>
  <c r="BE15" i="105"/>
  <c r="BE51" i="105"/>
  <c r="BE41" i="105"/>
  <c r="BE56" i="105"/>
  <c r="BE69" i="105"/>
  <c r="BE88" i="105"/>
  <c r="BE79" i="105"/>
  <c r="BE95" i="105"/>
  <c r="BE34" i="105"/>
  <c r="BE47" i="105"/>
  <c r="BE24" i="105"/>
  <c r="BE33" i="105"/>
  <c r="BE50" i="105"/>
  <c r="BE58" i="105"/>
  <c r="BE74" i="105"/>
  <c r="BE59" i="105"/>
  <c r="BE84" i="105"/>
  <c r="BE92" i="105"/>
  <c r="BE12" i="105"/>
  <c r="BE45" i="105"/>
  <c r="BE44" i="105"/>
  <c r="BE63" i="105"/>
  <c r="BE83" i="105"/>
  <c r="BE68" i="105"/>
  <c r="BE93" i="105"/>
  <c r="BE89" i="105"/>
  <c r="BE18" i="105"/>
  <c r="BE20" i="105"/>
  <c r="BE52" i="105"/>
  <c r="BE40" i="105"/>
  <c r="BE70" i="105"/>
  <c r="BE57" i="105"/>
  <c r="BE64" i="105"/>
  <c r="BE72" i="105"/>
  <c r="BE18" i="103"/>
  <c r="BE17" i="103"/>
  <c r="BE11" i="103"/>
  <c r="BE48" i="103"/>
  <c r="BE53" i="103"/>
  <c r="BE64" i="103"/>
  <c r="BE74" i="103"/>
  <c r="BE81" i="103"/>
  <c r="BE70" i="103"/>
  <c r="BE84" i="103"/>
  <c r="BE94" i="103"/>
  <c r="BE13" i="103"/>
  <c r="BE19" i="103"/>
  <c r="BE24" i="103"/>
  <c r="BE16" i="103"/>
  <c r="BE51" i="103"/>
  <c r="BE49" i="103"/>
  <c r="BE55" i="103"/>
  <c r="BE62" i="103"/>
  <c r="BE83" i="103"/>
  <c r="BE86" i="103"/>
  <c r="BE91" i="103"/>
  <c r="BE20" i="103"/>
  <c r="BE41" i="103"/>
  <c r="BE25" i="103"/>
  <c r="BE39" i="103"/>
  <c r="BE58" i="103"/>
  <c r="BE63" i="103"/>
  <c r="BE71" i="103"/>
  <c r="BE80" i="103"/>
  <c r="BE93" i="103"/>
  <c r="BE15" i="103"/>
  <c r="BE28" i="103"/>
  <c r="BE26" i="103"/>
  <c r="BE36" i="103"/>
  <c r="BE50" i="103"/>
  <c r="BE37" i="103"/>
  <c r="BE72" i="103"/>
  <c r="BE77" i="103"/>
  <c r="BE85" i="103"/>
  <c r="BE90" i="103"/>
  <c r="BE22" i="103"/>
  <c r="BF97" i="103"/>
  <c r="BF86" i="103"/>
  <c r="BF90" i="103"/>
  <c r="BF88" i="103"/>
  <c r="BF85" i="103"/>
  <c r="BF80" i="103"/>
  <c r="BF73" i="103"/>
  <c r="BF71" i="103"/>
  <c r="BF62" i="103"/>
  <c r="BF66" i="103"/>
  <c r="BF67" i="103"/>
  <c r="BF68" i="103"/>
  <c r="BF61" i="103"/>
  <c r="BF52" i="103"/>
  <c r="BF57" i="103"/>
  <c r="BF70" i="103"/>
  <c r="BF45" i="103"/>
  <c r="BF51" i="103"/>
  <c r="BF59" i="103"/>
  <c r="BF42" i="103"/>
  <c r="BF27" i="103"/>
  <c r="BF36" i="103"/>
  <c r="BF22" i="103"/>
  <c r="BF28" i="103"/>
  <c r="BF19" i="103"/>
  <c r="BF39" i="103"/>
  <c r="BF24" i="103"/>
  <c r="BF14" i="103"/>
  <c r="BG7" i="103"/>
  <c r="BF20" i="103"/>
  <c r="BF23" i="103"/>
  <c r="BF48" i="103"/>
  <c r="BF29" i="103"/>
  <c r="BF15" i="103"/>
  <c r="BF8" i="103"/>
  <c r="BF93" i="103" s="1"/>
  <c r="BF13" i="103"/>
  <c r="BE34" i="103"/>
  <c r="BE27" i="103"/>
  <c r="BE47" i="103"/>
  <c r="BE46" i="103"/>
  <c r="BE57" i="103"/>
  <c r="BE68" i="103"/>
  <c r="BE82" i="103"/>
  <c r="BE95" i="103"/>
  <c r="BE29" i="103"/>
  <c r="BE14" i="103"/>
  <c r="BE38" i="103"/>
  <c r="BE35" i="103"/>
  <c r="BE56" i="103"/>
  <c r="BE59" i="103"/>
  <c r="BE60" i="103"/>
  <c r="BE73" i="103"/>
  <c r="BE96" i="103"/>
  <c r="BE92" i="103"/>
  <c r="BE42" i="103"/>
  <c r="BE33" i="103"/>
  <c r="BE23" i="103"/>
  <c r="BE45" i="103"/>
  <c r="BE44" i="103"/>
  <c r="BE66" i="103"/>
  <c r="BE67" i="103"/>
  <c r="BE88" i="103"/>
  <c r="BE79" i="103"/>
  <c r="BD23" i="101"/>
  <c r="BD16" i="101"/>
  <c r="BD33" i="101"/>
  <c r="BD70" i="101"/>
  <c r="BD57" i="101"/>
  <c r="BD68" i="101"/>
  <c r="BD72" i="101"/>
  <c r="BD83" i="101"/>
  <c r="BD79" i="101"/>
  <c r="BD89" i="101"/>
  <c r="BD12" i="101"/>
  <c r="BD27" i="101"/>
  <c r="BD92" i="101"/>
  <c r="BD19" i="101"/>
  <c r="BD22" i="101"/>
  <c r="BD29" i="101"/>
  <c r="BD25" i="101"/>
  <c r="BD50" i="101"/>
  <c r="BD71" i="101"/>
  <c r="BD61" i="101"/>
  <c r="BD74" i="101"/>
  <c r="BD75" i="101"/>
  <c r="BD97" i="101"/>
  <c r="BD17" i="101"/>
  <c r="BD36" i="101"/>
  <c r="BD45" i="101"/>
  <c r="BD34" i="101"/>
  <c r="BD52" i="101"/>
  <c r="BD40" i="101"/>
  <c r="BD58" i="101"/>
  <c r="BD78" i="101"/>
  <c r="BD84" i="101"/>
  <c r="BD94" i="101"/>
  <c r="BD18" i="101"/>
  <c r="BD20" i="101"/>
  <c r="BD46" i="101"/>
  <c r="BD30" i="101"/>
  <c r="BD62" i="101"/>
  <c r="BD49" i="101"/>
  <c r="BD67" i="101"/>
  <c r="BD80" i="101"/>
  <c r="BD90" i="101"/>
  <c r="BD91" i="101"/>
  <c r="BD31" i="101"/>
  <c r="BE89" i="101"/>
  <c r="BE93" i="101"/>
  <c r="BE81" i="101"/>
  <c r="BE78" i="101"/>
  <c r="BE56" i="101"/>
  <c r="BE42" i="101"/>
  <c r="BE31" i="101"/>
  <c r="BE26" i="101"/>
  <c r="BE20" i="101"/>
  <c r="BE30" i="101"/>
  <c r="BE14" i="101"/>
  <c r="BF7" i="101"/>
  <c r="BE23" i="101"/>
  <c r="BE13" i="101"/>
  <c r="BE8" i="101"/>
  <c r="BE92" i="101" s="1"/>
  <c r="BE11" i="101"/>
  <c r="BD24" i="101"/>
  <c r="BD28" i="101"/>
  <c r="BD41" i="101"/>
  <c r="BD38" i="101"/>
  <c r="BD55" i="101"/>
  <c r="BD63" i="101"/>
  <c r="BD73" i="101"/>
  <c r="BD93" i="101"/>
  <c r="BD88" i="101"/>
  <c r="BD42" i="101"/>
  <c r="BD81" i="101"/>
  <c r="BD13" i="101"/>
  <c r="BD14" i="101"/>
  <c r="BD26" i="101"/>
  <c r="BD35" i="101"/>
  <c r="BD51" i="101"/>
  <c r="BD47" i="101"/>
  <c r="BD59" i="101"/>
  <c r="BD60" i="101"/>
  <c r="BD77" i="101"/>
  <c r="BD86" i="101"/>
  <c r="BD38" i="99"/>
  <c r="BD19" i="99"/>
  <c r="BD26" i="99"/>
  <c r="BD36" i="99"/>
  <c r="BD82" i="99"/>
  <c r="BD77" i="99"/>
  <c r="BD60" i="99"/>
  <c r="BD81" i="99"/>
  <c r="BD80" i="99"/>
  <c r="BD91" i="99"/>
  <c r="BD90" i="99"/>
  <c r="BD88" i="99"/>
  <c r="BD29" i="99"/>
  <c r="BD11" i="99"/>
  <c r="BD23" i="99"/>
  <c r="BD48" i="99"/>
  <c r="BD44" i="99"/>
  <c r="BD58" i="99"/>
  <c r="BD70" i="99"/>
  <c r="BD78" i="99"/>
  <c r="BD86" i="99"/>
  <c r="BD96" i="99"/>
  <c r="BD63" i="99"/>
  <c r="BD79" i="99"/>
  <c r="BD66" i="99"/>
  <c r="BD95" i="99"/>
  <c r="BD12" i="99"/>
  <c r="BD20" i="99"/>
  <c r="BD30" i="99"/>
  <c r="BD37" i="99"/>
  <c r="BD61" i="99"/>
  <c r="BD52" i="99"/>
  <c r="BD55" i="99"/>
  <c r="BD67" i="99"/>
  <c r="BD74" i="99"/>
  <c r="BE89" i="99"/>
  <c r="BE92" i="99"/>
  <c r="BE66" i="99"/>
  <c r="BE78" i="99"/>
  <c r="BE75" i="99"/>
  <c r="BE79" i="99"/>
  <c r="BE55" i="99"/>
  <c r="BE88" i="99"/>
  <c r="BE38" i="99"/>
  <c r="BE53" i="99"/>
  <c r="BE36" i="99"/>
  <c r="BE56" i="99"/>
  <c r="BE33" i="99"/>
  <c r="BE26" i="99"/>
  <c r="BE30" i="99"/>
  <c r="BE34" i="99"/>
  <c r="BE19" i="99"/>
  <c r="BE14" i="99"/>
  <c r="BF7" i="99"/>
  <c r="BE22" i="99"/>
  <c r="BE18" i="99"/>
  <c r="BE8" i="99"/>
  <c r="BE95" i="99" s="1"/>
  <c r="BD94" i="97"/>
  <c r="BD11" i="97"/>
  <c r="BD31" i="97"/>
  <c r="BD41" i="97"/>
  <c r="BE97" i="97"/>
  <c r="BE74" i="97"/>
  <c r="BE78" i="97"/>
  <c r="BE75" i="97"/>
  <c r="BE79" i="97"/>
  <c r="BE68" i="97"/>
  <c r="BE88" i="97"/>
  <c r="BE47" i="97"/>
  <c r="BE73" i="97"/>
  <c r="BE35" i="97"/>
  <c r="BE42" i="97"/>
  <c r="BE17" i="97"/>
  <c r="BE82" i="97"/>
  <c r="BE25" i="97"/>
  <c r="BE49" i="97"/>
  <c r="BE8" i="97"/>
  <c r="BE92" i="97" s="1"/>
  <c r="BE34" i="97"/>
  <c r="BE18" i="97"/>
  <c r="BF7" i="97"/>
  <c r="BE39" i="97"/>
  <c r="BE23" i="97"/>
  <c r="BE22" i="97"/>
  <c r="BD73" i="97"/>
  <c r="BD59" i="97"/>
  <c r="BD77" i="97"/>
  <c r="BD81" i="97"/>
  <c r="BD86" i="97"/>
  <c r="BD96" i="97"/>
  <c r="BD37" i="97"/>
  <c r="BD55" i="97"/>
  <c r="BD35" i="97"/>
  <c r="BD23" i="97"/>
  <c r="BD47" i="97"/>
  <c r="BD52" i="97"/>
  <c r="BD79" i="97"/>
  <c r="BD78" i="97"/>
  <c r="BD92" i="97"/>
  <c r="BD15" i="97"/>
  <c r="BD22" i="97"/>
  <c r="BD19" i="97"/>
  <c r="BD38" i="97"/>
  <c r="BD42" i="97"/>
  <c r="BD51" i="97"/>
  <c r="BD74" i="97"/>
  <c r="BD53" i="97"/>
  <c r="BD83" i="97"/>
  <c r="BF67" i="95"/>
  <c r="BF17" i="95"/>
  <c r="BF20" i="95"/>
  <c r="BF33" i="95"/>
  <c r="BF66" i="95"/>
  <c r="BF41" i="95"/>
  <c r="BF93" i="95"/>
  <c r="BF59" i="95"/>
  <c r="BF64" i="95"/>
  <c r="BF37" i="95"/>
  <c r="BF16" i="95"/>
  <c r="BF62" i="95"/>
  <c r="BF78" i="95"/>
  <c r="BF38" i="95"/>
  <c r="BF97" i="95"/>
  <c r="BF82" i="95"/>
  <c r="BF28" i="95"/>
  <c r="BF15" i="95"/>
  <c r="BF31" i="95"/>
  <c r="BF14" i="95"/>
  <c r="BF40" i="95"/>
  <c r="BF53" i="95"/>
  <c r="BF52" i="95"/>
  <c r="BF71" i="95"/>
  <c r="BF60" i="95"/>
  <c r="BF63" i="95"/>
  <c r="BF75" i="95"/>
  <c r="BF90" i="95"/>
  <c r="BF89" i="95"/>
  <c r="BF18" i="95"/>
  <c r="BF19" i="95"/>
  <c r="BF23" i="95"/>
  <c r="BF27" i="95"/>
  <c r="BF42" i="95"/>
  <c r="BF47" i="95"/>
  <c r="BF70" i="95"/>
  <c r="BF44" i="95"/>
  <c r="BF85" i="95"/>
  <c r="BF68" i="95"/>
  <c r="BF92" i="95"/>
  <c r="BF73" i="95"/>
  <c r="BF95" i="95"/>
  <c r="BF24" i="95"/>
  <c r="BF29" i="95"/>
  <c r="BF39" i="95"/>
  <c r="BF25" i="95"/>
  <c r="BF34" i="95"/>
  <c r="BF45" i="95"/>
  <c r="BF48" i="95"/>
  <c r="BF79" i="95"/>
  <c r="BF50" i="95"/>
  <c r="BF88" i="95"/>
  <c r="BF69" i="95"/>
  <c r="BF96" i="95"/>
  <c r="BF84" i="95"/>
  <c r="BF91" i="95"/>
  <c r="BH7" i="95"/>
  <c r="BG8" i="95"/>
  <c r="BG89" i="95" s="1"/>
  <c r="BF12" i="95"/>
  <c r="BF11" i="95"/>
  <c r="BF30" i="95"/>
  <c r="BF49" i="95"/>
  <c r="BF46" i="95"/>
  <c r="BF57" i="95"/>
  <c r="BF77" i="95"/>
  <c r="BF56" i="95"/>
  <c r="BF72" i="95"/>
  <c r="BF55" i="95"/>
  <c r="BF94" i="95"/>
  <c r="BF86" i="95"/>
  <c r="BF22" i="95"/>
  <c r="BF26" i="95"/>
  <c r="BF13" i="95"/>
  <c r="BF35" i="95"/>
  <c r="BF81" i="95"/>
  <c r="BF51" i="95"/>
  <c r="BF36" i="95"/>
  <c r="BF80" i="95"/>
  <c r="BF58" i="95"/>
  <c r="BF74" i="95"/>
  <c r="BF61" i="95"/>
  <c r="BE52" i="59" l="1"/>
  <c r="BE90" i="59"/>
  <c r="BE38" i="59"/>
  <c r="BE26" i="59"/>
  <c r="BE37" i="59"/>
  <c r="BE13" i="59"/>
  <c r="BE57" i="59"/>
  <c r="BE82" i="59"/>
  <c r="BE75" i="59"/>
  <c r="BE11" i="59"/>
  <c r="BE20" i="59"/>
  <c r="BE48" i="59"/>
  <c r="BE55" i="59"/>
  <c r="BE86" i="59"/>
  <c r="BE59" i="59"/>
  <c r="BE35" i="59"/>
  <c r="BE88" i="59"/>
  <c r="BE66" i="59"/>
  <c r="BE41" i="59"/>
  <c r="BE44" i="59"/>
  <c r="BE64" i="59"/>
  <c r="BE85" i="59"/>
  <c r="BE34" i="59"/>
  <c r="BE12" i="59"/>
  <c r="BE36" i="59"/>
  <c r="BE47" i="59"/>
  <c r="BE28" i="59"/>
  <c r="BE67" i="59"/>
  <c r="BE74" i="59"/>
  <c r="BE62" i="59"/>
  <c r="BE77" i="59"/>
  <c r="BE95" i="59"/>
  <c r="BE18" i="59"/>
  <c r="BE17" i="59"/>
  <c r="BE63" i="59"/>
  <c r="BE80" i="59"/>
  <c r="BE92" i="59"/>
  <c r="BE16" i="59"/>
  <c r="BE33" i="59"/>
  <c r="BE30" i="59"/>
  <c r="BE71" i="59"/>
  <c r="BE49" i="59"/>
  <c r="BE45" i="59"/>
  <c r="BE79" i="59"/>
  <c r="BE69" i="59"/>
  <c r="BE83" i="59"/>
  <c r="BE89" i="59"/>
  <c r="BE19" i="59"/>
  <c r="BE24" i="59"/>
  <c r="BE46" i="59"/>
  <c r="BE31" i="59"/>
  <c r="BE50" i="59"/>
  <c r="BE56" i="59"/>
  <c r="BE73" i="59"/>
  <c r="BE72" i="59"/>
  <c r="BE84" i="59"/>
  <c r="BE97" i="59"/>
  <c r="BE15" i="59"/>
  <c r="BE25" i="59"/>
  <c r="BE22" i="59"/>
  <c r="BE23" i="59"/>
  <c r="BE40" i="59"/>
  <c r="BE53" i="59"/>
  <c r="BE51" i="59"/>
  <c r="BE58" i="59"/>
  <c r="BE61" i="59"/>
  <c r="BE96" i="59"/>
  <c r="BE94" i="59"/>
  <c r="BF97" i="59"/>
  <c r="BF89" i="59"/>
  <c r="BF93" i="59"/>
  <c r="BF86" i="59"/>
  <c r="BF73" i="59"/>
  <c r="BF64" i="59"/>
  <c r="BF58" i="59"/>
  <c r="BF71" i="59"/>
  <c r="BF56" i="59"/>
  <c r="BF72" i="59"/>
  <c r="BF52" i="59"/>
  <c r="BF51" i="59"/>
  <c r="BF42" i="59"/>
  <c r="BF47" i="59"/>
  <c r="BF38" i="59"/>
  <c r="BF50" i="59"/>
  <c r="BF60" i="59"/>
  <c r="BF26" i="59"/>
  <c r="BF24" i="59"/>
  <c r="BF69" i="59"/>
  <c r="BF18" i="59"/>
  <c r="BF12" i="59"/>
  <c r="BF19" i="59"/>
  <c r="BF8" i="59"/>
  <c r="BF95" i="59" s="1"/>
  <c r="BF22" i="59"/>
  <c r="BF28" i="59"/>
  <c r="BF14" i="59"/>
  <c r="BG7" i="59"/>
  <c r="BF23" i="59"/>
  <c r="BF59" i="59"/>
  <c r="BF11" i="59"/>
  <c r="BE29" i="59"/>
  <c r="BE27" i="59"/>
  <c r="BE39" i="59"/>
  <c r="BE42" i="59"/>
  <c r="BE68" i="59"/>
  <c r="BE60" i="59"/>
  <c r="BE81" i="59"/>
  <c r="BE70" i="59"/>
  <c r="BE93" i="59"/>
  <c r="BE18" i="113"/>
  <c r="BE68" i="113"/>
  <c r="BE51" i="113"/>
  <c r="BE63" i="113"/>
  <c r="BE71" i="113"/>
  <c r="BE52" i="113"/>
  <c r="BE60" i="113"/>
  <c r="BE93" i="113"/>
  <c r="BE89" i="113"/>
  <c r="BE14" i="113"/>
  <c r="BE15" i="113"/>
  <c r="BE53" i="113"/>
  <c r="BE27" i="113"/>
  <c r="BE39" i="113"/>
  <c r="BE29" i="113"/>
  <c r="BE67" i="113"/>
  <c r="BE72" i="113"/>
  <c r="BE75" i="113"/>
  <c r="BE82" i="113"/>
  <c r="BE94" i="113"/>
  <c r="BE36" i="113"/>
  <c r="BE17" i="113"/>
  <c r="BE20" i="113"/>
  <c r="BE35" i="113"/>
  <c r="BE48" i="113"/>
  <c r="BE38" i="113"/>
  <c r="BE62" i="113"/>
  <c r="BE61" i="113"/>
  <c r="BE81" i="113"/>
  <c r="BE79" i="113"/>
  <c r="BE91" i="113"/>
  <c r="BF94" i="113"/>
  <c r="BF90" i="113"/>
  <c r="BF82" i="113"/>
  <c r="BF73" i="113"/>
  <c r="BF83" i="113"/>
  <c r="BF75" i="113"/>
  <c r="BF86" i="113"/>
  <c r="BF96" i="113"/>
  <c r="BF79" i="113"/>
  <c r="BF74" i="113"/>
  <c r="BF62" i="113"/>
  <c r="BF67" i="113"/>
  <c r="BF59" i="113"/>
  <c r="BF50" i="113"/>
  <c r="BF33" i="113"/>
  <c r="BF78" i="113"/>
  <c r="BF51" i="113"/>
  <c r="BF34" i="113"/>
  <c r="BF25" i="113"/>
  <c r="BF35" i="113"/>
  <c r="BF46" i="113"/>
  <c r="BF31" i="113"/>
  <c r="BF40" i="113"/>
  <c r="BF18" i="113"/>
  <c r="BF13" i="113"/>
  <c r="BF20" i="113"/>
  <c r="BF49" i="113"/>
  <c r="BF29" i="113"/>
  <c r="BF8" i="113"/>
  <c r="BF97" i="113" s="1"/>
  <c r="BF26" i="113"/>
  <c r="BG7" i="113"/>
  <c r="BF14" i="113"/>
  <c r="BE40" i="113"/>
  <c r="BE25" i="113"/>
  <c r="BE37" i="113"/>
  <c r="BE45" i="113"/>
  <c r="BE47" i="113"/>
  <c r="BE84" i="113"/>
  <c r="BE70" i="113"/>
  <c r="BE96" i="113"/>
  <c r="BE90" i="113"/>
  <c r="BE28" i="113"/>
  <c r="BE16" i="113"/>
  <c r="BE33" i="113"/>
  <c r="BE22" i="113"/>
  <c r="BE41" i="113"/>
  <c r="BE44" i="113"/>
  <c r="BE58" i="113"/>
  <c r="BE83" i="113"/>
  <c r="BE80" i="113"/>
  <c r="BF20" i="111"/>
  <c r="BF29" i="111"/>
  <c r="BF40" i="111"/>
  <c r="BF26" i="111"/>
  <c r="BF51" i="111"/>
  <c r="BF30" i="111"/>
  <c r="BF47" i="111"/>
  <c r="BF91" i="111"/>
  <c r="BF50" i="111"/>
  <c r="BF86" i="111"/>
  <c r="BF94" i="111"/>
  <c r="BF52" i="111"/>
  <c r="BF16" i="111"/>
  <c r="BF45" i="111"/>
  <c r="BF78" i="111"/>
  <c r="BF55" i="111"/>
  <c r="BF82" i="111"/>
  <c r="BF61" i="111"/>
  <c r="BF68" i="111"/>
  <c r="BF93" i="111"/>
  <c r="BF39" i="111"/>
  <c r="BF15" i="111"/>
  <c r="BF37" i="111"/>
  <c r="BF72" i="111"/>
  <c r="BF25" i="111"/>
  <c r="BF49" i="111"/>
  <c r="BF83" i="111"/>
  <c r="BF64" i="111"/>
  <c r="BF71" i="111"/>
  <c r="BF90" i="111"/>
  <c r="BF14" i="111"/>
  <c r="BF19" i="111"/>
  <c r="BF42" i="111"/>
  <c r="BF23" i="111"/>
  <c r="BF34" i="111"/>
  <c r="BF81" i="111"/>
  <c r="BF53" i="111"/>
  <c r="BF96" i="111"/>
  <c r="BF74" i="111"/>
  <c r="BF95" i="111"/>
  <c r="BG97" i="111"/>
  <c r="BG92" i="111"/>
  <c r="BG88" i="111"/>
  <c r="BG79" i="111"/>
  <c r="BG82" i="111"/>
  <c r="BG45" i="111"/>
  <c r="BG90" i="111"/>
  <c r="BG61" i="111"/>
  <c r="BG71" i="111"/>
  <c r="BG68" i="111"/>
  <c r="BG57" i="111"/>
  <c r="BG72" i="111"/>
  <c r="BG67" i="111"/>
  <c r="BG69" i="111"/>
  <c r="BG37" i="111"/>
  <c r="BG75" i="111"/>
  <c r="BG80" i="111"/>
  <c r="BG56" i="111"/>
  <c r="BG38" i="111"/>
  <c r="BG19" i="111"/>
  <c r="BG42" i="111"/>
  <c r="BG41" i="111"/>
  <c r="BG16" i="111"/>
  <c r="BH7" i="111"/>
  <c r="BG33" i="111"/>
  <c r="BG31" i="111"/>
  <c r="BG11" i="111"/>
  <c r="BG35" i="111"/>
  <c r="BG29" i="111"/>
  <c r="BG63" i="111"/>
  <c r="BG8" i="111"/>
  <c r="BG89" i="111" s="1"/>
  <c r="BG20" i="111"/>
  <c r="BG18" i="111"/>
  <c r="BF24" i="111"/>
  <c r="BF44" i="111"/>
  <c r="BF31" i="111"/>
  <c r="BF73" i="111"/>
  <c r="BF62" i="111"/>
  <c r="BF57" i="111"/>
  <c r="BF69" i="111"/>
  <c r="BF77" i="111"/>
  <c r="BF92" i="111"/>
  <c r="BF12" i="111"/>
  <c r="BF27" i="111"/>
  <c r="BF46" i="111"/>
  <c r="BF36" i="111"/>
  <c r="BF85" i="111"/>
  <c r="BF63" i="111"/>
  <c r="BF60" i="111"/>
  <c r="BF75" i="111"/>
  <c r="BF70" i="111"/>
  <c r="BF89" i="111"/>
  <c r="BF18" i="111"/>
  <c r="BF33" i="111"/>
  <c r="BF28" i="111"/>
  <c r="BF13" i="111"/>
  <c r="BF48" i="111"/>
  <c r="BF22" i="111"/>
  <c r="BF80" i="111"/>
  <c r="BF88" i="111"/>
  <c r="BF41" i="111"/>
  <c r="BF79" i="111"/>
  <c r="BF61" i="109"/>
  <c r="BF8" i="109"/>
  <c r="BF94" i="109" s="1"/>
  <c r="BG7" i="109"/>
  <c r="BE92" i="109"/>
  <c r="BE23" i="109"/>
  <c r="BE39" i="109"/>
  <c r="BE33" i="109"/>
  <c r="BE88" i="109"/>
  <c r="BE26" i="109"/>
  <c r="BE55" i="109"/>
  <c r="BE70" i="109"/>
  <c r="BE77" i="109"/>
  <c r="BE89" i="109"/>
  <c r="BE20" i="109"/>
  <c r="BE35" i="109"/>
  <c r="BE69" i="109"/>
  <c r="BE72" i="109"/>
  <c r="BE90" i="109"/>
  <c r="BE97" i="109"/>
  <c r="BE49" i="109"/>
  <c r="BE75" i="109"/>
  <c r="BE29" i="109"/>
  <c r="BE44" i="109"/>
  <c r="BE81" i="109"/>
  <c r="BE78" i="109"/>
  <c r="BE85" i="109"/>
  <c r="BF70" i="107"/>
  <c r="BF79" i="107"/>
  <c r="BF90" i="107"/>
  <c r="BG78" i="107"/>
  <c r="BG8" i="107"/>
  <c r="BG90" i="107" s="1"/>
  <c r="BG17" i="107"/>
  <c r="BH7" i="107"/>
  <c r="BF27" i="107"/>
  <c r="BF44" i="107"/>
  <c r="BF50" i="107"/>
  <c r="BF51" i="107"/>
  <c r="BF56" i="107"/>
  <c r="BF72" i="107"/>
  <c r="BF84" i="107"/>
  <c r="BF94" i="105"/>
  <c r="BF33" i="105"/>
  <c r="BF28" i="105"/>
  <c r="BF44" i="105"/>
  <c r="BF55" i="105"/>
  <c r="BF62" i="105"/>
  <c r="BF85" i="105"/>
  <c r="BF93" i="105"/>
  <c r="BG90" i="105"/>
  <c r="BG93" i="105"/>
  <c r="BG96" i="105"/>
  <c r="BG94" i="105"/>
  <c r="BG85" i="105"/>
  <c r="BG77" i="105"/>
  <c r="BG73" i="105"/>
  <c r="BG71" i="105"/>
  <c r="BG62" i="105"/>
  <c r="BG67" i="105"/>
  <c r="BG58" i="105"/>
  <c r="BG60" i="105"/>
  <c r="BG55" i="105"/>
  <c r="BG59" i="105"/>
  <c r="BG44" i="105"/>
  <c r="BG48" i="105"/>
  <c r="BG31" i="105"/>
  <c r="BG70" i="105"/>
  <c r="BG53" i="105"/>
  <c r="BG56" i="105"/>
  <c r="BG46" i="105"/>
  <c r="BG40" i="105"/>
  <c r="BG35" i="105"/>
  <c r="BG8" i="105"/>
  <c r="BG97" i="105" s="1"/>
  <c r="BG25" i="105"/>
  <c r="BG22" i="105"/>
  <c r="BG13" i="105"/>
  <c r="BG45" i="105"/>
  <c r="BG16" i="105"/>
  <c r="BG30" i="105"/>
  <c r="BG26" i="105"/>
  <c r="BG36" i="105"/>
  <c r="BG27" i="105"/>
  <c r="BG12" i="105"/>
  <c r="BG28" i="105"/>
  <c r="BG24" i="105"/>
  <c r="BG33" i="105"/>
  <c r="BG14" i="105"/>
  <c r="BG15" i="105"/>
  <c r="BH7" i="105"/>
  <c r="BF40" i="105"/>
  <c r="BF48" i="105"/>
  <c r="BF52" i="105"/>
  <c r="BF78" i="105"/>
  <c r="BF73" i="105"/>
  <c r="BF82" i="105"/>
  <c r="BF53" i="103"/>
  <c r="BF40" i="103"/>
  <c r="BF81" i="103"/>
  <c r="BF77" i="103"/>
  <c r="BF82" i="103"/>
  <c r="BF95" i="103"/>
  <c r="BG97" i="103"/>
  <c r="BG88" i="103"/>
  <c r="BG78" i="103"/>
  <c r="BG68" i="103"/>
  <c r="BG69" i="103"/>
  <c r="BG62" i="103"/>
  <c r="BG50" i="103"/>
  <c r="BG46" i="103"/>
  <c r="BG37" i="103"/>
  <c r="BG25" i="103"/>
  <c r="BG51" i="103"/>
  <c r="BG16" i="103"/>
  <c r="BG14" i="103"/>
  <c r="BH7" i="103"/>
  <c r="BG12" i="103"/>
  <c r="BG15" i="103"/>
  <c r="BG8" i="103"/>
  <c r="BG95" i="103" s="1"/>
  <c r="BG26" i="103"/>
  <c r="BG24" i="103"/>
  <c r="BF17" i="103"/>
  <c r="BF16" i="103"/>
  <c r="BF37" i="103"/>
  <c r="BF41" i="103"/>
  <c r="BF60" i="103"/>
  <c r="BF49" i="103"/>
  <c r="BF72" i="103"/>
  <c r="BF56" i="103"/>
  <c r="BF79" i="103"/>
  <c r="BF92" i="103"/>
  <c r="BF18" i="103"/>
  <c r="BF11" i="103"/>
  <c r="BF55" i="103"/>
  <c r="BF46" i="103"/>
  <c r="BF50" i="103"/>
  <c r="BF58" i="103"/>
  <c r="BF84" i="103"/>
  <c r="BF64" i="103"/>
  <c r="BF91" i="103"/>
  <c r="BF89" i="103"/>
  <c r="BF31" i="103"/>
  <c r="BF25" i="103"/>
  <c r="BF26" i="103"/>
  <c r="BF30" i="103"/>
  <c r="BF35" i="103"/>
  <c r="BF38" i="103"/>
  <c r="BF69" i="103"/>
  <c r="BF74" i="103"/>
  <c r="BF75" i="103"/>
  <c r="BF96" i="103"/>
  <c r="BF94" i="103"/>
  <c r="BF12" i="103"/>
  <c r="BF34" i="103"/>
  <c r="BF33" i="103"/>
  <c r="BF44" i="103"/>
  <c r="BF47" i="103"/>
  <c r="BF63" i="103"/>
  <c r="BF78" i="103"/>
  <c r="BF83" i="103"/>
  <c r="BE12" i="101"/>
  <c r="BE22" i="101"/>
  <c r="BE24" i="101"/>
  <c r="BE46" i="101"/>
  <c r="BE51" i="101"/>
  <c r="BE44" i="101"/>
  <c r="BE52" i="101"/>
  <c r="BE74" i="101"/>
  <c r="BE79" i="101"/>
  <c r="BE97" i="101"/>
  <c r="BE58" i="101"/>
  <c r="BE53" i="101"/>
  <c r="BE60" i="101"/>
  <c r="BE61" i="101"/>
  <c r="BE84" i="101"/>
  <c r="BE88" i="101"/>
  <c r="BE94" i="101"/>
  <c r="BE16" i="101"/>
  <c r="BE45" i="101"/>
  <c r="BE40" i="101"/>
  <c r="BE27" i="101"/>
  <c r="BE28" i="101"/>
  <c r="BE69" i="101"/>
  <c r="BE71" i="101"/>
  <c r="BE67" i="101"/>
  <c r="BE73" i="101"/>
  <c r="BE96" i="101"/>
  <c r="BE91" i="101"/>
  <c r="BE59" i="101"/>
  <c r="BE38" i="101"/>
  <c r="BE39" i="101"/>
  <c r="BE35" i="101"/>
  <c r="BE41" i="101"/>
  <c r="BE68" i="101"/>
  <c r="BE75" i="101"/>
  <c r="BE80" i="101"/>
  <c r="BE90" i="101"/>
  <c r="BE19" i="101"/>
  <c r="BE17" i="101"/>
  <c r="BE48" i="101"/>
  <c r="BE49" i="101"/>
  <c r="BE37" i="101"/>
  <c r="BE50" i="101"/>
  <c r="BE70" i="101"/>
  <c r="BE83" i="101"/>
  <c r="BE77" i="101"/>
  <c r="BE86" i="101"/>
  <c r="BE25" i="101"/>
  <c r="BE18" i="101"/>
  <c r="BE29" i="101"/>
  <c r="BE33" i="101"/>
  <c r="BE34" i="101"/>
  <c r="BE62" i="101"/>
  <c r="BE64" i="101"/>
  <c r="BE55" i="101"/>
  <c r="BE85" i="101"/>
  <c r="BE95" i="101"/>
  <c r="BE15" i="101"/>
  <c r="BF8" i="101"/>
  <c r="BF90" i="101" s="1"/>
  <c r="BG7" i="101"/>
  <c r="BE36" i="101"/>
  <c r="BE66" i="101"/>
  <c r="BE57" i="101"/>
  <c r="BE47" i="101"/>
  <c r="BE72" i="101"/>
  <c r="BE63" i="101"/>
  <c r="BE82" i="101"/>
  <c r="BE28" i="99"/>
  <c r="BE24" i="99"/>
  <c r="BE35" i="99"/>
  <c r="BE37" i="99"/>
  <c r="BE45" i="99"/>
  <c r="BE49" i="99"/>
  <c r="BE68" i="99"/>
  <c r="BE84" i="99"/>
  <c r="BE74" i="99"/>
  <c r="BE97" i="99"/>
  <c r="BE16" i="99"/>
  <c r="BE42" i="99"/>
  <c r="BE31" i="99"/>
  <c r="BE44" i="99"/>
  <c r="BE62" i="99"/>
  <c r="BE48" i="99"/>
  <c r="BE59" i="99"/>
  <c r="BE85" i="99"/>
  <c r="BE63" i="99"/>
  <c r="BE83" i="99"/>
  <c r="BE94" i="99"/>
  <c r="BE15" i="99"/>
  <c r="BE12" i="99"/>
  <c r="BE46" i="99"/>
  <c r="BE27" i="99"/>
  <c r="BE80" i="99"/>
  <c r="BE50" i="99"/>
  <c r="BE52" i="99"/>
  <c r="BE64" i="99"/>
  <c r="BE72" i="99"/>
  <c r="BE93" i="99"/>
  <c r="BE91" i="99"/>
  <c r="BE13" i="99"/>
  <c r="BE17" i="99"/>
  <c r="BE57" i="99"/>
  <c r="BE20" i="99"/>
  <c r="BE40" i="99"/>
  <c r="BE60" i="99"/>
  <c r="BE61" i="99"/>
  <c r="BE73" i="99"/>
  <c r="BE81" i="99"/>
  <c r="BE90" i="99"/>
  <c r="BE25" i="99"/>
  <c r="BE47" i="99"/>
  <c r="BE11" i="99"/>
  <c r="BE29" i="99"/>
  <c r="BE71" i="99"/>
  <c r="BE67" i="99"/>
  <c r="BE77" i="99"/>
  <c r="BE82" i="99"/>
  <c r="BE96" i="99"/>
  <c r="BE86" i="99"/>
  <c r="BF89" i="99"/>
  <c r="BF95" i="99"/>
  <c r="BF88" i="99"/>
  <c r="BF91" i="99"/>
  <c r="BF69" i="99"/>
  <c r="BF67" i="99"/>
  <c r="BF79" i="99"/>
  <c r="BF73" i="99"/>
  <c r="BF58" i="99"/>
  <c r="BF49" i="99"/>
  <c r="BF63" i="99"/>
  <c r="BF80" i="99"/>
  <c r="BF62" i="99"/>
  <c r="BF53" i="99"/>
  <c r="BF60" i="99"/>
  <c r="BF55" i="99"/>
  <c r="BF39" i="99"/>
  <c r="BF42" i="99"/>
  <c r="BF66" i="99"/>
  <c r="BF52" i="99"/>
  <c r="BF51" i="99"/>
  <c r="BF40" i="99"/>
  <c r="BF20" i="99"/>
  <c r="BF35" i="99"/>
  <c r="BF30" i="99"/>
  <c r="BF83" i="99"/>
  <c r="BF46" i="99"/>
  <c r="BF57" i="99"/>
  <c r="BF31" i="99"/>
  <c r="BF19" i="99"/>
  <c r="BF14" i="99"/>
  <c r="BG7" i="99"/>
  <c r="BF17" i="99"/>
  <c r="BF37" i="99"/>
  <c r="BF28" i="99"/>
  <c r="BF15" i="99"/>
  <c r="BF33" i="99"/>
  <c r="BF13" i="99"/>
  <c r="BF23" i="99"/>
  <c r="BF11" i="99"/>
  <c r="BF16" i="99"/>
  <c r="BF8" i="99"/>
  <c r="BF86" i="99" s="1"/>
  <c r="BF22" i="99"/>
  <c r="BF18" i="99"/>
  <c r="BE23" i="99"/>
  <c r="BE51" i="99"/>
  <c r="BE39" i="99"/>
  <c r="BE41" i="99"/>
  <c r="BE58" i="99"/>
  <c r="BE70" i="99"/>
  <c r="BE69" i="99"/>
  <c r="BE50" i="97"/>
  <c r="BE29" i="97"/>
  <c r="BE16" i="97"/>
  <c r="BE61" i="97"/>
  <c r="BE64" i="97"/>
  <c r="BE45" i="97"/>
  <c r="BE55" i="97"/>
  <c r="BE67" i="97"/>
  <c r="BE66" i="97"/>
  <c r="BE89" i="97"/>
  <c r="BF95" i="97"/>
  <c r="BF86" i="97"/>
  <c r="BF69" i="97"/>
  <c r="BF81" i="97"/>
  <c r="BF60" i="97"/>
  <c r="BF85" i="97"/>
  <c r="BF53" i="97"/>
  <c r="BF47" i="97"/>
  <c r="BF56" i="97"/>
  <c r="BF66" i="97"/>
  <c r="BF40" i="97"/>
  <c r="BF38" i="97"/>
  <c r="BF45" i="97"/>
  <c r="BF61" i="97"/>
  <c r="BF44" i="97"/>
  <c r="BF39" i="97"/>
  <c r="BF36" i="97"/>
  <c r="BF8" i="97"/>
  <c r="BF90" i="97" s="1"/>
  <c r="BF33" i="97"/>
  <c r="BF27" i="97"/>
  <c r="BF25" i="97"/>
  <c r="BF55" i="97"/>
  <c r="BF13" i="97"/>
  <c r="BF57" i="97"/>
  <c r="BF51" i="97"/>
  <c r="BF26" i="97"/>
  <c r="BF22" i="97"/>
  <c r="BF17" i="97"/>
  <c r="BF46" i="97"/>
  <c r="BF11" i="97"/>
  <c r="BF19" i="97"/>
  <c r="BF23" i="97"/>
  <c r="BF34" i="97"/>
  <c r="BF14" i="97"/>
  <c r="BF52" i="97"/>
  <c r="BF15" i="97"/>
  <c r="BF16" i="97"/>
  <c r="BF29" i="97"/>
  <c r="BF63" i="97"/>
  <c r="BF30" i="97"/>
  <c r="BF37" i="97"/>
  <c r="BF62" i="97"/>
  <c r="BG7" i="97"/>
  <c r="BE33" i="97"/>
  <c r="BE26" i="97"/>
  <c r="BE28" i="97"/>
  <c r="BE53" i="97"/>
  <c r="BE85" i="97"/>
  <c r="BE84" i="97"/>
  <c r="BE83" i="97"/>
  <c r="BE94" i="97"/>
  <c r="BE13" i="97"/>
  <c r="BE12" i="97"/>
  <c r="BE51" i="97"/>
  <c r="BE56" i="97"/>
  <c r="BE27" i="97"/>
  <c r="BE37" i="97"/>
  <c r="BE44" i="97"/>
  <c r="BE60" i="97"/>
  <c r="BE63" i="97"/>
  <c r="BE93" i="97"/>
  <c r="BE91" i="97"/>
  <c r="BE20" i="97"/>
  <c r="BE19" i="97"/>
  <c r="BE58" i="97"/>
  <c r="BE15" i="97"/>
  <c r="BE30" i="97"/>
  <c r="BE41" i="97"/>
  <c r="BE52" i="97"/>
  <c r="BE77" i="97"/>
  <c r="BE72" i="97"/>
  <c r="BE90" i="97"/>
  <c r="BE46" i="97"/>
  <c r="BE11" i="97"/>
  <c r="BE36" i="97"/>
  <c r="BE24" i="97"/>
  <c r="BE59" i="97"/>
  <c r="BE69" i="97"/>
  <c r="BE62" i="97"/>
  <c r="BE57" i="97"/>
  <c r="BE81" i="97"/>
  <c r="BE86" i="97"/>
  <c r="BE48" i="97"/>
  <c r="BE14" i="97"/>
  <c r="BE40" i="97"/>
  <c r="BE31" i="97"/>
  <c r="BE38" i="97"/>
  <c r="BE70" i="97"/>
  <c r="BE80" i="97"/>
  <c r="BE71" i="97"/>
  <c r="BE96" i="97"/>
  <c r="BE95" i="97"/>
  <c r="BG13" i="95"/>
  <c r="BG50" i="95"/>
  <c r="BG59" i="95"/>
  <c r="BG12" i="95"/>
  <c r="BG92" i="95"/>
  <c r="BG84" i="95"/>
  <c r="BG34" i="95"/>
  <c r="BG82" i="95"/>
  <c r="BG88" i="95"/>
  <c r="BG24" i="95"/>
  <c r="BG45" i="95"/>
  <c r="BG62" i="95"/>
  <c r="BG25" i="95"/>
  <c r="BG75" i="95"/>
  <c r="BG96" i="95"/>
  <c r="BG64" i="95"/>
  <c r="BG23" i="95"/>
  <c r="BG22" i="95"/>
  <c r="BG27" i="95"/>
  <c r="BG48" i="95"/>
  <c r="BG55" i="95"/>
  <c r="BG31" i="95"/>
  <c r="BG40" i="95"/>
  <c r="BG80" i="95"/>
  <c r="BG49" i="95"/>
  <c r="BG73" i="95"/>
  <c r="BG85" i="95"/>
  <c r="BG81" i="95"/>
  <c r="BG18" i="95"/>
  <c r="BG14" i="95"/>
  <c r="BG30" i="95"/>
  <c r="BG52" i="95"/>
  <c r="BG19" i="95"/>
  <c r="BG57" i="95"/>
  <c r="BG69" i="95"/>
  <c r="BG46" i="95"/>
  <c r="BG95" i="95"/>
  <c r="BG63" i="95"/>
  <c r="BG93" i="95"/>
  <c r="BG67" i="95"/>
  <c r="BG86" i="95"/>
  <c r="BG97" i="95"/>
  <c r="BG29" i="95"/>
  <c r="BG17" i="95"/>
  <c r="BG35" i="95"/>
  <c r="BG37" i="95"/>
  <c r="BG26" i="95"/>
  <c r="BG68" i="95"/>
  <c r="BG41" i="95"/>
  <c r="BG51" i="95"/>
  <c r="BG78" i="95"/>
  <c r="BG66" i="95"/>
  <c r="BG91" i="95"/>
  <c r="BG79" i="95"/>
  <c r="BG94" i="95"/>
  <c r="BG90" i="95"/>
  <c r="BH8" i="95"/>
  <c r="BH95" i="95" s="1"/>
  <c r="BI7" i="95"/>
  <c r="BG28" i="95"/>
  <c r="BG15" i="95"/>
  <c r="BG33" i="95"/>
  <c r="BG83" i="95"/>
  <c r="BG44" i="95"/>
  <c r="BG61" i="95"/>
  <c r="BG74" i="95"/>
  <c r="BG36" i="95"/>
  <c r="BG70" i="95"/>
  <c r="BG53" i="95"/>
  <c r="BG72" i="95"/>
  <c r="BG16" i="95"/>
  <c r="BG20" i="95"/>
  <c r="BG56" i="95"/>
  <c r="BG11" i="95"/>
  <c r="BG47" i="95"/>
  <c r="BG39" i="95"/>
  <c r="BG58" i="95"/>
  <c r="BG38" i="95"/>
  <c r="BG77" i="95"/>
  <c r="BG42" i="95"/>
  <c r="BG71" i="95"/>
  <c r="BG60" i="95"/>
  <c r="BF15" i="59" l="1"/>
  <c r="BF29" i="59"/>
  <c r="BF48" i="59"/>
  <c r="BF78" i="59"/>
  <c r="BF88" i="59"/>
  <c r="BF34" i="59"/>
  <c r="BF13" i="59"/>
  <c r="BF33" i="59"/>
  <c r="BF36" i="59"/>
  <c r="BF49" i="59"/>
  <c r="BF70" i="59"/>
  <c r="BF79" i="59"/>
  <c r="BF61" i="59"/>
  <c r="BF68" i="59"/>
  <c r="BF81" i="59"/>
  <c r="BF91" i="59"/>
  <c r="BF94" i="59"/>
  <c r="BF25" i="59"/>
  <c r="BF41" i="59"/>
  <c r="BF44" i="59"/>
  <c r="BF66" i="59"/>
  <c r="BF55" i="59"/>
  <c r="BF77" i="59"/>
  <c r="BF92" i="59"/>
  <c r="BF16" i="59"/>
  <c r="BF20" i="59"/>
  <c r="BF35" i="59"/>
  <c r="BF57" i="59"/>
  <c r="BF45" i="59"/>
  <c r="BF74" i="59"/>
  <c r="BF75" i="59"/>
  <c r="BF96" i="59"/>
  <c r="BG8" i="59"/>
  <c r="BG97" i="59" s="1"/>
  <c r="BH7" i="59"/>
  <c r="BF27" i="59"/>
  <c r="BF53" i="59"/>
  <c r="BF17" i="59"/>
  <c r="BF31" i="59"/>
  <c r="BF46" i="59"/>
  <c r="BF63" i="59"/>
  <c r="BF84" i="59"/>
  <c r="BF80" i="59"/>
  <c r="BF90" i="59"/>
  <c r="BF39" i="59"/>
  <c r="BF37" i="59"/>
  <c r="BF62" i="59"/>
  <c r="BF30" i="59"/>
  <c r="BF40" i="59"/>
  <c r="BF82" i="59"/>
  <c r="BF67" i="59"/>
  <c r="BF85" i="59"/>
  <c r="BF83" i="59"/>
  <c r="BF11" i="113"/>
  <c r="BF71" i="113"/>
  <c r="BF24" i="113"/>
  <c r="BF68" i="113"/>
  <c r="BF42" i="113"/>
  <c r="BF41" i="113"/>
  <c r="BF53" i="113"/>
  <c r="BF84" i="113"/>
  <c r="BF81" i="113"/>
  <c r="BF93" i="113"/>
  <c r="BF57" i="113"/>
  <c r="BF28" i="113"/>
  <c r="BF44" i="113"/>
  <c r="BF48" i="113"/>
  <c r="BF38" i="113"/>
  <c r="BF66" i="113"/>
  <c r="BF64" i="113"/>
  <c r="BF80" i="113"/>
  <c r="BF95" i="113"/>
  <c r="BG89" i="113"/>
  <c r="BG92" i="113"/>
  <c r="BG95" i="113"/>
  <c r="BG86" i="113"/>
  <c r="BG91" i="113"/>
  <c r="BG85" i="113"/>
  <c r="BG77" i="113"/>
  <c r="BG80" i="113"/>
  <c r="BG84" i="113"/>
  <c r="BG72" i="113"/>
  <c r="BG82" i="113"/>
  <c r="BG67" i="113"/>
  <c r="BG59" i="113"/>
  <c r="BG66" i="113"/>
  <c r="BG62" i="113"/>
  <c r="BG70" i="113"/>
  <c r="BG64" i="113"/>
  <c r="BG56" i="113"/>
  <c r="BG45" i="113"/>
  <c r="BG36" i="113"/>
  <c r="BG51" i="113"/>
  <c r="BG81" i="113"/>
  <c r="BG57" i="113"/>
  <c r="BG53" i="113"/>
  <c r="BG44" i="113"/>
  <c r="BG35" i="113"/>
  <c r="BG19" i="113"/>
  <c r="BG31" i="113"/>
  <c r="BG16" i="113"/>
  <c r="BG34" i="113"/>
  <c r="BG24" i="113"/>
  <c r="BG61" i="113"/>
  <c r="BG25" i="113"/>
  <c r="BG20" i="113"/>
  <c r="BG71" i="113"/>
  <c r="BG40" i="113"/>
  <c r="BG49" i="113"/>
  <c r="BG42" i="113"/>
  <c r="BG26" i="113"/>
  <c r="BG69" i="113"/>
  <c r="BG13" i="113"/>
  <c r="BG11" i="113"/>
  <c r="BH7" i="113"/>
  <c r="BG8" i="113"/>
  <c r="BG90" i="113" s="1"/>
  <c r="BG15" i="113"/>
  <c r="BG17" i="113"/>
  <c r="BG23" i="113"/>
  <c r="BF12" i="113"/>
  <c r="BF19" i="113"/>
  <c r="BF36" i="113"/>
  <c r="BF60" i="113"/>
  <c r="BF52" i="113"/>
  <c r="BF47" i="113"/>
  <c r="BF56" i="113"/>
  <c r="BF88" i="113"/>
  <c r="BF77" i="113"/>
  <c r="BF92" i="113"/>
  <c r="BF15" i="113"/>
  <c r="BF27" i="113"/>
  <c r="BF39" i="113"/>
  <c r="BF30" i="113"/>
  <c r="BF45" i="113"/>
  <c r="BF55" i="113"/>
  <c r="BF61" i="113"/>
  <c r="BF63" i="113"/>
  <c r="BF85" i="113"/>
  <c r="BF89" i="113"/>
  <c r="BF17" i="113"/>
  <c r="BF22" i="113"/>
  <c r="BF16" i="113"/>
  <c r="BF23" i="113"/>
  <c r="BF37" i="113"/>
  <c r="BF58" i="113"/>
  <c r="BF70" i="113"/>
  <c r="BF69" i="113"/>
  <c r="BF72" i="113"/>
  <c r="BF91" i="113"/>
  <c r="BG24" i="111"/>
  <c r="BG48" i="111"/>
  <c r="BH96" i="111"/>
  <c r="BH91" i="111"/>
  <c r="BH94" i="111"/>
  <c r="BH81" i="111"/>
  <c r="BH48" i="111"/>
  <c r="BH39" i="111"/>
  <c r="BH80" i="111"/>
  <c r="BH72" i="111"/>
  <c r="BH66" i="111"/>
  <c r="BH74" i="111"/>
  <c r="BH93" i="111"/>
  <c r="BH69" i="111"/>
  <c r="BH56" i="111"/>
  <c r="BH49" i="111"/>
  <c r="BH75" i="111"/>
  <c r="BH35" i="111"/>
  <c r="BH63" i="111"/>
  <c r="BH50" i="111"/>
  <c r="BH37" i="111"/>
  <c r="BH31" i="111"/>
  <c r="BH23" i="111"/>
  <c r="BH11" i="111"/>
  <c r="BI7" i="111"/>
  <c r="BH64" i="111"/>
  <c r="BH40" i="111"/>
  <c r="BH17" i="111"/>
  <c r="BH25" i="111"/>
  <c r="BH12" i="111"/>
  <c r="BH16" i="111"/>
  <c r="BH8" i="111"/>
  <c r="BH92" i="111" s="1"/>
  <c r="BH34" i="111"/>
  <c r="BH20" i="111"/>
  <c r="BG50" i="111"/>
  <c r="BG25" i="111"/>
  <c r="BG40" i="111"/>
  <c r="BG59" i="111"/>
  <c r="BG85" i="111"/>
  <c r="BG53" i="111"/>
  <c r="BG96" i="111"/>
  <c r="BG13" i="111"/>
  <c r="BG47" i="111"/>
  <c r="BG14" i="111"/>
  <c r="BG26" i="111"/>
  <c r="BG34" i="111"/>
  <c r="BG44" i="111"/>
  <c r="BG66" i="111"/>
  <c r="BG70" i="111"/>
  <c r="BG62" i="111"/>
  <c r="BG93" i="111"/>
  <c r="BG12" i="111"/>
  <c r="BG27" i="111"/>
  <c r="BG23" i="111"/>
  <c r="BG39" i="111"/>
  <c r="BG49" i="111"/>
  <c r="BG51" i="111"/>
  <c r="BG74" i="111"/>
  <c r="BG91" i="111"/>
  <c r="BG84" i="111"/>
  <c r="BG86" i="111"/>
  <c r="BG36" i="111"/>
  <c r="BG77" i="111"/>
  <c r="BG46" i="111"/>
  <c r="BG78" i="111"/>
  <c r="BG55" i="111"/>
  <c r="BG83" i="111"/>
  <c r="BG58" i="111"/>
  <c r="BG73" i="111"/>
  <c r="BG95" i="111"/>
  <c r="BG15" i="111"/>
  <c r="BG17" i="111"/>
  <c r="BG22" i="111"/>
  <c r="BG30" i="111"/>
  <c r="BG28" i="111"/>
  <c r="BG52" i="111"/>
  <c r="BG81" i="111"/>
  <c r="BG60" i="111"/>
  <c r="BG64" i="111"/>
  <c r="BG94" i="111"/>
  <c r="BF85" i="109"/>
  <c r="BF31" i="109"/>
  <c r="BF47" i="109"/>
  <c r="BF36" i="109"/>
  <c r="BF22" i="109"/>
  <c r="BF33" i="109"/>
  <c r="BF45" i="109"/>
  <c r="BF60" i="109"/>
  <c r="BF75" i="109"/>
  <c r="BF71" i="109"/>
  <c r="BF91" i="109"/>
  <c r="BF62" i="109"/>
  <c r="BF23" i="109"/>
  <c r="BF57" i="109"/>
  <c r="BF44" i="109"/>
  <c r="BF30" i="109"/>
  <c r="BF41" i="109"/>
  <c r="BF48" i="109"/>
  <c r="BF96" i="109"/>
  <c r="BF59" i="109"/>
  <c r="BF79" i="109"/>
  <c r="BF90" i="109"/>
  <c r="BF38" i="109"/>
  <c r="BG97" i="109"/>
  <c r="BG86" i="109"/>
  <c r="BG94" i="109"/>
  <c r="BG91" i="109"/>
  <c r="BG74" i="109"/>
  <c r="BG85" i="109"/>
  <c r="BG78" i="109"/>
  <c r="BG82" i="109"/>
  <c r="BG96" i="109"/>
  <c r="BG75" i="109"/>
  <c r="BG63" i="109"/>
  <c r="BG71" i="109"/>
  <c r="BG58" i="109"/>
  <c r="BG15" i="109"/>
  <c r="BG52" i="109"/>
  <c r="BG36" i="109"/>
  <c r="BG42" i="109"/>
  <c r="BG16" i="109"/>
  <c r="BG56" i="109"/>
  <c r="BG49" i="109"/>
  <c r="BG29" i="109"/>
  <c r="BG59" i="109"/>
  <c r="BG30" i="109"/>
  <c r="BG28" i="109"/>
  <c r="BG17" i="109"/>
  <c r="BG64" i="109"/>
  <c r="BG8" i="109"/>
  <c r="BG89" i="109" s="1"/>
  <c r="BG31" i="109"/>
  <c r="BG20" i="109"/>
  <c r="BG14" i="109"/>
  <c r="BG81" i="109"/>
  <c r="BH7" i="109"/>
  <c r="BG46" i="109"/>
  <c r="BF11" i="109"/>
  <c r="BF25" i="109"/>
  <c r="BF39" i="109"/>
  <c r="BF53" i="109"/>
  <c r="BF51" i="109"/>
  <c r="BF66" i="109"/>
  <c r="BF64" i="109"/>
  <c r="BF83" i="109"/>
  <c r="BF95" i="109"/>
  <c r="BF17" i="109"/>
  <c r="BF13" i="109"/>
  <c r="BF34" i="109"/>
  <c r="BF46" i="109"/>
  <c r="BF58" i="109"/>
  <c r="BF70" i="109"/>
  <c r="BF69" i="109"/>
  <c r="BF68" i="109"/>
  <c r="BF82" i="109"/>
  <c r="BF92" i="109"/>
  <c r="BF63" i="109"/>
  <c r="BF14" i="109"/>
  <c r="BF37" i="109"/>
  <c r="BF55" i="109"/>
  <c r="BF49" i="109"/>
  <c r="BF77" i="109"/>
  <c r="BF81" i="109"/>
  <c r="BF67" i="109"/>
  <c r="BF84" i="109"/>
  <c r="BF80" i="109"/>
  <c r="BF89" i="109"/>
  <c r="BF35" i="109"/>
  <c r="BF24" i="109"/>
  <c r="BF19" i="109"/>
  <c r="BF18" i="109"/>
  <c r="BF40" i="109"/>
  <c r="BF28" i="109"/>
  <c r="BF56" i="109"/>
  <c r="BF20" i="109"/>
  <c r="BF50" i="109"/>
  <c r="BF73" i="109"/>
  <c r="BF74" i="109"/>
  <c r="BF88" i="109"/>
  <c r="BF97" i="109"/>
  <c r="BF16" i="109"/>
  <c r="BF72" i="109"/>
  <c r="BF12" i="109"/>
  <c r="BF26" i="109"/>
  <c r="BF27" i="109"/>
  <c r="BF42" i="109"/>
  <c r="BF15" i="109"/>
  <c r="BF29" i="109"/>
  <c r="BF52" i="109"/>
  <c r="BF78" i="109"/>
  <c r="BF86" i="109"/>
  <c r="BF93" i="109"/>
  <c r="BG27" i="107"/>
  <c r="BG49" i="107"/>
  <c r="BG67" i="107"/>
  <c r="BG57" i="107"/>
  <c r="BG48" i="107"/>
  <c r="BG73" i="107"/>
  <c r="BG80" i="107"/>
  <c r="BG86" i="107"/>
  <c r="BG12" i="107"/>
  <c r="BG23" i="107"/>
  <c r="BG24" i="107"/>
  <c r="BG62" i="107"/>
  <c r="BG45" i="107"/>
  <c r="BG34" i="107"/>
  <c r="BG53" i="107"/>
  <c r="BG75" i="107"/>
  <c r="BG79" i="107"/>
  <c r="BG95" i="107"/>
  <c r="BG15" i="107"/>
  <c r="BG35" i="107"/>
  <c r="BG28" i="107"/>
  <c r="BG77" i="107"/>
  <c r="BG50" i="107"/>
  <c r="BG42" i="107"/>
  <c r="BG61" i="107"/>
  <c r="BG72" i="107"/>
  <c r="BG94" i="107"/>
  <c r="BG92" i="107"/>
  <c r="BG40" i="107"/>
  <c r="BG37" i="107"/>
  <c r="BG52" i="107"/>
  <c r="BG91" i="107"/>
  <c r="BG26" i="107"/>
  <c r="BG31" i="107"/>
  <c r="BG29" i="107"/>
  <c r="BG63" i="107"/>
  <c r="BG47" i="107"/>
  <c r="BG58" i="107"/>
  <c r="BG56" i="107"/>
  <c r="BG81" i="107"/>
  <c r="BG85" i="107"/>
  <c r="BG88" i="107"/>
  <c r="BG97" i="107"/>
  <c r="BG11" i="107"/>
  <c r="BG16" i="107"/>
  <c r="BG33" i="107"/>
  <c r="BG20" i="107"/>
  <c r="BG68" i="107"/>
  <c r="BG66" i="107"/>
  <c r="BG71" i="107"/>
  <c r="BG84" i="107"/>
  <c r="BG60" i="107"/>
  <c r="BG96" i="107"/>
  <c r="BG89" i="107"/>
  <c r="BG55" i="107"/>
  <c r="BG25" i="107"/>
  <c r="BG22" i="107"/>
  <c r="BG36" i="107"/>
  <c r="BG41" i="107"/>
  <c r="BG82" i="107"/>
  <c r="BG30" i="107"/>
  <c r="BG59" i="107"/>
  <c r="BG69" i="107"/>
  <c r="BG93" i="107"/>
  <c r="BG14" i="107"/>
  <c r="BG19" i="107"/>
  <c r="BG38" i="107"/>
  <c r="BG51" i="107"/>
  <c r="BG64" i="107"/>
  <c r="BH86" i="107"/>
  <c r="BH90" i="107"/>
  <c r="BH88" i="107"/>
  <c r="BH91" i="107"/>
  <c r="BH82" i="107"/>
  <c r="BH83" i="107"/>
  <c r="BH72" i="107"/>
  <c r="BH63" i="107"/>
  <c r="BH84" i="107"/>
  <c r="BH71" i="107"/>
  <c r="BH81" i="107"/>
  <c r="BH64" i="107"/>
  <c r="BH61" i="107"/>
  <c r="BH53" i="107"/>
  <c r="BH56" i="107"/>
  <c r="BH51" i="107"/>
  <c r="BH34" i="107"/>
  <c r="BH79" i="107"/>
  <c r="BH46" i="107"/>
  <c r="BH89" i="107"/>
  <c r="BH74" i="107"/>
  <c r="BH73" i="107"/>
  <c r="BH67" i="107"/>
  <c r="BH66" i="107"/>
  <c r="BH41" i="107"/>
  <c r="BH47" i="107"/>
  <c r="BH35" i="107"/>
  <c r="BH30" i="107"/>
  <c r="BH78" i="107"/>
  <c r="BH40" i="107"/>
  <c r="BH36" i="107"/>
  <c r="BH45" i="107"/>
  <c r="BH27" i="107"/>
  <c r="BH18" i="107"/>
  <c r="BH59" i="107"/>
  <c r="BH48" i="107"/>
  <c r="BH31" i="107"/>
  <c r="BH25" i="107"/>
  <c r="BH23" i="107"/>
  <c r="BH26" i="107"/>
  <c r="BH29" i="107"/>
  <c r="BH17" i="107"/>
  <c r="BH11" i="107"/>
  <c r="BH12" i="107"/>
  <c r="BH15" i="107"/>
  <c r="BH33" i="107"/>
  <c r="BH8" i="107"/>
  <c r="BH93" i="107" s="1"/>
  <c r="BH44" i="107"/>
  <c r="BH19" i="107"/>
  <c r="BH14" i="107"/>
  <c r="BH52" i="107"/>
  <c r="BI7" i="107"/>
  <c r="BG13" i="107"/>
  <c r="BG18" i="107"/>
  <c r="BG44" i="107"/>
  <c r="BG46" i="107"/>
  <c r="BG74" i="107"/>
  <c r="BG39" i="107"/>
  <c r="BG70" i="107"/>
  <c r="BG83" i="107"/>
  <c r="BG64" i="105"/>
  <c r="BG63" i="105"/>
  <c r="BG82" i="105"/>
  <c r="BG79" i="105"/>
  <c r="BG86" i="105"/>
  <c r="BG29" i="105"/>
  <c r="BG41" i="105"/>
  <c r="BG72" i="105"/>
  <c r="BG78" i="105"/>
  <c r="BG81" i="105"/>
  <c r="BG75" i="105"/>
  <c r="BG95" i="105"/>
  <c r="BG23" i="105"/>
  <c r="BG42" i="105"/>
  <c r="BG18" i="105"/>
  <c r="BG34" i="105"/>
  <c r="BG50" i="105"/>
  <c r="BG52" i="105"/>
  <c r="BG69" i="105"/>
  <c r="BG74" i="105"/>
  <c r="BG84" i="105"/>
  <c r="BG92" i="105"/>
  <c r="BH92" i="105"/>
  <c r="BH95" i="105"/>
  <c r="BH93" i="105"/>
  <c r="BH88" i="105"/>
  <c r="BH91" i="105"/>
  <c r="BH79" i="105"/>
  <c r="BH82" i="105"/>
  <c r="BH85" i="105"/>
  <c r="BH83" i="105"/>
  <c r="BH97" i="105"/>
  <c r="BH78" i="105"/>
  <c r="BH66" i="105"/>
  <c r="BH60" i="105"/>
  <c r="BH74" i="105"/>
  <c r="BH63" i="105"/>
  <c r="BH67" i="105"/>
  <c r="BH58" i="105"/>
  <c r="BH70" i="105"/>
  <c r="BH68" i="105"/>
  <c r="BH72" i="105"/>
  <c r="BH71" i="105"/>
  <c r="BH64" i="105"/>
  <c r="BH59" i="105"/>
  <c r="BH50" i="105"/>
  <c r="BH41" i="105"/>
  <c r="BH81" i="105"/>
  <c r="BH45" i="105"/>
  <c r="BH38" i="105"/>
  <c r="BH53" i="105"/>
  <c r="BH44" i="105"/>
  <c r="BH33" i="105"/>
  <c r="BH37" i="105"/>
  <c r="BH40" i="105"/>
  <c r="BH29" i="105"/>
  <c r="BH25" i="105"/>
  <c r="BH22" i="105"/>
  <c r="BH13" i="105"/>
  <c r="BH23" i="105"/>
  <c r="BH34" i="105"/>
  <c r="BH30" i="105"/>
  <c r="BH19" i="105"/>
  <c r="BH11" i="105"/>
  <c r="BH31" i="105"/>
  <c r="BH12" i="105"/>
  <c r="BH49" i="105"/>
  <c r="BH39" i="105"/>
  <c r="BH24" i="105"/>
  <c r="BH27" i="105"/>
  <c r="BH8" i="105"/>
  <c r="BH86" i="105" s="1"/>
  <c r="BH52" i="105"/>
  <c r="BH18" i="105"/>
  <c r="BH15" i="105"/>
  <c r="BI7" i="105"/>
  <c r="BG20" i="105"/>
  <c r="BG11" i="105"/>
  <c r="BG51" i="105"/>
  <c r="BG39" i="105"/>
  <c r="BG38" i="105"/>
  <c r="BG68" i="105"/>
  <c r="BG57" i="105"/>
  <c r="BG83" i="105"/>
  <c r="BG91" i="105"/>
  <c r="BG89" i="105"/>
  <c r="BG17" i="105"/>
  <c r="BG19" i="105"/>
  <c r="BG37" i="105"/>
  <c r="BG49" i="105"/>
  <c r="BG47" i="105"/>
  <c r="BG61" i="105"/>
  <c r="BG66" i="105"/>
  <c r="BG80" i="105"/>
  <c r="BG88" i="105"/>
  <c r="BG35" i="103"/>
  <c r="BG23" i="103"/>
  <c r="BG67" i="103"/>
  <c r="BG60" i="103"/>
  <c r="BG44" i="103"/>
  <c r="BG63" i="103"/>
  <c r="BG77" i="103"/>
  <c r="BG82" i="103"/>
  <c r="BG92" i="103"/>
  <c r="BG11" i="103"/>
  <c r="BG22" i="103"/>
  <c r="BH86" i="103"/>
  <c r="BH90" i="103"/>
  <c r="BH93" i="103"/>
  <c r="BH77" i="103"/>
  <c r="BH80" i="103"/>
  <c r="BH97" i="103"/>
  <c r="BH81" i="103"/>
  <c r="BH79" i="103"/>
  <c r="BH74" i="103"/>
  <c r="BH78" i="103"/>
  <c r="BH82" i="103"/>
  <c r="BH68" i="103"/>
  <c r="BH61" i="103"/>
  <c r="BH58" i="103"/>
  <c r="BH64" i="103"/>
  <c r="BH57" i="103"/>
  <c r="BH47" i="103"/>
  <c r="BH38" i="103"/>
  <c r="BH50" i="103"/>
  <c r="BH66" i="103"/>
  <c r="BH55" i="103"/>
  <c r="BH48" i="103"/>
  <c r="BH40" i="103"/>
  <c r="BH46" i="103"/>
  <c r="BH59" i="103"/>
  <c r="BH41" i="103"/>
  <c r="BH36" i="103"/>
  <c r="BH37" i="103"/>
  <c r="BH34" i="103"/>
  <c r="BH26" i="103"/>
  <c r="BH17" i="103"/>
  <c r="BH44" i="103"/>
  <c r="BH24" i="103"/>
  <c r="BH27" i="103"/>
  <c r="BH20" i="103"/>
  <c r="BH12" i="103"/>
  <c r="BH39" i="103"/>
  <c r="BH15" i="103"/>
  <c r="BH8" i="103"/>
  <c r="BH96" i="103" s="1"/>
  <c r="BH29" i="103"/>
  <c r="BH22" i="103"/>
  <c r="BH49" i="103"/>
  <c r="BH18" i="103"/>
  <c r="BH13" i="103"/>
  <c r="BH30" i="103"/>
  <c r="BH23" i="103"/>
  <c r="BH31" i="103"/>
  <c r="BH16" i="103"/>
  <c r="BH11" i="103"/>
  <c r="BI7" i="103"/>
  <c r="BH14" i="103"/>
  <c r="BG31" i="103"/>
  <c r="BG36" i="103"/>
  <c r="BG41" i="103"/>
  <c r="BG52" i="103"/>
  <c r="BG72" i="103"/>
  <c r="BG59" i="103"/>
  <c r="BG91" i="103"/>
  <c r="BG89" i="103"/>
  <c r="BG34" i="103"/>
  <c r="BG17" i="103"/>
  <c r="BG42" i="103"/>
  <c r="BG30" i="103"/>
  <c r="BG40" i="103"/>
  <c r="BG70" i="103"/>
  <c r="BG84" i="103"/>
  <c r="BG66" i="103"/>
  <c r="BG83" i="103"/>
  <c r="BG93" i="103"/>
  <c r="BG13" i="103"/>
  <c r="BG19" i="103"/>
  <c r="BG20" i="103"/>
  <c r="BG33" i="103"/>
  <c r="BG48" i="103"/>
  <c r="BG47" i="103"/>
  <c r="BG73" i="103"/>
  <c r="BG74" i="103"/>
  <c r="BG80" i="103"/>
  <c r="BG90" i="103"/>
  <c r="BG56" i="103"/>
  <c r="BG75" i="103"/>
  <c r="BG81" i="103"/>
  <c r="BG96" i="103"/>
  <c r="BG18" i="103"/>
  <c r="BG28" i="103"/>
  <c r="BG29" i="103"/>
  <c r="BG39" i="103"/>
  <c r="BG55" i="103"/>
  <c r="BG57" i="103"/>
  <c r="BG58" i="103"/>
  <c r="BG79" i="103"/>
  <c r="BG85" i="103"/>
  <c r="BG86" i="103"/>
  <c r="BG45" i="103"/>
  <c r="BG27" i="103"/>
  <c r="BG38" i="103"/>
  <c r="BG49" i="103"/>
  <c r="BG53" i="103"/>
  <c r="BG64" i="103"/>
  <c r="BG61" i="103"/>
  <c r="BG71" i="103"/>
  <c r="BG94" i="103"/>
  <c r="BF19" i="101"/>
  <c r="BF24" i="101"/>
  <c r="BF33" i="101"/>
  <c r="BF26" i="101"/>
  <c r="BF63" i="101"/>
  <c r="BF41" i="101"/>
  <c r="BF74" i="101"/>
  <c r="BF75" i="101"/>
  <c r="BF80" i="101"/>
  <c r="BF95" i="101"/>
  <c r="BF25" i="101"/>
  <c r="BF66" i="101"/>
  <c r="BF40" i="101"/>
  <c r="BF31" i="101"/>
  <c r="BF48" i="101"/>
  <c r="BF50" i="101"/>
  <c r="BF56" i="101"/>
  <c r="BF81" i="101"/>
  <c r="BF96" i="101"/>
  <c r="BF92" i="101"/>
  <c r="BF70" i="101"/>
  <c r="BF15" i="101"/>
  <c r="BF14" i="101"/>
  <c r="BF27" i="101"/>
  <c r="BF42" i="101"/>
  <c r="BF57" i="101"/>
  <c r="BF62" i="101"/>
  <c r="BF64" i="101"/>
  <c r="BF71" i="101"/>
  <c r="BF85" i="101"/>
  <c r="BF89" i="101"/>
  <c r="BF34" i="101"/>
  <c r="BF46" i="101"/>
  <c r="BF86" i="101"/>
  <c r="BG86" i="101"/>
  <c r="BG8" i="101"/>
  <c r="BG93" i="101" s="1"/>
  <c r="BH7" i="101"/>
  <c r="BF16" i="101"/>
  <c r="BF22" i="101"/>
  <c r="BF39" i="101"/>
  <c r="BF28" i="101"/>
  <c r="BF73" i="101"/>
  <c r="BF38" i="101"/>
  <c r="BF72" i="101"/>
  <c r="BF78" i="101"/>
  <c r="BF82" i="101"/>
  <c r="BF97" i="101"/>
  <c r="BF18" i="101"/>
  <c r="BF67" i="101"/>
  <c r="BF11" i="101"/>
  <c r="BF12" i="101"/>
  <c r="BF30" i="101"/>
  <c r="BF49" i="101"/>
  <c r="BF35" i="101"/>
  <c r="BF36" i="101"/>
  <c r="BF47" i="101"/>
  <c r="BF77" i="101"/>
  <c r="BF88" i="101"/>
  <c r="BF91" i="101"/>
  <c r="BF94" i="101"/>
  <c r="BF13" i="101"/>
  <c r="BF23" i="101"/>
  <c r="BF51" i="101"/>
  <c r="BF44" i="101"/>
  <c r="BF37" i="101"/>
  <c r="BF45" i="101"/>
  <c r="BF59" i="101"/>
  <c r="BF61" i="101"/>
  <c r="BF79" i="101"/>
  <c r="BF93" i="101"/>
  <c r="BF55" i="101"/>
  <c r="BF69" i="101"/>
  <c r="BF83" i="101"/>
  <c r="BF20" i="101"/>
  <c r="BF17" i="101"/>
  <c r="BF29" i="101"/>
  <c r="BF53" i="101"/>
  <c r="BF60" i="101"/>
  <c r="BF52" i="101"/>
  <c r="BF68" i="101"/>
  <c r="BF58" i="101"/>
  <c r="BF84" i="101"/>
  <c r="BF36" i="99"/>
  <c r="BF27" i="99"/>
  <c r="BF25" i="99"/>
  <c r="BF29" i="99"/>
  <c r="BF71" i="99"/>
  <c r="BF41" i="99"/>
  <c r="BF74" i="99"/>
  <c r="BF82" i="99"/>
  <c r="BF78" i="99"/>
  <c r="BF92" i="99"/>
  <c r="BF97" i="99"/>
  <c r="BF68" i="99"/>
  <c r="BF75" i="99"/>
  <c r="BF96" i="99"/>
  <c r="BF94" i="99"/>
  <c r="BG96" i="99"/>
  <c r="BG67" i="99"/>
  <c r="BG80" i="99"/>
  <c r="BG59" i="99"/>
  <c r="BG45" i="99"/>
  <c r="BG51" i="99"/>
  <c r="BG27" i="99"/>
  <c r="BG49" i="99"/>
  <c r="BG12" i="99"/>
  <c r="BG8" i="99"/>
  <c r="BG89" i="99" s="1"/>
  <c r="BG20" i="99"/>
  <c r="BG16" i="99"/>
  <c r="BG35" i="99"/>
  <c r="BG30" i="99"/>
  <c r="BH7" i="99"/>
  <c r="BG29" i="99"/>
  <c r="BG11" i="99"/>
  <c r="BF12" i="99"/>
  <c r="BF26" i="99"/>
  <c r="BF24" i="99"/>
  <c r="BF59" i="99"/>
  <c r="BF45" i="99"/>
  <c r="BF56" i="99"/>
  <c r="BF77" i="99"/>
  <c r="BF84" i="99"/>
  <c r="BF93" i="99"/>
  <c r="BF34" i="99"/>
  <c r="BF44" i="99"/>
  <c r="BF48" i="99"/>
  <c r="BF70" i="99"/>
  <c r="BF85" i="99"/>
  <c r="BF72" i="99"/>
  <c r="BF90" i="99"/>
  <c r="BF38" i="99"/>
  <c r="BF47" i="99"/>
  <c r="BF50" i="99"/>
  <c r="BF61" i="99"/>
  <c r="BF64" i="99"/>
  <c r="BF81" i="99"/>
  <c r="BF41" i="97"/>
  <c r="BF49" i="97"/>
  <c r="BF48" i="97"/>
  <c r="BF74" i="97"/>
  <c r="BF77" i="97"/>
  <c r="BF78" i="97"/>
  <c r="BF92" i="97"/>
  <c r="BF58" i="97"/>
  <c r="BF70" i="97"/>
  <c r="BF91" i="97"/>
  <c r="BF89" i="97"/>
  <c r="BG97" i="97"/>
  <c r="BG86" i="97"/>
  <c r="BG93" i="97"/>
  <c r="BG88" i="97"/>
  <c r="BG94" i="97"/>
  <c r="BG79" i="97"/>
  <c r="BG82" i="97"/>
  <c r="BG68" i="97"/>
  <c r="BG80" i="97"/>
  <c r="BG61" i="97"/>
  <c r="BG45" i="97"/>
  <c r="BG60" i="97"/>
  <c r="BG83" i="97"/>
  <c r="BG52" i="97"/>
  <c r="BG44" i="97"/>
  <c r="BG69" i="97"/>
  <c r="BG66" i="97"/>
  <c r="BG53" i="97"/>
  <c r="BG24" i="97"/>
  <c r="BG15" i="97"/>
  <c r="BG28" i="97"/>
  <c r="BG39" i="97"/>
  <c r="BG62" i="97"/>
  <c r="BG22" i="97"/>
  <c r="BG13" i="97"/>
  <c r="BG57" i="97"/>
  <c r="BG20" i="97"/>
  <c r="BG47" i="97"/>
  <c r="BG74" i="97"/>
  <c r="BG34" i="97"/>
  <c r="BG30" i="97"/>
  <c r="BG29" i="97"/>
  <c r="BG37" i="97"/>
  <c r="BG23" i="97"/>
  <c r="BG27" i="97"/>
  <c r="BG17" i="97"/>
  <c r="BG19" i="97"/>
  <c r="BG33" i="97"/>
  <c r="BG8" i="97"/>
  <c r="BG90" i="97" s="1"/>
  <c r="BG25" i="97"/>
  <c r="BH7" i="97"/>
  <c r="BG46" i="97"/>
  <c r="BG18" i="97"/>
  <c r="BG16" i="97"/>
  <c r="BG11" i="97"/>
  <c r="BF24" i="97"/>
  <c r="BF42" i="97"/>
  <c r="BF64" i="97"/>
  <c r="BF73" i="97"/>
  <c r="BF79" i="97"/>
  <c r="BF88" i="97"/>
  <c r="BF97" i="97"/>
  <c r="BF12" i="97"/>
  <c r="BF71" i="97"/>
  <c r="BF82" i="97"/>
  <c r="BF80" i="97"/>
  <c r="BF67" i="97"/>
  <c r="BF96" i="97"/>
  <c r="BF94" i="97"/>
  <c r="BF18" i="97"/>
  <c r="BF20" i="97"/>
  <c r="BF83" i="97"/>
  <c r="BF50" i="97"/>
  <c r="BF68" i="97"/>
  <c r="BF75" i="97"/>
  <c r="BF93" i="97"/>
  <c r="BF28" i="97"/>
  <c r="BF35" i="97"/>
  <c r="BF31" i="97"/>
  <c r="BF59" i="97"/>
  <c r="BF72" i="97"/>
  <c r="BF84" i="97"/>
  <c r="BH64" i="95"/>
  <c r="BH23" i="95"/>
  <c r="BH56" i="95"/>
  <c r="BH44" i="95"/>
  <c r="BH84" i="95"/>
  <c r="BH29" i="95"/>
  <c r="BH49" i="95"/>
  <c r="BH63" i="95"/>
  <c r="BH93" i="95"/>
  <c r="BH34" i="95"/>
  <c r="BH60" i="95"/>
  <c r="BH73" i="95"/>
  <c r="BH78" i="95"/>
  <c r="BH15" i="95"/>
  <c r="BH18" i="95"/>
  <c r="BH74" i="95"/>
  <c r="BH27" i="95"/>
  <c r="BH38" i="95"/>
  <c r="BH77" i="95"/>
  <c r="BH36" i="95"/>
  <c r="BH52" i="95"/>
  <c r="BH69" i="95"/>
  <c r="BH35" i="95"/>
  <c r="BH59" i="95"/>
  <c r="BH33" i="95"/>
  <c r="BH30" i="95"/>
  <c r="BH66" i="95"/>
  <c r="BH14" i="95"/>
  <c r="BH11" i="95"/>
  <c r="BH50" i="95"/>
  <c r="BH55" i="95"/>
  <c r="BH92" i="95"/>
  <c r="BH89" i="95"/>
  <c r="BH25" i="95"/>
  <c r="BH45" i="95"/>
  <c r="BH82" i="95"/>
  <c r="BH79" i="95"/>
  <c r="BH16" i="95"/>
  <c r="BH28" i="95"/>
  <c r="BH31" i="95"/>
  <c r="BH47" i="95"/>
  <c r="BH96" i="95"/>
  <c r="BH80" i="95"/>
  <c r="BH22" i="95"/>
  <c r="BH62" i="95"/>
  <c r="BH39" i="95"/>
  <c r="BH51" i="95"/>
  <c r="BH48" i="95"/>
  <c r="BH70" i="95"/>
  <c r="BH20" i="95"/>
  <c r="BH17" i="95"/>
  <c r="BH26" i="95"/>
  <c r="BH24" i="95"/>
  <c r="BH12" i="95"/>
  <c r="BH90" i="95"/>
  <c r="BH40" i="95"/>
  <c r="BH42" i="95"/>
  <c r="BH61" i="95"/>
  <c r="BH72" i="95"/>
  <c r="BH85" i="95"/>
  <c r="BH83" i="95"/>
  <c r="BH71" i="95"/>
  <c r="BI8" i="95"/>
  <c r="BI97" i="95" s="1"/>
  <c r="BJ7" i="95"/>
  <c r="BH81" i="95"/>
  <c r="BH57" i="95"/>
  <c r="BH19" i="95"/>
  <c r="BH13" i="95"/>
  <c r="BH46" i="95"/>
  <c r="BH67" i="95"/>
  <c r="BH53" i="95"/>
  <c r="BH75" i="95"/>
  <c r="BH41" i="95"/>
  <c r="BH94" i="95"/>
  <c r="BH68" i="95"/>
  <c r="BH88" i="95"/>
  <c r="BH86" i="95"/>
  <c r="BH37" i="95"/>
  <c r="BH58" i="95"/>
  <c r="BH97" i="95"/>
  <c r="BH91" i="95"/>
  <c r="BG60" i="59" l="1"/>
  <c r="BG15" i="59"/>
  <c r="BG72" i="59"/>
  <c r="BG19" i="59"/>
  <c r="BG81" i="59"/>
  <c r="BG51" i="59"/>
  <c r="BG96" i="59"/>
  <c r="BG38" i="59"/>
  <c r="BG53" i="59"/>
  <c r="BI71" i="95"/>
  <c r="BG46" i="59"/>
  <c r="BG30" i="59"/>
  <c r="BG14" i="59"/>
  <c r="BG37" i="59"/>
  <c r="BG44" i="59"/>
  <c r="BG29" i="59"/>
  <c r="BG50" i="59"/>
  <c r="BG69" i="59"/>
  <c r="BG56" i="59"/>
  <c r="BG77" i="59"/>
  <c r="BG88" i="59"/>
  <c r="BG12" i="59"/>
  <c r="BG25" i="59"/>
  <c r="BG18" i="59"/>
  <c r="BG36" i="59"/>
  <c r="BG35" i="59"/>
  <c r="BG48" i="59"/>
  <c r="BG86" i="59"/>
  <c r="BG67" i="59"/>
  <c r="BG94" i="59"/>
  <c r="BG90" i="59"/>
  <c r="BG93" i="59"/>
  <c r="BG17" i="59"/>
  <c r="BG55" i="59"/>
  <c r="BG31" i="59"/>
  <c r="BG45" i="59"/>
  <c r="BG47" i="59"/>
  <c r="BG61" i="59"/>
  <c r="BG58" i="59"/>
  <c r="BG70" i="59"/>
  <c r="BG59" i="59"/>
  <c r="BG95" i="59"/>
  <c r="BH8" i="59"/>
  <c r="BH90" i="59" s="1"/>
  <c r="BH20" i="59"/>
  <c r="BI7" i="59"/>
  <c r="BG34" i="59"/>
  <c r="BG26" i="59"/>
  <c r="BG63" i="59"/>
  <c r="BG13" i="59"/>
  <c r="BG11" i="59"/>
  <c r="BG24" i="59"/>
  <c r="BG83" i="59"/>
  <c r="BG57" i="59"/>
  <c r="BG62" i="59"/>
  <c r="BG74" i="59"/>
  <c r="BG73" i="59"/>
  <c r="BG68" i="59"/>
  <c r="BG92" i="59"/>
  <c r="BG20" i="59"/>
  <c r="BG84" i="59"/>
  <c r="BG39" i="59"/>
  <c r="BG16" i="59"/>
  <c r="BG22" i="59"/>
  <c r="BG40" i="59"/>
  <c r="BG33" i="59"/>
  <c r="BG71" i="59"/>
  <c r="BG64" i="59"/>
  <c r="BG78" i="59"/>
  <c r="BG85" i="59"/>
  <c r="BG82" i="59"/>
  <c r="BG89" i="59"/>
  <c r="BG23" i="59"/>
  <c r="BG80" i="59"/>
  <c r="BG28" i="59"/>
  <c r="BG75" i="59"/>
  <c r="BG27" i="59"/>
  <c r="BG42" i="59"/>
  <c r="BG41" i="59"/>
  <c r="BG49" i="59"/>
  <c r="BG66" i="59"/>
  <c r="BG79" i="59"/>
  <c r="BG52" i="59"/>
  <c r="BG91" i="59"/>
  <c r="BH93" i="113"/>
  <c r="BH96" i="113"/>
  <c r="BH88" i="113"/>
  <c r="BH91" i="113"/>
  <c r="BH78" i="113"/>
  <c r="BH81" i="113"/>
  <c r="BH97" i="113"/>
  <c r="BH82" i="113"/>
  <c r="BH79" i="113"/>
  <c r="BH84" i="113"/>
  <c r="BH71" i="113"/>
  <c r="BH62" i="113"/>
  <c r="BH85" i="113"/>
  <c r="BH59" i="113"/>
  <c r="BH63" i="113"/>
  <c r="BH68" i="113"/>
  <c r="BH60" i="113"/>
  <c r="BH89" i="113"/>
  <c r="BH66" i="113"/>
  <c r="BH64" i="113"/>
  <c r="BH56" i="113"/>
  <c r="BH45" i="113"/>
  <c r="BH52" i="113"/>
  <c r="BH51" i="113"/>
  <c r="BH42" i="113"/>
  <c r="BH57" i="113"/>
  <c r="BH46" i="113"/>
  <c r="BH69" i="113"/>
  <c r="BH73" i="113"/>
  <c r="BH27" i="113"/>
  <c r="BH23" i="113"/>
  <c r="BH38" i="113"/>
  <c r="BH55" i="113"/>
  <c r="BH47" i="113"/>
  <c r="BH33" i="113"/>
  <c r="BH34" i="113"/>
  <c r="BH26" i="113"/>
  <c r="BH22" i="113"/>
  <c r="BH19" i="113"/>
  <c r="BH14" i="113"/>
  <c r="BH25" i="113"/>
  <c r="BH17" i="113"/>
  <c r="BH44" i="113"/>
  <c r="BH11" i="113"/>
  <c r="BI7" i="113"/>
  <c r="BH18" i="113"/>
  <c r="BH37" i="113"/>
  <c r="BH15" i="113"/>
  <c r="BH8" i="113"/>
  <c r="BH92" i="113" s="1"/>
  <c r="BG18" i="113"/>
  <c r="BG60" i="113"/>
  <c r="BG39" i="113"/>
  <c r="BG41" i="113"/>
  <c r="BG68" i="113"/>
  <c r="BG78" i="113"/>
  <c r="BG88" i="113"/>
  <c r="BG97" i="113"/>
  <c r="BG47" i="113"/>
  <c r="BG29" i="113"/>
  <c r="BG28" i="113"/>
  <c r="BG48" i="113"/>
  <c r="BG50" i="113"/>
  <c r="BG73" i="113"/>
  <c r="BG94" i="113"/>
  <c r="BG96" i="113"/>
  <c r="BG22" i="113"/>
  <c r="BG14" i="113"/>
  <c r="BG55" i="113"/>
  <c r="BG37" i="113"/>
  <c r="BG52" i="113"/>
  <c r="BG75" i="113"/>
  <c r="BG79" i="113"/>
  <c r="BG74" i="113"/>
  <c r="BG93" i="113"/>
  <c r="BG12" i="113"/>
  <c r="BG30" i="113"/>
  <c r="BG33" i="113"/>
  <c r="BG38" i="113"/>
  <c r="BG46" i="113"/>
  <c r="BG27" i="113"/>
  <c r="BG63" i="113"/>
  <c r="BG58" i="113"/>
  <c r="BG83" i="113"/>
  <c r="BH26" i="111"/>
  <c r="BI95" i="111"/>
  <c r="BI91" i="111"/>
  <c r="BI85" i="111"/>
  <c r="BI77" i="111"/>
  <c r="BI75" i="111"/>
  <c r="BI69" i="111"/>
  <c r="BI66" i="111"/>
  <c r="BI83" i="111"/>
  <c r="BI59" i="111"/>
  <c r="BI92" i="111"/>
  <c r="BI55" i="111"/>
  <c r="BI63" i="111"/>
  <c r="BI58" i="111"/>
  <c r="BI50" i="111"/>
  <c r="BI57" i="111"/>
  <c r="BI67" i="111"/>
  <c r="BI73" i="111"/>
  <c r="BI36" i="111"/>
  <c r="BI31" i="111"/>
  <c r="BI53" i="111"/>
  <c r="BI46" i="111"/>
  <c r="BI45" i="111"/>
  <c r="BI33" i="111"/>
  <c r="BI27" i="111"/>
  <c r="BI14" i="111"/>
  <c r="BJ7" i="111"/>
  <c r="BI17" i="111"/>
  <c r="BI12" i="111"/>
  <c r="BI16" i="111"/>
  <c r="BI39" i="111"/>
  <c r="BI25" i="111"/>
  <c r="BI19" i="111"/>
  <c r="BI49" i="111"/>
  <c r="BI20" i="111"/>
  <c r="BI13" i="111"/>
  <c r="BI8" i="111"/>
  <c r="BI86" i="111" s="1"/>
  <c r="BI22" i="111"/>
  <c r="BI11" i="111"/>
  <c r="BI18" i="111"/>
  <c r="BI44" i="111"/>
  <c r="BI41" i="111"/>
  <c r="BI68" i="111"/>
  <c r="BH36" i="111"/>
  <c r="BH61" i="111"/>
  <c r="BH52" i="111"/>
  <c r="BH53" i="111"/>
  <c r="BH78" i="111"/>
  <c r="BH57" i="111"/>
  <c r="BH88" i="111"/>
  <c r="BH30" i="111"/>
  <c r="BH14" i="111"/>
  <c r="BH22" i="111"/>
  <c r="BH60" i="111"/>
  <c r="BH38" i="111"/>
  <c r="BH73" i="111"/>
  <c r="BH84" i="111"/>
  <c r="BH83" i="111"/>
  <c r="BH68" i="111"/>
  <c r="BH90" i="111"/>
  <c r="BH15" i="111"/>
  <c r="BH27" i="111"/>
  <c r="BH44" i="111"/>
  <c r="BH19" i="111"/>
  <c r="BH41" i="111"/>
  <c r="BH79" i="111"/>
  <c r="BH89" i="111"/>
  <c r="BH71" i="111"/>
  <c r="BH77" i="111"/>
  <c r="BH86" i="111"/>
  <c r="BH42" i="111"/>
  <c r="BH24" i="111"/>
  <c r="BH67" i="111"/>
  <c r="BH46" i="111"/>
  <c r="BH28" i="111"/>
  <c r="BH45" i="111"/>
  <c r="BH51" i="111"/>
  <c r="BH59" i="111"/>
  <c r="BH70" i="111"/>
  <c r="BH85" i="111"/>
  <c r="BH95" i="111"/>
  <c r="BH13" i="111"/>
  <c r="BH18" i="111"/>
  <c r="BH33" i="111"/>
  <c r="BH29" i="111"/>
  <c r="BH47" i="111"/>
  <c r="BH58" i="111"/>
  <c r="BH55" i="111"/>
  <c r="BH62" i="111"/>
  <c r="BH97" i="111"/>
  <c r="BH82" i="111"/>
  <c r="BG13" i="109"/>
  <c r="BG39" i="109"/>
  <c r="BG25" i="109"/>
  <c r="BG55" i="109"/>
  <c r="BG72" i="109"/>
  <c r="BG57" i="109"/>
  <c r="BG79" i="109"/>
  <c r="BG93" i="109"/>
  <c r="BG19" i="109"/>
  <c r="BG47" i="109"/>
  <c r="BG22" i="109"/>
  <c r="BG44" i="109"/>
  <c r="BG34" i="109"/>
  <c r="BG69" i="109"/>
  <c r="BG45" i="109"/>
  <c r="BG77" i="109"/>
  <c r="BG66" i="109"/>
  <c r="BG90" i="109"/>
  <c r="BG35" i="109"/>
  <c r="BG48" i="109"/>
  <c r="BG70" i="109"/>
  <c r="BG38" i="109"/>
  <c r="BG68" i="109"/>
  <c r="BG24" i="109"/>
  <c r="BG60" i="109"/>
  <c r="BG53" i="109"/>
  <c r="BG83" i="109"/>
  <c r="BG95" i="109"/>
  <c r="BH92" i="109"/>
  <c r="BH90" i="109"/>
  <c r="BH93" i="109"/>
  <c r="BH78" i="109"/>
  <c r="BH86" i="109"/>
  <c r="BH69" i="109"/>
  <c r="BH72" i="109"/>
  <c r="BH85" i="109"/>
  <c r="BH70" i="109"/>
  <c r="BH59" i="109"/>
  <c r="BH60" i="109"/>
  <c r="BH58" i="109"/>
  <c r="BH66" i="109"/>
  <c r="BH53" i="109"/>
  <c r="BH36" i="109"/>
  <c r="BH49" i="109"/>
  <c r="BH39" i="109"/>
  <c r="BH30" i="109"/>
  <c r="BH28" i="109"/>
  <c r="BH50" i="109"/>
  <c r="BH45" i="109"/>
  <c r="BH62" i="109"/>
  <c r="BH33" i="109"/>
  <c r="BH67" i="109"/>
  <c r="BH42" i="109"/>
  <c r="BH23" i="109"/>
  <c r="BH31" i="109"/>
  <c r="BH13" i="109"/>
  <c r="BH16" i="109"/>
  <c r="BH14" i="109"/>
  <c r="BI7" i="109"/>
  <c r="BH8" i="109"/>
  <c r="BH96" i="109" s="1"/>
  <c r="BH29" i="109"/>
  <c r="BG84" i="109"/>
  <c r="BG26" i="109"/>
  <c r="BG37" i="109"/>
  <c r="BG50" i="109"/>
  <c r="BG18" i="109"/>
  <c r="BG33" i="109"/>
  <c r="BG61" i="109"/>
  <c r="BG67" i="109"/>
  <c r="BG80" i="109"/>
  <c r="BG92" i="109"/>
  <c r="BG23" i="109"/>
  <c r="BG12" i="109"/>
  <c r="BG11" i="109"/>
  <c r="BG40" i="109"/>
  <c r="BG51" i="109"/>
  <c r="BG27" i="109"/>
  <c r="BG41" i="109"/>
  <c r="BG62" i="109"/>
  <c r="BG73" i="109"/>
  <c r="BG88" i="109"/>
  <c r="BI95" i="107"/>
  <c r="BI96" i="107"/>
  <c r="BI91" i="107"/>
  <c r="BI97" i="107"/>
  <c r="BI78" i="107"/>
  <c r="BI80" i="107"/>
  <c r="BI81" i="107"/>
  <c r="BI71" i="107"/>
  <c r="BI84" i="107"/>
  <c r="BI51" i="107"/>
  <c r="BI28" i="107"/>
  <c r="BI49" i="107"/>
  <c r="BI31" i="107"/>
  <c r="BI83" i="107"/>
  <c r="BI64" i="107"/>
  <c r="BI61" i="107"/>
  <c r="BI34" i="107"/>
  <c r="BI53" i="107"/>
  <c r="BI42" i="107"/>
  <c r="BI27" i="107"/>
  <c r="BI22" i="107"/>
  <c r="BI39" i="107"/>
  <c r="BI29" i="107"/>
  <c r="BI58" i="107"/>
  <c r="BI41" i="107"/>
  <c r="BI36" i="107"/>
  <c r="BI11" i="107"/>
  <c r="BI30" i="107"/>
  <c r="BJ7" i="107"/>
  <c r="BI15" i="107"/>
  <c r="BI50" i="107"/>
  <c r="BI8" i="107"/>
  <c r="BI86" i="107" s="1"/>
  <c r="BI13" i="107"/>
  <c r="BH20" i="107"/>
  <c r="BH13" i="107"/>
  <c r="BH22" i="107"/>
  <c r="BH55" i="107"/>
  <c r="BH69" i="107"/>
  <c r="BH28" i="107"/>
  <c r="BH57" i="107"/>
  <c r="BH85" i="107"/>
  <c r="BH97" i="107"/>
  <c r="BH95" i="107"/>
  <c r="BH50" i="107"/>
  <c r="BH58" i="107"/>
  <c r="BH70" i="107"/>
  <c r="BH60" i="107"/>
  <c r="BH62" i="107"/>
  <c r="BH37" i="107"/>
  <c r="BH68" i="107"/>
  <c r="BH77" i="107"/>
  <c r="BH94" i="107"/>
  <c r="BH92" i="107"/>
  <c r="BH96" i="107"/>
  <c r="BH16" i="107"/>
  <c r="BH39" i="107"/>
  <c r="BH24" i="107"/>
  <c r="BH38" i="107"/>
  <c r="BH49" i="107"/>
  <c r="BH42" i="107"/>
  <c r="BH80" i="107"/>
  <c r="BH75" i="107"/>
  <c r="BI91" i="105"/>
  <c r="BI94" i="105"/>
  <c r="BI97" i="105"/>
  <c r="BI78" i="105"/>
  <c r="BI55" i="105"/>
  <c r="BI67" i="105"/>
  <c r="BI64" i="105"/>
  <c r="BI56" i="105"/>
  <c r="BI68" i="105"/>
  <c r="BI66" i="105"/>
  <c r="BI57" i="105"/>
  <c r="BI45" i="105"/>
  <c r="BI46" i="105"/>
  <c r="BI49" i="105"/>
  <c r="BI34" i="105"/>
  <c r="BI41" i="105"/>
  <c r="BI31" i="105"/>
  <c r="BI16" i="105"/>
  <c r="BI23" i="105"/>
  <c r="BI14" i="105"/>
  <c r="BJ7" i="105"/>
  <c r="BI33" i="105"/>
  <c r="BI28" i="105"/>
  <c r="BI18" i="105"/>
  <c r="BI8" i="105"/>
  <c r="BI95" i="105" s="1"/>
  <c r="BI40" i="105"/>
  <c r="BI12" i="105"/>
  <c r="BI25" i="105"/>
  <c r="BH20" i="105"/>
  <c r="BH56" i="105"/>
  <c r="BH35" i="105"/>
  <c r="BH26" i="105"/>
  <c r="BH47" i="105"/>
  <c r="BH61" i="105"/>
  <c r="BH77" i="105"/>
  <c r="BH80" i="105"/>
  <c r="BH96" i="105"/>
  <c r="BH46" i="105"/>
  <c r="BH48" i="105"/>
  <c r="BH16" i="105"/>
  <c r="BH28" i="105"/>
  <c r="BH42" i="105"/>
  <c r="BH89" i="105"/>
  <c r="BH75" i="105"/>
  <c r="BH69" i="105"/>
  <c r="BH94" i="105"/>
  <c r="BH90" i="105"/>
  <c r="BH17" i="105"/>
  <c r="BH14" i="105"/>
  <c r="BH62" i="105"/>
  <c r="BH36" i="105"/>
  <c r="BH51" i="105"/>
  <c r="BH55" i="105"/>
  <c r="BH84" i="105"/>
  <c r="BH57" i="105"/>
  <c r="BH73" i="105"/>
  <c r="BH75" i="103"/>
  <c r="BH60" i="103"/>
  <c r="BH70" i="103"/>
  <c r="BH62" i="103"/>
  <c r="BH85" i="103"/>
  <c r="BH95" i="103"/>
  <c r="BI79" i="103"/>
  <c r="BI8" i="103"/>
  <c r="BI93" i="103" s="1"/>
  <c r="BJ7" i="103"/>
  <c r="BH19" i="103"/>
  <c r="BH52" i="103"/>
  <c r="BH45" i="103"/>
  <c r="BH67" i="103"/>
  <c r="BH63" i="103"/>
  <c r="BH71" i="103"/>
  <c r="BH94" i="103"/>
  <c r="BH92" i="103"/>
  <c r="BH35" i="103"/>
  <c r="BH28" i="103"/>
  <c r="BH33" i="103"/>
  <c r="BH53" i="103"/>
  <c r="BH89" i="103"/>
  <c r="BH72" i="103"/>
  <c r="BH84" i="103"/>
  <c r="BH91" i="103"/>
  <c r="BH88" i="103"/>
  <c r="BH42" i="103"/>
  <c r="BH25" i="103"/>
  <c r="BH51" i="103"/>
  <c r="BH56" i="103"/>
  <c r="BH73" i="103"/>
  <c r="BH69" i="103"/>
  <c r="BH83" i="103"/>
  <c r="BG34" i="101"/>
  <c r="BG49" i="101"/>
  <c r="BG62" i="101"/>
  <c r="BG82" i="101"/>
  <c r="BG20" i="101"/>
  <c r="BG24" i="101"/>
  <c r="BG37" i="101"/>
  <c r="BG36" i="101"/>
  <c r="BG40" i="101"/>
  <c r="BG45" i="101"/>
  <c r="BG73" i="101"/>
  <c r="BG61" i="101"/>
  <c r="BG80" i="101"/>
  <c r="BG90" i="101"/>
  <c r="BG19" i="101"/>
  <c r="BG35" i="101"/>
  <c r="BG27" i="101"/>
  <c r="BG44" i="101"/>
  <c r="BG58" i="101"/>
  <c r="BG41" i="101"/>
  <c r="BG59" i="101"/>
  <c r="BG84" i="101"/>
  <c r="BG85" i="101"/>
  <c r="BG95" i="101"/>
  <c r="BG11" i="101"/>
  <c r="BG60" i="101"/>
  <c r="BG30" i="101"/>
  <c r="BG55" i="101"/>
  <c r="BG51" i="101"/>
  <c r="BG50" i="101"/>
  <c r="BG68" i="101"/>
  <c r="BG75" i="101"/>
  <c r="BG91" i="101"/>
  <c r="BG92" i="101"/>
  <c r="BH92" i="101"/>
  <c r="BH86" i="101"/>
  <c r="BH90" i="101"/>
  <c r="BH93" i="101"/>
  <c r="BH96" i="101"/>
  <c r="BH91" i="101"/>
  <c r="BH97" i="101"/>
  <c r="BH80" i="101"/>
  <c r="BH94" i="101"/>
  <c r="BH83" i="101"/>
  <c r="BH78" i="101"/>
  <c r="BH74" i="101"/>
  <c r="BH85" i="101"/>
  <c r="BH82" i="101"/>
  <c r="BH72" i="101"/>
  <c r="BH64" i="101"/>
  <c r="BH56" i="101"/>
  <c r="BH77" i="101"/>
  <c r="BH70" i="101"/>
  <c r="BH62" i="101"/>
  <c r="BH53" i="101"/>
  <c r="BH73" i="101"/>
  <c r="BH66" i="101"/>
  <c r="BH71" i="101"/>
  <c r="BH69" i="101"/>
  <c r="BH45" i="101"/>
  <c r="BH52" i="101"/>
  <c r="BH48" i="101"/>
  <c r="BH51" i="101"/>
  <c r="BH63" i="101"/>
  <c r="BH46" i="101"/>
  <c r="BH55" i="101"/>
  <c r="BH44" i="101"/>
  <c r="BH26" i="101"/>
  <c r="BH58" i="101"/>
  <c r="BH36" i="101"/>
  <c r="BH29" i="101"/>
  <c r="BH33" i="101"/>
  <c r="BH24" i="101"/>
  <c r="BH59" i="101"/>
  <c r="BH79" i="101"/>
  <c r="BH34" i="101"/>
  <c r="BH50" i="101"/>
  <c r="BH28" i="101"/>
  <c r="BH25" i="101"/>
  <c r="BH22" i="101"/>
  <c r="BH30" i="101"/>
  <c r="BH39" i="101"/>
  <c r="BH35" i="101"/>
  <c r="BH31" i="101"/>
  <c r="BH49" i="101"/>
  <c r="BH18" i="101"/>
  <c r="BH14" i="101"/>
  <c r="BH15" i="101"/>
  <c r="BH19" i="101"/>
  <c r="BH8" i="101"/>
  <c r="BH88" i="101" s="1"/>
  <c r="BH20" i="101"/>
  <c r="BH13" i="101"/>
  <c r="BH11" i="101"/>
  <c r="BI7" i="101"/>
  <c r="BH27" i="101"/>
  <c r="BH17" i="101"/>
  <c r="BH12" i="101"/>
  <c r="BG15" i="101"/>
  <c r="BG22" i="101"/>
  <c r="BG63" i="101"/>
  <c r="BG26" i="101"/>
  <c r="BG53" i="101"/>
  <c r="BG56" i="101"/>
  <c r="BG70" i="101"/>
  <c r="BG81" i="101"/>
  <c r="BG94" i="101"/>
  <c r="BG89" i="101"/>
  <c r="BG14" i="101"/>
  <c r="BG33" i="101"/>
  <c r="BG25" i="101"/>
  <c r="BG47" i="101"/>
  <c r="BG46" i="101"/>
  <c r="BG39" i="101"/>
  <c r="BG67" i="101"/>
  <c r="BG64" i="101"/>
  <c r="BG74" i="101"/>
  <c r="BG88" i="101"/>
  <c r="BG97" i="101"/>
  <c r="BG16" i="101"/>
  <c r="BG12" i="101"/>
  <c r="BG18" i="101"/>
  <c r="BG71" i="101"/>
  <c r="BG31" i="101"/>
  <c r="BG48" i="101"/>
  <c r="BG79" i="101"/>
  <c r="BG72" i="101"/>
  <c r="BG78" i="101"/>
  <c r="BG96" i="101"/>
  <c r="BG23" i="101"/>
  <c r="BG38" i="101"/>
  <c r="BG69" i="101"/>
  <c r="BG77" i="101"/>
  <c r="BG13" i="101"/>
  <c r="BG17" i="101"/>
  <c r="BG28" i="101"/>
  <c r="BG29" i="101"/>
  <c r="BG42" i="101"/>
  <c r="BG57" i="101"/>
  <c r="BG66" i="101"/>
  <c r="BG52" i="101"/>
  <c r="BG83" i="101"/>
  <c r="BH97" i="99"/>
  <c r="BH8" i="99"/>
  <c r="BH92" i="99" s="1"/>
  <c r="BI7" i="99"/>
  <c r="BG66" i="99"/>
  <c r="BG46" i="99"/>
  <c r="BG36" i="99"/>
  <c r="BG50" i="99"/>
  <c r="BG71" i="99"/>
  <c r="BG79" i="99"/>
  <c r="BG88" i="99"/>
  <c r="BG97" i="99"/>
  <c r="BG14" i="99"/>
  <c r="BG40" i="99"/>
  <c r="BG17" i="99"/>
  <c r="BG41" i="99"/>
  <c r="BG62" i="99"/>
  <c r="BG48" i="99"/>
  <c r="BG56" i="99"/>
  <c r="BG68" i="99"/>
  <c r="BG75" i="99"/>
  <c r="BG93" i="99"/>
  <c r="BG23" i="99"/>
  <c r="BG22" i="99"/>
  <c r="BG31" i="99"/>
  <c r="BG47" i="99"/>
  <c r="BG83" i="99"/>
  <c r="BG53" i="99"/>
  <c r="BG69" i="99"/>
  <c r="BG77" i="99"/>
  <c r="BG84" i="99"/>
  <c r="BG90" i="99"/>
  <c r="BG13" i="99"/>
  <c r="BG33" i="99"/>
  <c r="BG28" i="99"/>
  <c r="BG24" i="99"/>
  <c r="BG34" i="99"/>
  <c r="BG60" i="99"/>
  <c r="BG52" i="99"/>
  <c r="BG85" i="99"/>
  <c r="BG94" i="99"/>
  <c r="BG86" i="99"/>
  <c r="BG19" i="99"/>
  <c r="BG18" i="99"/>
  <c r="BG25" i="99"/>
  <c r="BG38" i="99"/>
  <c r="BG42" i="99"/>
  <c r="BG57" i="99"/>
  <c r="BG61" i="99"/>
  <c r="BG73" i="99"/>
  <c r="BG72" i="99"/>
  <c r="BG95" i="99"/>
  <c r="BG26" i="99"/>
  <c r="BG15" i="99"/>
  <c r="BG44" i="99"/>
  <c r="BG58" i="99"/>
  <c r="BG39" i="99"/>
  <c r="BG64" i="99"/>
  <c r="BG63" i="99"/>
  <c r="BG82" i="99"/>
  <c r="BG81" i="99"/>
  <c r="BG92" i="99"/>
  <c r="BG37" i="99"/>
  <c r="BG55" i="99"/>
  <c r="BG78" i="99"/>
  <c r="BG74" i="99"/>
  <c r="BG70" i="99"/>
  <c r="BG91" i="99"/>
  <c r="BG78" i="97"/>
  <c r="BG67" i="97"/>
  <c r="BG41" i="97"/>
  <c r="BG85" i="97"/>
  <c r="BG72" i="97"/>
  <c r="BG95" i="97"/>
  <c r="BG14" i="97"/>
  <c r="BG40" i="97"/>
  <c r="BG31" i="97"/>
  <c r="BG56" i="97"/>
  <c r="BG71" i="97"/>
  <c r="BG50" i="97"/>
  <c r="BG64" i="97"/>
  <c r="BG81" i="97"/>
  <c r="BG92" i="97"/>
  <c r="BG49" i="97"/>
  <c r="BG75" i="97"/>
  <c r="BG59" i="97"/>
  <c r="BG73" i="97"/>
  <c r="BG91" i="97"/>
  <c r="BG89" i="97"/>
  <c r="BG38" i="97"/>
  <c r="BG35" i="97"/>
  <c r="BG51" i="97"/>
  <c r="BG58" i="97"/>
  <c r="BG70" i="97"/>
  <c r="BG96" i="97"/>
  <c r="BH92" i="97"/>
  <c r="BH93" i="97"/>
  <c r="BH88" i="97"/>
  <c r="BH94" i="97"/>
  <c r="BH79" i="97"/>
  <c r="BH82" i="97"/>
  <c r="BH64" i="97"/>
  <c r="BH80" i="97"/>
  <c r="BH58" i="97"/>
  <c r="BH69" i="97"/>
  <c r="BH45" i="97"/>
  <c r="BH48" i="97"/>
  <c r="BH46" i="97"/>
  <c r="BH83" i="97"/>
  <c r="BH36" i="97"/>
  <c r="BH57" i="97"/>
  <c r="BH44" i="97"/>
  <c r="BH31" i="97"/>
  <c r="BH18" i="97"/>
  <c r="BH8" i="97"/>
  <c r="BH96" i="97" s="1"/>
  <c r="BH25" i="97"/>
  <c r="BH55" i="97"/>
  <c r="BH51" i="97"/>
  <c r="BH49" i="97"/>
  <c r="BH26" i="97"/>
  <c r="BH17" i="97"/>
  <c r="BH30" i="97"/>
  <c r="BH59" i="97"/>
  <c r="BH11" i="97"/>
  <c r="BH70" i="97"/>
  <c r="BH50" i="97"/>
  <c r="BH19" i="97"/>
  <c r="BH27" i="97"/>
  <c r="BH23" i="97"/>
  <c r="BH52" i="97"/>
  <c r="BH14" i="97"/>
  <c r="BH24" i="97"/>
  <c r="BH22" i="97"/>
  <c r="BH13" i="97"/>
  <c r="BI7" i="97"/>
  <c r="BH35" i="97"/>
  <c r="BH37" i="97"/>
  <c r="BG77" i="97"/>
  <c r="BG12" i="97"/>
  <c r="BG26" i="97"/>
  <c r="BG36" i="97"/>
  <c r="BG42" i="97"/>
  <c r="BG48" i="97"/>
  <c r="BG63" i="97"/>
  <c r="BG55" i="97"/>
  <c r="BG84" i="97"/>
  <c r="BI81" i="95"/>
  <c r="BI36" i="95"/>
  <c r="BI13" i="95"/>
  <c r="BI12" i="95"/>
  <c r="BI90" i="95"/>
  <c r="BI14" i="95"/>
  <c r="BI46" i="95"/>
  <c r="BI20" i="95"/>
  <c r="BI11" i="95"/>
  <c r="BI75" i="95"/>
  <c r="BI23" i="95"/>
  <c r="BI41" i="95"/>
  <c r="BI48" i="95"/>
  <c r="BI73" i="95"/>
  <c r="BI62" i="95"/>
  <c r="BI31" i="95"/>
  <c r="BI93" i="95"/>
  <c r="BI35" i="95"/>
  <c r="BI50" i="95"/>
  <c r="BI82" i="95"/>
  <c r="BI25" i="95"/>
  <c r="BI16" i="95"/>
  <c r="BI45" i="95"/>
  <c r="BI84" i="95"/>
  <c r="BI88" i="95"/>
  <c r="BI28" i="95"/>
  <c r="BI29" i="95"/>
  <c r="BI89" i="95"/>
  <c r="BI85" i="95"/>
  <c r="BI61" i="95"/>
  <c r="BI80" i="95"/>
  <c r="BI44" i="95"/>
  <c r="BI47" i="95"/>
  <c r="BI83" i="95"/>
  <c r="BI38" i="95"/>
  <c r="BI33" i="95"/>
  <c r="BI53" i="95"/>
  <c r="BI40" i="95"/>
  <c r="BI74" i="95"/>
  <c r="BI92" i="95"/>
  <c r="BI39" i="95"/>
  <c r="BI86" i="95"/>
  <c r="BI95" i="95"/>
  <c r="BI17" i="95"/>
  <c r="BI66" i="95"/>
  <c r="BI27" i="95"/>
  <c r="BI37" i="95"/>
  <c r="BI26" i="95"/>
  <c r="BI22" i="95"/>
  <c r="BI30" i="95"/>
  <c r="BI52" i="95"/>
  <c r="BI51" i="95"/>
  <c r="BI60" i="95"/>
  <c r="BI69" i="95"/>
  <c r="BI68" i="95"/>
  <c r="BI72" i="95"/>
  <c r="BI77" i="95"/>
  <c r="BI79" i="95"/>
  <c r="BI78" i="95"/>
  <c r="BI91" i="95"/>
  <c r="BI94" i="95"/>
  <c r="BJ8" i="95"/>
  <c r="BJ93" i="95" s="1"/>
  <c r="BK7" i="95"/>
  <c r="BJ14" i="95"/>
  <c r="BI63" i="95"/>
  <c r="BI42" i="95"/>
  <c r="BI55" i="95"/>
  <c r="BI58" i="95"/>
  <c r="BI96" i="95"/>
  <c r="BI18" i="95"/>
  <c r="BI15" i="95"/>
  <c r="BI34" i="95"/>
  <c r="BI19" i="95"/>
  <c r="BI24" i="95"/>
  <c r="BI56" i="95"/>
  <c r="BI49" i="95"/>
  <c r="BI59" i="95"/>
  <c r="BI57" i="95"/>
  <c r="BI67" i="95"/>
  <c r="BI64" i="95"/>
  <c r="BI70" i="95"/>
  <c r="BH11" i="59" l="1"/>
  <c r="BH14" i="59"/>
  <c r="BH31" i="59"/>
  <c r="BH29" i="59"/>
  <c r="BH58" i="59"/>
  <c r="BH70" i="59"/>
  <c r="BH97" i="59"/>
  <c r="BH45" i="59"/>
  <c r="BH35" i="59"/>
  <c r="BH25" i="59"/>
  <c r="BH24" i="59"/>
  <c r="BH69" i="59"/>
  <c r="BH74" i="59"/>
  <c r="BH83" i="59"/>
  <c r="BH91" i="59"/>
  <c r="BH47" i="59"/>
  <c r="BH66" i="59"/>
  <c r="BH73" i="59"/>
  <c r="BH86" i="59"/>
  <c r="BH17" i="59"/>
  <c r="BH61" i="59"/>
  <c r="BH23" i="59"/>
  <c r="BH40" i="59"/>
  <c r="BH49" i="59"/>
  <c r="BH55" i="59"/>
  <c r="BH62" i="59"/>
  <c r="BH88" i="59"/>
  <c r="BH12" i="59"/>
  <c r="BH38" i="59"/>
  <c r="BH30" i="59"/>
  <c r="BH13" i="59"/>
  <c r="BH39" i="59"/>
  <c r="BH48" i="59"/>
  <c r="BH53" i="59"/>
  <c r="BH60" i="59"/>
  <c r="BH78" i="59"/>
  <c r="BH95" i="59"/>
  <c r="BH16" i="59"/>
  <c r="BH22" i="59"/>
  <c r="BH33" i="59"/>
  <c r="BH68" i="59"/>
  <c r="BH63" i="59"/>
  <c r="BH81" i="59"/>
  <c r="BH92" i="59"/>
  <c r="BH64" i="59"/>
  <c r="BH34" i="59"/>
  <c r="BH28" i="59"/>
  <c r="BH15" i="59"/>
  <c r="BH41" i="59"/>
  <c r="BH50" i="59"/>
  <c r="BH72" i="59"/>
  <c r="BH67" i="59"/>
  <c r="BH71" i="59"/>
  <c r="BH94" i="59"/>
  <c r="BJ7" i="59"/>
  <c r="BI8" i="59"/>
  <c r="BI94" i="59" s="1"/>
  <c r="BH19" i="59"/>
  <c r="BH37" i="59"/>
  <c r="BH44" i="59"/>
  <c r="BH51" i="59"/>
  <c r="BH46" i="59"/>
  <c r="BH75" i="59"/>
  <c r="BH79" i="59"/>
  <c r="BH84" i="59"/>
  <c r="BH96" i="59"/>
  <c r="BH18" i="59"/>
  <c r="BH27" i="59"/>
  <c r="BH59" i="59"/>
  <c r="BH42" i="59"/>
  <c r="BH89" i="59"/>
  <c r="BH80" i="59"/>
  <c r="BH77" i="59"/>
  <c r="BH93" i="59"/>
  <c r="BH26" i="59"/>
  <c r="BH36" i="59"/>
  <c r="BH57" i="59"/>
  <c r="BH52" i="59"/>
  <c r="BH56" i="59"/>
  <c r="BH82" i="59"/>
  <c r="BH85" i="59"/>
  <c r="BI96" i="113"/>
  <c r="BI88" i="113"/>
  <c r="BI91" i="113"/>
  <c r="BI94" i="113"/>
  <c r="BI81" i="113"/>
  <c r="BI84" i="113"/>
  <c r="BI97" i="113"/>
  <c r="BI82" i="113"/>
  <c r="BI57" i="113"/>
  <c r="BI89" i="113"/>
  <c r="BI85" i="113"/>
  <c r="BI80" i="113"/>
  <c r="BI55" i="113"/>
  <c r="BI68" i="113"/>
  <c r="BI60" i="113"/>
  <c r="BI73" i="113"/>
  <c r="BI52" i="113"/>
  <c r="BI48" i="113"/>
  <c r="BI39" i="113"/>
  <c r="BI58" i="113"/>
  <c r="BI46" i="113"/>
  <c r="BI37" i="113"/>
  <c r="BI69" i="113"/>
  <c r="BI59" i="113"/>
  <c r="BI35" i="113"/>
  <c r="BI26" i="113"/>
  <c r="BI38" i="113"/>
  <c r="BI31" i="113"/>
  <c r="BI28" i="113"/>
  <c r="BI47" i="113"/>
  <c r="BI33" i="113"/>
  <c r="BI24" i="113"/>
  <c r="BI40" i="113"/>
  <c r="BI29" i="113"/>
  <c r="BI19" i="113"/>
  <c r="BI14" i="113"/>
  <c r="BI27" i="113"/>
  <c r="BI17" i="113"/>
  <c r="BI20" i="113"/>
  <c r="BI12" i="113"/>
  <c r="BI23" i="113"/>
  <c r="BI18" i="113"/>
  <c r="BI16" i="113"/>
  <c r="BI13" i="113"/>
  <c r="BI11" i="113"/>
  <c r="BJ7" i="113"/>
  <c r="BI15" i="113"/>
  <c r="BI8" i="113"/>
  <c r="BI95" i="113" s="1"/>
  <c r="BH94" i="113"/>
  <c r="BH90" i="113"/>
  <c r="BH13" i="113"/>
  <c r="BH41" i="113"/>
  <c r="BH20" i="113"/>
  <c r="BH31" i="113"/>
  <c r="BH30" i="113"/>
  <c r="BH72" i="113"/>
  <c r="BH67" i="113"/>
  <c r="BH61" i="113"/>
  <c r="BH74" i="113"/>
  <c r="BH86" i="113"/>
  <c r="BH16" i="113"/>
  <c r="BH24" i="113"/>
  <c r="BH28" i="113"/>
  <c r="BH40" i="113"/>
  <c r="BH39" i="113"/>
  <c r="BH50" i="113"/>
  <c r="BH53" i="113"/>
  <c r="BH70" i="113"/>
  <c r="BH83" i="113"/>
  <c r="BH95" i="113"/>
  <c r="BH12" i="113"/>
  <c r="BH29" i="113"/>
  <c r="BH35" i="113"/>
  <c r="BH36" i="113"/>
  <c r="BH49" i="113"/>
  <c r="BH48" i="113"/>
  <c r="BH75" i="113"/>
  <c r="BH58" i="113"/>
  <c r="BH77" i="113"/>
  <c r="BH80" i="113"/>
  <c r="BI30" i="111"/>
  <c r="BI24" i="111"/>
  <c r="BI23" i="111"/>
  <c r="BI89" i="111"/>
  <c r="BI64" i="111"/>
  <c r="BI62" i="111"/>
  <c r="BI72" i="111"/>
  <c r="BI94" i="111"/>
  <c r="BI79" i="111"/>
  <c r="BI97" i="111"/>
  <c r="BI78" i="111"/>
  <c r="BI96" i="111"/>
  <c r="BI15" i="111"/>
  <c r="BI28" i="111"/>
  <c r="BI40" i="111"/>
  <c r="BI61" i="111"/>
  <c r="BI37" i="111"/>
  <c r="BI52" i="111"/>
  <c r="BI81" i="111"/>
  <c r="BI42" i="111"/>
  <c r="BI71" i="111"/>
  <c r="BI93" i="111"/>
  <c r="BI34" i="111"/>
  <c r="BI29" i="111"/>
  <c r="BI47" i="111"/>
  <c r="BI74" i="111"/>
  <c r="BI38" i="111"/>
  <c r="BI70" i="111"/>
  <c r="BI82" i="111"/>
  <c r="BI51" i="111"/>
  <c r="BI80" i="111"/>
  <c r="BI90" i="111"/>
  <c r="BI35" i="111"/>
  <c r="BJ96" i="111"/>
  <c r="BJ89" i="111"/>
  <c r="BJ86" i="111"/>
  <c r="BJ74" i="111"/>
  <c r="BJ63" i="111"/>
  <c r="BJ55" i="111"/>
  <c r="BJ91" i="111"/>
  <c r="BJ92" i="111"/>
  <c r="BJ84" i="111"/>
  <c r="BJ79" i="111"/>
  <c r="BJ73" i="111"/>
  <c r="BJ67" i="111"/>
  <c r="BJ58" i="111"/>
  <c r="BJ45" i="111"/>
  <c r="BJ41" i="111"/>
  <c r="BJ70" i="111"/>
  <c r="BJ47" i="111"/>
  <c r="BJ68" i="111"/>
  <c r="BJ48" i="111"/>
  <c r="BJ44" i="111"/>
  <c r="BJ40" i="111"/>
  <c r="BJ17" i="111"/>
  <c r="BJ36" i="111"/>
  <c r="BJ33" i="111"/>
  <c r="BJ28" i="111"/>
  <c r="BJ30" i="111"/>
  <c r="BJ52" i="111"/>
  <c r="BJ16" i="111"/>
  <c r="BJ8" i="111"/>
  <c r="BJ90" i="111" s="1"/>
  <c r="BK7" i="111"/>
  <c r="BJ50" i="111"/>
  <c r="BJ14" i="111"/>
  <c r="BI26" i="111"/>
  <c r="BI56" i="111"/>
  <c r="BI48" i="111"/>
  <c r="BI84" i="111"/>
  <c r="BI60" i="111"/>
  <c r="BI88" i="111"/>
  <c r="BH40" i="109"/>
  <c r="BH15" i="109"/>
  <c r="BH26" i="109"/>
  <c r="BH41" i="109"/>
  <c r="BH19" i="109"/>
  <c r="BH46" i="109"/>
  <c r="BH55" i="109"/>
  <c r="BH63" i="109"/>
  <c r="BH94" i="109"/>
  <c r="BH89" i="109"/>
  <c r="BH95" i="109"/>
  <c r="BH47" i="109"/>
  <c r="BH51" i="109"/>
  <c r="BH35" i="109"/>
  <c r="BH37" i="109"/>
  <c r="BH64" i="109"/>
  <c r="BH48" i="109"/>
  <c r="BH68" i="109"/>
  <c r="BH74" i="109"/>
  <c r="BH83" i="109"/>
  <c r="BI95" i="109"/>
  <c r="BI86" i="109"/>
  <c r="BI93" i="109"/>
  <c r="BI78" i="109"/>
  <c r="BI94" i="109"/>
  <c r="BI89" i="109"/>
  <c r="BI81" i="109"/>
  <c r="BI63" i="109"/>
  <c r="BI97" i="109"/>
  <c r="BI75" i="109"/>
  <c r="BI82" i="109"/>
  <c r="BI62" i="109"/>
  <c r="BI60" i="109"/>
  <c r="BI77" i="109"/>
  <c r="BI68" i="109"/>
  <c r="BI59" i="109"/>
  <c r="BI85" i="109"/>
  <c r="BI70" i="109"/>
  <c r="BI64" i="109"/>
  <c r="BI53" i="109"/>
  <c r="BI51" i="109"/>
  <c r="BI52" i="109"/>
  <c r="BI49" i="109"/>
  <c r="BI30" i="109"/>
  <c r="BI22" i="109"/>
  <c r="BI13" i="109"/>
  <c r="BI56" i="109"/>
  <c r="BI42" i="109"/>
  <c r="BI34" i="109"/>
  <c r="BI74" i="109"/>
  <c r="BI50" i="109"/>
  <c r="BI47" i="109"/>
  <c r="BI40" i="109"/>
  <c r="BI31" i="109"/>
  <c r="BI23" i="109"/>
  <c r="BI61" i="109"/>
  <c r="BI55" i="109"/>
  <c r="BI44" i="109"/>
  <c r="BI29" i="109"/>
  <c r="BI35" i="109"/>
  <c r="BI26" i="109"/>
  <c r="BI41" i="109"/>
  <c r="BI38" i="109"/>
  <c r="BI33" i="109"/>
  <c r="BI28" i="109"/>
  <c r="BI58" i="109"/>
  <c r="BI18" i="109"/>
  <c r="BI8" i="109"/>
  <c r="BI96" i="109" s="1"/>
  <c r="BI11" i="109"/>
  <c r="BI24" i="109"/>
  <c r="BI20" i="109"/>
  <c r="BI37" i="109"/>
  <c r="BI27" i="109"/>
  <c r="BI19" i="109"/>
  <c r="BJ7" i="109"/>
  <c r="BI57" i="109"/>
  <c r="BI17" i="109"/>
  <c r="BI15" i="109"/>
  <c r="BI36" i="109"/>
  <c r="BI45" i="109"/>
  <c r="BH12" i="109"/>
  <c r="BH75" i="109"/>
  <c r="BH44" i="109"/>
  <c r="BH61" i="109"/>
  <c r="BH73" i="109"/>
  <c r="BH56" i="109"/>
  <c r="BH57" i="109"/>
  <c r="BH80" i="109"/>
  <c r="BH97" i="109"/>
  <c r="BH81" i="109"/>
  <c r="BH25" i="109"/>
  <c r="BH11" i="109"/>
  <c r="BH34" i="109"/>
  <c r="BH79" i="109"/>
  <c r="BH18" i="109"/>
  <c r="BH71" i="109"/>
  <c r="BH77" i="109"/>
  <c r="BH84" i="109"/>
  <c r="BH88" i="109"/>
  <c r="BH24" i="109"/>
  <c r="BH20" i="109"/>
  <c r="BH17" i="109"/>
  <c r="BH38" i="109"/>
  <c r="BH22" i="109"/>
  <c r="BH27" i="109"/>
  <c r="BH52" i="109"/>
  <c r="BH82" i="109"/>
  <c r="BH91" i="109"/>
  <c r="BI44" i="107"/>
  <c r="BI55" i="107"/>
  <c r="BI48" i="107"/>
  <c r="BI35" i="107"/>
  <c r="BI63" i="107"/>
  <c r="BI40" i="107"/>
  <c r="BI57" i="107"/>
  <c r="BI67" i="107"/>
  <c r="BI94" i="107"/>
  <c r="BI23" i="107"/>
  <c r="BI24" i="107"/>
  <c r="BI19" i="107"/>
  <c r="BI18" i="107"/>
  <c r="BI56" i="107"/>
  <c r="BI75" i="107"/>
  <c r="BI74" i="107"/>
  <c r="BI68" i="107"/>
  <c r="BI92" i="107"/>
  <c r="BI88" i="107"/>
  <c r="BI20" i="107"/>
  <c r="BI69" i="107"/>
  <c r="BI33" i="107"/>
  <c r="BI45" i="107"/>
  <c r="BI38" i="107"/>
  <c r="BI52" i="107"/>
  <c r="BI37" i="107"/>
  <c r="BI72" i="107"/>
  <c r="BI77" i="107"/>
  <c r="BI93" i="107"/>
  <c r="BJ93" i="107"/>
  <c r="BJ88" i="107"/>
  <c r="BJ89" i="107"/>
  <c r="BJ95" i="107"/>
  <c r="BJ81" i="107"/>
  <c r="BJ85" i="107"/>
  <c r="BJ77" i="107"/>
  <c r="BJ68" i="107"/>
  <c r="BJ62" i="107"/>
  <c r="BJ74" i="107"/>
  <c r="BJ49" i="107"/>
  <c r="BJ52" i="107"/>
  <c r="BJ35" i="107"/>
  <c r="BJ67" i="107"/>
  <c r="BJ58" i="107"/>
  <c r="BJ47" i="107"/>
  <c r="BJ78" i="107"/>
  <c r="BJ51" i="107"/>
  <c r="BJ59" i="107"/>
  <c r="BJ39" i="107"/>
  <c r="BJ37" i="107"/>
  <c r="BJ22" i="107"/>
  <c r="BJ25" i="107"/>
  <c r="BJ19" i="107"/>
  <c r="BJ23" i="107"/>
  <c r="BJ20" i="107"/>
  <c r="BJ14" i="107"/>
  <c r="BK7" i="107"/>
  <c r="BJ26" i="107"/>
  <c r="BJ8" i="107"/>
  <c r="BJ91" i="107" s="1"/>
  <c r="BJ13" i="107"/>
  <c r="BJ18" i="107"/>
  <c r="BJ15" i="107"/>
  <c r="BJ27" i="107"/>
  <c r="BI17" i="107"/>
  <c r="BI16" i="107"/>
  <c r="BI59" i="107"/>
  <c r="BI47" i="107"/>
  <c r="BI62" i="107"/>
  <c r="BI46" i="107"/>
  <c r="BI82" i="107"/>
  <c r="BI85" i="107"/>
  <c r="BI90" i="107"/>
  <c r="BI12" i="107"/>
  <c r="BI14" i="107"/>
  <c r="BI26" i="107"/>
  <c r="BI25" i="107"/>
  <c r="BI70" i="107"/>
  <c r="BI60" i="107"/>
  <c r="BI66" i="107"/>
  <c r="BI79" i="107"/>
  <c r="BI73" i="107"/>
  <c r="BI89" i="107"/>
  <c r="BI63" i="105"/>
  <c r="BI83" i="105"/>
  <c r="BI88" i="105"/>
  <c r="BI37" i="105"/>
  <c r="BI44" i="105"/>
  <c r="BI26" i="105"/>
  <c r="BI47" i="105"/>
  <c r="BI52" i="105"/>
  <c r="BI50" i="105"/>
  <c r="BI79" i="105"/>
  <c r="BI74" i="105"/>
  <c r="BI77" i="105"/>
  <c r="BI96" i="105"/>
  <c r="BI15" i="105"/>
  <c r="BI11" i="105"/>
  <c r="BI71" i="105"/>
  <c r="BI39" i="105"/>
  <c r="BI53" i="105"/>
  <c r="BI61" i="105"/>
  <c r="BI60" i="105"/>
  <c r="BI85" i="105"/>
  <c r="BI93" i="105"/>
  <c r="BI22" i="105"/>
  <c r="BI24" i="105"/>
  <c r="BI19" i="105"/>
  <c r="BI27" i="105"/>
  <c r="BI48" i="105"/>
  <c r="BI59" i="105"/>
  <c r="BI70" i="105"/>
  <c r="BI69" i="105"/>
  <c r="BI92" i="105"/>
  <c r="BI90" i="105"/>
  <c r="BI51" i="105"/>
  <c r="BI35" i="105"/>
  <c r="BI38" i="105"/>
  <c r="BI30" i="105"/>
  <c r="BI58" i="105"/>
  <c r="BI62" i="105"/>
  <c r="BI89" i="105"/>
  <c r="BI75" i="105"/>
  <c r="BI72" i="105"/>
  <c r="BI73" i="105"/>
  <c r="BI86" i="105"/>
  <c r="BJ88" i="105"/>
  <c r="BJ80" i="105"/>
  <c r="BJ82" i="105"/>
  <c r="BJ56" i="105"/>
  <c r="BJ72" i="105"/>
  <c r="BJ49" i="105"/>
  <c r="BJ44" i="105"/>
  <c r="BJ47" i="105"/>
  <c r="BJ41" i="105"/>
  <c r="BJ26" i="105"/>
  <c r="BJ23" i="105"/>
  <c r="BK7" i="105"/>
  <c r="BJ17" i="105"/>
  <c r="BJ46" i="105"/>
  <c r="BJ8" i="105"/>
  <c r="BJ94" i="105" s="1"/>
  <c r="BJ22" i="105"/>
  <c r="BJ71" i="105"/>
  <c r="BJ13" i="105"/>
  <c r="BJ15" i="105"/>
  <c r="BI13" i="105"/>
  <c r="BI20" i="105"/>
  <c r="BI17" i="105"/>
  <c r="BI42" i="105"/>
  <c r="BI29" i="105"/>
  <c r="BI36" i="105"/>
  <c r="BI80" i="105"/>
  <c r="BI84" i="105"/>
  <c r="BI81" i="105"/>
  <c r="BI82" i="105"/>
  <c r="BI14" i="103"/>
  <c r="BI70" i="103"/>
  <c r="BI16" i="103"/>
  <c r="BI26" i="103"/>
  <c r="BI12" i="103"/>
  <c r="BI31" i="103"/>
  <c r="BI36" i="103"/>
  <c r="BI60" i="103"/>
  <c r="BI59" i="103"/>
  <c r="BI86" i="103"/>
  <c r="BI77" i="103"/>
  <c r="BI92" i="103"/>
  <c r="BI90" i="103"/>
  <c r="BI95" i="103"/>
  <c r="BJ90" i="103"/>
  <c r="BJ92" i="103"/>
  <c r="BJ60" i="103"/>
  <c r="BJ71" i="103"/>
  <c r="BJ62" i="103"/>
  <c r="BJ42" i="103"/>
  <c r="BJ50" i="103"/>
  <c r="BJ39" i="103"/>
  <c r="BJ17" i="103"/>
  <c r="BJ8" i="103"/>
  <c r="BJ96" i="103" s="1"/>
  <c r="BJ25" i="103"/>
  <c r="BJ11" i="103"/>
  <c r="BJ16" i="103"/>
  <c r="BK7" i="103"/>
  <c r="BJ27" i="103"/>
  <c r="BI22" i="103"/>
  <c r="BI27" i="103"/>
  <c r="BI40" i="103"/>
  <c r="BI52" i="103"/>
  <c r="BI53" i="103"/>
  <c r="BI64" i="103"/>
  <c r="BI63" i="103"/>
  <c r="BI75" i="103"/>
  <c r="BI97" i="103"/>
  <c r="BI11" i="103"/>
  <c r="BI24" i="103"/>
  <c r="BI35" i="103"/>
  <c r="BI44" i="103"/>
  <c r="BI46" i="103"/>
  <c r="BI41" i="103"/>
  <c r="BI69" i="103"/>
  <c r="BI72" i="103"/>
  <c r="BI84" i="103"/>
  <c r="BI94" i="103"/>
  <c r="BI67" i="103"/>
  <c r="BI25" i="103"/>
  <c r="BI15" i="103"/>
  <c r="BI20" i="103"/>
  <c r="BI62" i="103"/>
  <c r="BI51" i="103"/>
  <c r="BI50" i="103"/>
  <c r="BI68" i="103"/>
  <c r="BI82" i="103"/>
  <c r="BI81" i="103"/>
  <c r="BI91" i="103"/>
  <c r="BI89" i="103"/>
  <c r="BI30" i="103"/>
  <c r="BI17" i="103"/>
  <c r="BI29" i="103"/>
  <c r="BI42" i="103"/>
  <c r="BI39" i="103"/>
  <c r="BI58" i="103"/>
  <c r="BI71" i="103"/>
  <c r="BI57" i="103"/>
  <c r="BI78" i="103"/>
  <c r="BI88" i="103"/>
  <c r="BI38" i="103"/>
  <c r="BI45" i="103"/>
  <c r="BI13" i="103"/>
  <c r="BI19" i="103"/>
  <c r="BI49" i="103"/>
  <c r="BI47" i="103"/>
  <c r="BI48" i="103"/>
  <c r="BI61" i="103"/>
  <c r="BI73" i="103"/>
  <c r="BI66" i="103"/>
  <c r="BI83" i="103"/>
  <c r="BI96" i="103"/>
  <c r="BI28" i="103"/>
  <c r="BI37" i="103"/>
  <c r="BI18" i="103"/>
  <c r="BI33" i="103"/>
  <c r="BI23" i="103"/>
  <c r="BI34" i="103"/>
  <c r="BI55" i="103"/>
  <c r="BI56" i="103"/>
  <c r="BI85" i="103"/>
  <c r="BI74" i="103"/>
  <c r="BI80" i="103"/>
  <c r="BI78" i="101"/>
  <c r="BI89" i="101"/>
  <c r="BI46" i="101"/>
  <c r="BI8" i="101"/>
  <c r="BI95" i="101" s="1"/>
  <c r="BJ7" i="101"/>
  <c r="BI14" i="101"/>
  <c r="BH41" i="101"/>
  <c r="BH37" i="101"/>
  <c r="BH47" i="101"/>
  <c r="BH60" i="101"/>
  <c r="BH61" i="101"/>
  <c r="BH68" i="101"/>
  <c r="BH75" i="101"/>
  <c r="BH89" i="101"/>
  <c r="BH95" i="101"/>
  <c r="BH16" i="101"/>
  <c r="BH23" i="101"/>
  <c r="BH67" i="101"/>
  <c r="BH40" i="101"/>
  <c r="BH38" i="101"/>
  <c r="BH42" i="101"/>
  <c r="BH57" i="101"/>
  <c r="BH84" i="101"/>
  <c r="BH81" i="101"/>
  <c r="BH36" i="99"/>
  <c r="BI88" i="99"/>
  <c r="BI94" i="99"/>
  <c r="BI70" i="99"/>
  <c r="BI82" i="99"/>
  <c r="BI64" i="99"/>
  <c r="BI71" i="99"/>
  <c r="BI83" i="99"/>
  <c r="BI66" i="99"/>
  <c r="BI75" i="99"/>
  <c r="BI62" i="99"/>
  <c r="BI57" i="99"/>
  <c r="BI81" i="99"/>
  <c r="BI61" i="99"/>
  <c r="BI51" i="99"/>
  <c r="BI46" i="99"/>
  <c r="BI56" i="99"/>
  <c r="BI48" i="99"/>
  <c r="BI45" i="99"/>
  <c r="BI47" i="99"/>
  <c r="BI41" i="99"/>
  <c r="BI53" i="99"/>
  <c r="BI25" i="99"/>
  <c r="BI58" i="99"/>
  <c r="BI31" i="99"/>
  <c r="BI52" i="99"/>
  <c r="BI27" i="99"/>
  <c r="BI20" i="99"/>
  <c r="BI15" i="99"/>
  <c r="BI37" i="99"/>
  <c r="BI8" i="99"/>
  <c r="BI95" i="99" s="1"/>
  <c r="BI29" i="99"/>
  <c r="BI13" i="99"/>
  <c r="BI16" i="99"/>
  <c r="BI49" i="99"/>
  <c r="BI39" i="99"/>
  <c r="BJ7" i="99"/>
  <c r="BI38" i="99"/>
  <c r="BI34" i="99"/>
  <c r="BI24" i="99"/>
  <c r="BI23" i="99"/>
  <c r="BI17" i="99"/>
  <c r="BH13" i="99"/>
  <c r="BH33" i="99"/>
  <c r="BH35" i="99"/>
  <c r="BH68" i="99"/>
  <c r="BH51" i="99"/>
  <c r="BH53" i="99"/>
  <c r="BH74" i="99"/>
  <c r="BH82" i="99"/>
  <c r="BH91" i="99"/>
  <c r="BH88" i="99"/>
  <c r="BH14" i="99"/>
  <c r="BH18" i="99"/>
  <c r="BH31" i="99"/>
  <c r="BH27" i="99"/>
  <c r="BH81" i="99"/>
  <c r="BH63" i="99"/>
  <c r="BH78" i="99"/>
  <c r="BH71" i="99"/>
  <c r="BH70" i="99"/>
  <c r="BH96" i="99"/>
  <c r="BH26" i="99"/>
  <c r="BH44" i="99"/>
  <c r="BH45" i="99"/>
  <c r="BH34" i="99"/>
  <c r="BH89" i="99"/>
  <c r="BH42" i="99"/>
  <c r="BH59" i="99"/>
  <c r="BH80" i="99"/>
  <c r="BH79" i="99"/>
  <c r="BH93" i="99"/>
  <c r="BH61" i="99"/>
  <c r="BH11" i="99"/>
  <c r="BH15" i="99"/>
  <c r="BH28" i="99"/>
  <c r="BH38" i="99"/>
  <c r="BH40" i="99"/>
  <c r="BH39" i="99"/>
  <c r="BH47" i="99"/>
  <c r="BH77" i="99"/>
  <c r="BH67" i="99"/>
  <c r="BH90" i="99"/>
  <c r="BH83" i="99"/>
  <c r="BH23" i="99"/>
  <c r="BH20" i="99"/>
  <c r="BH58" i="99"/>
  <c r="BH41" i="99"/>
  <c r="BH57" i="99"/>
  <c r="BH50" i="99"/>
  <c r="BH56" i="99"/>
  <c r="BH85" i="99"/>
  <c r="BH75" i="99"/>
  <c r="BH86" i="99"/>
  <c r="BH62" i="99"/>
  <c r="BH19" i="99"/>
  <c r="BH25" i="99"/>
  <c r="BH12" i="99"/>
  <c r="BH22" i="99"/>
  <c r="BH49" i="99"/>
  <c r="BH37" i="99"/>
  <c r="BH55" i="99"/>
  <c r="BH69" i="99"/>
  <c r="BH64" i="99"/>
  <c r="BH84" i="99"/>
  <c r="BH95" i="99"/>
  <c r="BH16" i="99"/>
  <c r="BH48" i="99"/>
  <c r="BH72" i="99"/>
  <c r="BH17" i="99"/>
  <c r="BH29" i="99"/>
  <c r="BH24" i="99"/>
  <c r="BH30" i="99"/>
  <c r="BH52" i="99"/>
  <c r="BH46" i="99"/>
  <c r="BH60" i="99"/>
  <c r="BH66" i="99"/>
  <c r="BH73" i="99"/>
  <c r="BH94" i="99"/>
  <c r="BH33" i="97"/>
  <c r="BH53" i="97"/>
  <c r="BH29" i="97"/>
  <c r="BH74" i="97"/>
  <c r="BH68" i="97"/>
  <c r="BH67" i="97"/>
  <c r="BH90" i="97"/>
  <c r="BH12" i="97"/>
  <c r="BH63" i="97"/>
  <c r="BH47" i="97"/>
  <c r="BH62" i="97"/>
  <c r="BH60" i="97"/>
  <c r="BH38" i="97"/>
  <c r="BH81" i="97"/>
  <c r="BH77" i="97"/>
  <c r="BH75" i="97"/>
  <c r="BH86" i="97"/>
  <c r="BH39" i="97"/>
  <c r="BH42" i="97"/>
  <c r="BH56" i="97"/>
  <c r="BH85" i="97"/>
  <c r="BH84" i="97"/>
  <c r="BH95" i="97"/>
  <c r="BI95" i="97"/>
  <c r="BI88" i="97"/>
  <c r="BI91" i="97"/>
  <c r="BI94" i="97"/>
  <c r="BI97" i="97"/>
  <c r="BI82" i="97"/>
  <c r="BI85" i="97"/>
  <c r="BI77" i="97"/>
  <c r="BI68" i="97"/>
  <c r="BI69" i="97"/>
  <c r="BI56" i="97"/>
  <c r="BI81" i="97"/>
  <c r="BI74" i="97"/>
  <c r="BI78" i="97"/>
  <c r="BI63" i="97"/>
  <c r="BI60" i="97"/>
  <c r="BI51" i="97"/>
  <c r="BI83" i="97"/>
  <c r="BI49" i="97"/>
  <c r="BI33" i="97"/>
  <c r="BI45" i="97"/>
  <c r="BI39" i="97"/>
  <c r="BI62" i="97"/>
  <c r="BI44" i="97"/>
  <c r="BI38" i="97"/>
  <c r="BI75" i="97"/>
  <c r="BI67" i="97"/>
  <c r="BI36" i="97"/>
  <c r="BI25" i="97"/>
  <c r="BI37" i="97"/>
  <c r="BI29" i="97"/>
  <c r="BI19" i="97"/>
  <c r="BI11" i="97"/>
  <c r="BI26" i="97"/>
  <c r="BI31" i="97"/>
  <c r="BI30" i="97"/>
  <c r="BI14" i="97"/>
  <c r="BI58" i="97"/>
  <c r="BI23" i="97"/>
  <c r="BI52" i="97"/>
  <c r="BI28" i="97"/>
  <c r="BI27" i="97"/>
  <c r="BI24" i="97"/>
  <c r="BJ7" i="97"/>
  <c r="BI15" i="97"/>
  <c r="BI8" i="97"/>
  <c r="BI86" i="97" s="1"/>
  <c r="BI20" i="97"/>
  <c r="BI16" i="97"/>
  <c r="BI42" i="97"/>
  <c r="BI35" i="97"/>
  <c r="BH40" i="97"/>
  <c r="BH28" i="97"/>
  <c r="BH89" i="97"/>
  <c r="BH66" i="97"/>
  <c r="BH61" i="97"/>
  <c r="BH73" i="97"/>
  <c r="BH91" i="97"/>
  <c r="BH20" i="97"/>
  <c r="BH15" i="97"/>
  <c r="BH34" i="97"/>
  <c r="BH16" i="97"/>
  <c r="BH41" i="97"/>
  <c r="BH71" i="97"/>
  <c r="BH78" i="97"/>
  <c r="BH72" i="97"/>
  <c r="BH97" i="97"/>
  <c r="BJ26" i="95"/>
  <c r="BJ72" i="95"/>
  <c r="BJ47" i="95"/>
  <c r="BJ30" i="95"/>
  <c r="BJ52" i="95"/>
  <c r="BJ17" i="95"/>
  <c r="BJ63" i="95"/>
  <c r="BJ24" i="95"/>
  <c r="BJ38" i="95"/>
  <c r="BJ36" i="95"/>
  <c r="BJ28" i="95"/>
  <c r="BJ89" i="95"/>
  <c r="BJ92" i="95"/>
  <c r="BJ68" i="95"/>
  <c r="BJ42" i="95"/>
  <c r="BJ95" i="95"/>
  <c r="BJ27" i="95"/>
  <c r="BJ70" i="95"/>
  <c r="BK8" i="95"/>
  <c r="BK92" i="95" s="1"/>
  <c r="BL7" i="95"/>
  <c r="BJ25" i="95"/>
  <c r="BJ44" i="95"/>
  <c r="BJ48" i="95"/>
  <c r="BJ12" i="95"/>
  <c r="BJ71" i="95"/>
  <c r="BJ41" i="95"/>
  <c r="BJ35" i="95"/>
  <c r="BJ66" i="95"/>
  <c r="BJ46" i="95"/>
  <c r="BJ79" i="95"/>
  <c r="BJ57" i="95"/>
  <c r="BJ90" i="95"/>
  <c r="BJ97" i="95"/>
  <c r="BJ51" i="95"/>
  <c r="BJ40" i="95"/>
  <c r="BJ74" i="95"/>
  <c r="BJ59" i="95"/>
  <c r="BJ91" i="95"/>
  <c r="BJ77" i="95"/>
  <c r="BJ69" i="95"/>
  <c r="BJ84" i="95"/>
  <c r="BJ11" i="95"/>
  <c r="BJ19" i="95"/>
  <c r="BJ53" i="95"/>
  <c r="BJ34" i="95"/>
  <c r="BJ16" i="95"/>
  <c r="BJ55" i="95"/>
  <c r="BJ56" i="95"/>
  <c r="BJ61" i="95"/>
  <c r="BJ64" i="95"/>
  <c r="BJ80" i="95"/>
  <c r="BJ75" i="95"/>
  <c r="BJ94" i="95"/>
  <c r="BJ15" i="95"/>
  <c r="BJ22" i="95"/>
  <c r="BJ18" i="95"/>
  <c r="BJ62" i="95"/>
  <c r="BJ33" i="95"/>
  <c r="BJ23" i="95"/>
  <c r="BJ50" i="95"/>
  <c r="BJ37" i="95"/>
  <c r="BJ58" i="95"/>
  <c r="BJ73" i="95"/>
  <c r="BJ78" i="95"/>
  <c r="BJ81" i="95"/>
  <c r="BJ85" i="95"/>
  <c r="BJ96" i="95"/>
  <c r="BJ13" i="95"/>
  <c r="BJ31" i="95"/>
  <c r="BJ20" i="95"/>
  <c r="BJ45" i="95"/>
  <c r="BJ49" i="95"/>
  <c r="BJ29" i="95"/>
  <c r="BJ67" i="95"/>
  <c r="BJ60" i="95"/>
  <c r="BJ39" i="95"/>
  <c r="BJ82" i="95"/>
  <c r="BJ83" i="95"/>
  <c r="BJ86" i="95"/>
  <c r="BJ88" i="95"/>
  <c r="BI72" i="59" l="1"/>
  <c r="BI24" i="59"/>
  <c r="BI35" i="59"/>
  <c r="BI25" i="59"/>
  <c r="BI39" i="59"/>
  <c r="BI44" i="59"/>
  <c r="BI74" i="59"/>
  <c r="BI84" i="59"/>
  <c r="BI70" i="59"/>
  <c r="BI67" i="59"/>
  <c r="BI45" i="59"/>
  <c r="BI58" i="59"/>
  <c r="BI26" i="59"/>
  <c r="BI48" i="59"/>
  <c r="BI75" i="59"/>
  <c r="BI82" i="59"/>
  <c r="BI91" i="59"/>
  <c r="BI38" i="59"/>
  <c r="BI36" i="59"/>
  <c r="BI97" i="59"/>
  <c r="BI19" i="59"/>
  <c r="BI31" i="59"/>
  <c r="BI55" i="59"/>
  <c r="BI61" i="59"/>
  <c r="BI85" i="59"/>
  <c r="BI88" i="59"/>
  <c r="BI14" i="59"/>
  <c r="BI29" i="59"/>
  <c r="BI42" i="59"/>
  <c r="BI83" i="59"/>
  <c r="BI64" i="59"/>
  <c r="BI78" i="59"/>
  <c r="BI96" i="59"/>
  <c r="BI12" i="59"/>
  <c r="BI11" i="59"/>
  <c r="BI16" i="59"/>
  <c r="BI60" i="59"/>
  <c r="BI47" i="59"/>
  <c r="BI56" i="59"/>
  <c r="BI81" i="59"/>
  <c r="BI95" i="59"/>
  <c r="BJ80" i="59"/>
  <c r="BJ44" i="59"/>
  <c r="BJ55" i="59"/>
  <c r="BK7" i="59"/>
  <c r="BJ8" i="59"/>
  <c r="BJ90" i="59" s="1"/>
  <c r="BI40" i="59"/>
  <c r="BI15" i="59"/>
  <c r="BI27" i="59"/>
  <c r="BI51" i="59"/>
  <c r="BI63" i="59"/>
  <c r="BI57" i="59"/>
  <c r="BI68" i="59"/>
  <c r="BI50" i="59"/>
  <c r="BI80" i="59"/>
  <c r="BI93" i="59"/>
  <c r="BI23" i="59"/>
  <c r="BI34" i="59"/>
  <c r="BI22" i="59"/>
  <c r="BI52" i="59"/>
  <c r="BI33" i="59"/>
  <c r="BI49" i="59"/>
  <c r="BI69" i="59"/>
  <c r="BI73" i="59"/>
  <c r="BI92" i="59"/>
  <c r="BI90" i="59"/>
  <c r="BI28" i="59"/>
  <c r="BI13" i="59"/>
  <c r="BI37" i="59"/>
  <c r="BI59" i="59"/>
  <c r="BI41" i="59"/>
  <c r="BI53" i="59"/>
  <c r="BI71" i="59"/>
  <c r="BI77" i="59"/>
  <c r="BI89" i="59"/>
  <c r="BI86" i="59"/>
  <c r="BI20" i="59"/>
  <c r="BI17" i="59"/>
  <c r="BI18" i="59"/>
  <c r="BI30" i="59"/>
  <c r="BI62" i="59"/>
  <c r="BI46" i="59"/>
  <c r="BI79" i="59"/>
  <c r="BI66" i="59"/>
  <c r="BI44" i="113"/>
  <c r="BI25" i="113"/>
  <c r="BI56" i="113"/>
  <c r="BI63" i="113"/>
  <c r="BI66" i="113"/>
  <c r="BI78" i="113"/>
  <c r="BI93" i="113"/>
  <c r="BJ88" i="113"/>
  <c r="BJ94" i="113"/>
  <c r="BJ97" i="113"/>
  <c r="BJ89" i="113"/>
  <c r="BJ84" i="113"/>
  <c r="BJ95" i="113"/>
  <c r="BJ79" i="113"/>
  <c r="BJ86" i="113"/>
  <c r="BJ59" i="113"/>
  <c r="BJ80" i="113"/>
  <c r="BJ74" i="113"/>
  <c r="BJ69" i="113"/>
  <c r="BJ63" i="113"/>
  <c r="BJ77" i="113"/>
  <c r="BJ71" i="113"/>
  <c r="BJ64" i="113"/>
  <c r="BJ58" i="113"/>
  <c r="BJ42" i="113"/>
  <c r="BJ46" i="113"/>
  <c r="BJ37" i="113"/>
  <c r="BJ49" i="113"/>
  <c r="BJ62" i="113"/>
  <c r="BJ61" i="113"/>
  <c r="BJ44" i="113"/>
  <c r="BJ29" i="113"/>
  <c r="BJ36" i="113"/>
  <c r="BJ20" i="113"/>
  <c r="BJ33" i="113"/>
  <c r="BJ72" i="113"/>
  <c r="BJ19" i="113"/>
  <c r="BJ56" i="113"/>
  <c r="BJ41" i="113"/>
  <c r="BJ15" i="113"/>
  <c r="BJ22" i="113"/>
  <c r="BJ26" i="113"/>
  <c r="BJ23" i="113"/>
  <c r="BK7" i="113"/>
  <c r="BJ14" i="113"/>
  <c r="BJ8" i="113"/>
  <c r="BJ93" i="113" s="1"/>
  <c r="BJ11" i="113"/>
  <c r="BJ12" i="113"/>
  <c r="BJ13" i="113"/>
  <c r="BJ50" i="113"/>
  <c r="BI61" i="113"/>
  <c r="BI34" i="113"/>
  <c r="BI72" i="113"/>
  <c r="BI67" i="113"/>
  <c r="BI64" i="113"/>
  <c r="BI92" i="113"/>
  <c r="BI90" i="113"/>
  <c r="BI22" i="113"/>
  <c r="BI50" i="113"/>
  <c r="BI36" i="113"/>
  <c r="BI49" i="113"/>
  <c r="BI42" i="113"/>
  <c r="BI79" i="113"/>
  <c r="BI62" i="113"/>
  <c r="BI70" i="113"/>
  <c r="BI74" i="113"/>
  <c r="BI86" i="113"/>
  <c r="BI30" i="113"/>
  <c r="BI41" i="113"/>
  <c r="BI45" i="113"/>
  <c r="BI53" i="113"/>
  <c r="BI51" i="113"/>
  <c r="BI71" i="113"/>
  <c r="BI75" i="113"/>
  <c r="BI77" i="113"/>
  <c r="BI83" i="113"/>
  <c r="BK92" i="111"/>
  <c r="BK49" i="111"/>
  <c r="BK80" i="111"/>
  <c r="BK59" i="111"/>
  <c r="BK53" i="111"/>
  <c r="BK36" i="111"/>
  <c r="BK30" i="111"/>
  <c r="BK8" i="111"/>
  <c r="BK93" i="111" s="1"/>
  <c r="BK28" i="111"/>
  <c r="BK13" i="111"/>
  <c r="BK11" i="111"/>
  <c r="BL7" i="111"/>
  <c r="BK41" i="111"/>
  <c r="BK14" i="111"/>
  <c r="BJ25" i="111"/>
  <c r="BJ34" i="111"/>
  <c r="BJ20" i="111"/>
  <c r="BJ60" i="111"/>
  <c r="BJ61" i="111"/>
  <c r="BJ77" i="111"/>
  <c r="BJ59" i="111"/>
  <c r="BJ85" i="111"/>
  <c r="BJ97" i="111"/>
  <c r="BJ49" i="111"/>
  <c r="BJ15" i="111"/>
  <c r="BJ29" i="111"/>
  <c r="BJ53" i="111"/>
  <c r="BJ75" i="111"/>
  <c r="BJ72" i="111"/>
  <c r="BJ62" i="111"/>
  <c r="BJ95" i="111"/>
  <c r="BJ94" i="111"/>
  <c r="BJ42" i="111"/>
  <c r="BJ24" i="111"/>
  <c r="BJ19" i="111"/>
  <c r="BJ39" i="111"/>
  <c r="BJ57" i="111"/>
  <c r="BJ51" i="111"/>
  <c r="BJ78" i="111"/>
  <c r="BJ71" i="111"/>
  <c r="BJ66" i="111"/>
  <c r="BJ88" i="111"/>
  <c r="BJ11" i="111"/>
  <c r="BJ18" i="111"/>
  <c r="BJ12" i="111"/>
  <c r="BJ31" i="111"/>
  <c r="BJ26" i="111"/>
  <c r="BJ35" i="111"/>
  <c r="BJ64" i="111"/>
  <c r="BJ81" i="111"/>
  <c r="BJ37" i="111"/>
  <c r="BJ83" i="111"/>
  <c r="BJ93" i="111"/>
  <c r="BJ22" i="111"/>
  <c r="BJ13" i="111"/>
  <c r="BJ23" i="111"/>
  <c r="BJ27" i="111"/>
  <c r="BJ56" i="111"/>
  <c r="BJ38" i="111"/>
  <c r="BJ69" i="111"/>
  <c r="BJ82" i="111"/>
  <c r="BJ46" i="111"/>
  <c r="BJ80" i="111"/>
  <c r="BI90" i="109"/>
  <c r="BI72" i="109"/>
  <c r="BI92" i="109"/>
  <c r="BI80" i="109"/>
  <c r="BI91" i="109"/>
  <c r="BI48" i="109"/>
  <c r="BI79" i="109"/>
  <c r="BI16" i="109"/>
  <c r="BI39" i="109"/>
  <c r="BI67" i="109"/>
  <c r="BI66" i="109"/>
  <c r="BI84" i="109"/>
  <c r="BI88" i="109"/>
  <c r="BJ96" i="109"/>
  <c r="BJ84" i="109"/>
  <c r="BJ69" i="109"/>
  <c r="BJ85" i="109"/>
  <c r="BJ77" i="109"/>
  <c r="BJ74" i="109"/>
  <c r="BJ46" i="109"/>
  <c r="BJ42" i="109"/>
  <c r="BJ61" i="109"/>
  <c r="BJ28" i="109"/>
  <c r="BJ19" i="109"/>
  <c r="BJ53" i="109"/>
  <c r="BJ39" i="109"/>
  <c r="BJ80" i="109"/>
  <c r="BJ40" i="109"/>
  <c r="BJ47" i="109"/>
  <c r="BJ70" i="109"/>
  <c r="BJ31" i="109"/>
  <c r="BJ18" i="109"/>
  <c r="BJ12" i="109"/>
  <c r="BJ45" i="109"/>
  <c r="BJ60" i="109"/>
  <c r="BJ27" i="109"/>
  <c r="BK7" i="109"/>
  <c r="BJ29" i="109"/>
  <c r="BJ41" i="109"/>
  <c r="BJ8" i="109"/>
  <c r="BJ88" i="109" s="1"/>
  <c r="BJ36" i="109"/>
  <c r="BJ11" i="109"/>
  <c r="BJ38" i="109"/>
  <c r="BJ20" i="109"/>
  <c r="BI12" i="109"/>
  <c r="BI71" i="109"/>
  <c r="BI14" i="109"/>
  <c r="BI25" i="109"/>
  <c r="BI46" i="109"/>
  <c r="BI73" i="109"/>
  <c r="BI69" i="109"/>
  <c r="BI83" i="109"/>
  <c r="BJ34" i="107"/>
  <c r="BJ38" i="107"/>
  <c r="BJ48" i="107"/>
  <c r="BJ82" i="107"/>
  <c r="BJ75" i="107"/>
  <c r="BJ71" i="107"/>
  <c r="BJ73" i="107"/>
  <c r="BJ80" i="107"/>
  <c r="BJ96" i="107"/>
  <c r="BJ12" i="107"/>
  <c r="BK91" i="107"/>
  <c r="BK94" i="107"/>
  <c r="BK97" i="107"/>
  <c r="BK84" i="107"/>
  <c r="BK75" i="107"/>
  <c r="BK77" i="107"/>
  <c r="BK79" i="107"/>
  <c r="BK66" i="107"/>
  <c r="BK62" i="107"/>
  <c r="BK44" i="107"/>
  <c r="BK35" i="107"/>
  <c r="BK67" i="107"/>
  <c r="BK47" i="107"/>
  <c r="BK29" i="107"/>
  <c r="BK82" i="107"/>
  <c r="BK61" i="107"/>
  <c r="BK80" i="107"/>
  <c r="BK71" i="107"/>
  <c r="BK51" i="107"/>
  <c r="BK42" i="107"/>
  <c r="BK90" i="107"/>
  <c r="BK36" i="107"/>
  <c r="BK31" i="107"/>
  <c r="BK41" i="107"/>
  <c r="BK46" i="107"/>
  <c r="BK19" i="107"/>
  <c r="BK30" i="107"/>
  <c r="BK23" i="107"/>
  <c r="BK24" i="107"/>
  <c r="BK17" i="107"/>
  <c r="BK14" i="107"/>
  <c r="BL7" i="107"/>
  <c r="BK18" i="107"/>
  <c r="BK49" i="107"/>
  <c r="BK13" i="107"/>
  <c r="BK22" i="107"/>
  <c r="BK8" i="107"/>
  <c r="BK89" i="107" s="1"/>
  <c r="BK15" i="107"/>
  <c r="BJ30" i="107"/>
  <c r="BJ28" i="107"/>
  <c r="BJ42" i="107"/>
  <c r="BJ53" i="107"/>
  <c r="BJ44" i="107"/>
  <c r="BJ55" i="107"/>
  <c r="BJ83" i="107"/>
  <c r="BJ92" i="107"/>
  <c r="BJ90" i="107"/>
  <c r="BJ17" i="107"/>
  <c r="BJ29" i="107"/>
  <c r="BJ45" i="107"/>
  <c r="BJ46" i="107"/>
  <c r="BJ60" i="107"/>
  <c r="BJ57" i="107"/>
  <c r="BJ66" i="107"/>
  <c r="BJ61" i="107"/>
  <c r="BJ97" i="107"/>
  <c r="BJ41" i="107"/>
  <c r="BJ11" i="107"/>
  <c r="BJ33" i="107"/>
  <c r="BJ50" i="107"/>
  <c r="BJ56" i="107"/>
  <c r="BJ63" i="107"/>
  <c r="BJ31" i="107"/>
  <c r="BJ79" i="107"/>
  <c r="BJ70" i="107"/>
  <c r="BJ94" i="107"/>
  <c r="BJ36" i="107"/>
  <c r="BJ24" i="107"/>
  <c r="BJ16" i="107"/>
  <c r="BJ72" i="107"/>
  <c r="BJ69" i="107"/>
  <c r="BJ64" i="107"/>
  <c r="BJ40" i="107"/>
  <c r="BJ86" i="107"/>
  <c r="BJ84" i="107"/>
  <c r="BJ57" i="105"/>
  <c r="BJ68" i="105"/>
  <c r="BJ74" i="105"/>
  <c r="BJ83" i="105"/>
  <c r="BJ91" i="105"/>
  <c r="BJ25" i="105"/>
  <c r="BJ12" i="105"/>
  <c r="BJ34" i="105"/>
  <c r="BJ30" i="105"/>
  <c r="BJ42" i="105"/>
  <c r="BJ66" i="105"/>
  <c r="BJ64" i="105"/>
  <c r="BJ75" i="105"/>
  <c r="BJ77" i="105"/>
  <c r="BJ96" i="105"/>
  <c r="BJ20" i="105"/>
  <c r="BJ11" i="105"/>
  <c r="BJ35" i="105"/>
  <c r="BJ51" i="105"/>
  <c r="BJ53" i="105"/>
  <c r="BJ79" i="105"/>
  <c r="BJ84" i="105"/>
  <c r="BJ85" i="105"/>
  <c r="BJ93" i="105"/>
  <c r="BJ18" i="105"/>
  <c r="BJ27" i="105"/>
  <c r="BJ19" i="105"/>
  <c r="BJ40" i="105"/>
  <c r="BJ39" i="105"/>
  <c r="BJ62" i="105"/>
  <c r="BJ70" i="105"/>
  <c r="BJ86" i="105"/>
  <c r="BJ92" i="105"/>
  <c r="BJ90" i="105"/>
  <c r="BJ24" i="105"/>
  <c r="BJ28" i="105"/>
  <c r="BJ52" i="105"/>
  <c r="BJ38" i="105"/>
  <c r="BJ50" i="105"/>
  <c r="BJ48" i="105"/>
  <c r="BJ69" i="105"/>
  <c r="BJ58" i="105"/>
  <c r="BJ81" i="105"/>
  <c r="BJ89" i="105"/>
  <c r="BJ29" i="105"/>
  <c r="BJ73" i="105"/>
  <c r="BL7" i="105"/>
  <c r="BK8" i="105"/>
  <c r="BK88" i="105" s="1"/>
  <c r="BJ31" i="105"/>
  <c r="BJ55" i="105"/>
  <c r="BJ60" i="105"/>
  <c r="BJ61" i="105"/>
  <c r="BJ67" i="105"/>
  <c r="BJ78" i="105"/>
  <c r="BJ97" i="105"/>
  <c r="BJ16" i="105"/>
  <c r="BJ37" i="105"/>
  <c r="BJ14" i="105"/>
  <c r="BJ36" i="105"/>
  <c r="BJ33" i="105"/>
  <c r="BJ45" i="105"/>
  <c r="BJ59" i="105"/>
  <c r="BJ63" i="105"/>
  <c r="BJ95" i="105"/>
  <c r="BJ12" i="103"/>
  <c r="BJ23" i="103"/>
  <c r="BJ15" i="103"/>
  <c r="BJ24" i="103"/>
  <c r="BJ40" i="103"/>
  <c r="BJ46" i="103"/>
  <c r="BJ86" i="103"/>
  <c r="BJ85" i="103"/>
  <c r="BJ78" i="103"/>
  <c r="BJ83" i="103"/>
  <c r="BJ93" i="103"/>
  <c r="BJ35" i="103"/>
  <c r="BJ36" i="103"/>
  <c r="BJ19" i="103"/>
  <c r="BJ58" i="103"/>
  <c r="BJ38" i="103"/>
  <c r="BJ51" i="103"/>
  <c r="BJ77" i="103"/>
  <c r="BJ68" i="103"/>
  <c r="BJ69" i="103"/>
  <c r="BJ89" i="103"/>
  <c r="BJ34" i="103"/>
  <c r="BJ13" i="103"/>
  <c r="BJ20" i="103"/>
  <c r="BJ52" i="103"/>
  <c r="BJ47" i="103"/>
  <c r="BJ66" i="103"/>
  <c r="BJ74" i="103"/>
  <c r="BJ75" i="103"/>
  <c r="BJ82" i="103"/>
  <c r="BJ97" i="103"/>
  <c r="BK89" i="103"/>
  <c r="BK92" i="103"/>
  <c r="BK82" i="103"/>
  <c r="BK85" i="103"/>
  <c r="BK64" i="103"/>
  <c r="BK90" i="103"/>
  <c r="BK74" i="103"/>
  <c r="BK77" i="103"/>
  <c r="BK66" i="103"/>
  <c r="BK39" i="103"/>
  <c r="BK60" i="103"/>
  <c r="BK51" i="103"/>
  <c r="BK44" i="103"/>
  <c r="BK57" i="103"/>
  <c r="BK41" i="103"/>
  <c r="BK26" i="103"/>
  <c r="BK29" i="103"/>
  <c r="BK20" i="103"/>
  <c r="BK33" i="103"/>
  <c r="BK25" i="103"/>
  <c r="BK28" i="103"/>
  <c r="BK8" i="103"/>
  <c r="BK96" i="103" s="1"/>
  <c r="BK23" i="103"/>
  <c r="BK11" i="103"/>
  <c r="BK16" i="103"/>
  <c r="BK14" i="103"/>
  <c r="BL7" i="103"/>
  <c r="BK24" i="103"/>
  <c r="BK19" i="103"/>
  <c r="BK12" i="103"/>
  <c r="BK17" i="103"/>
  <c r="BJ18" i="103"/>
  <c r="BJ33" i="103"/>
  <c r="BJ26" i="103"/>
  <c r="BJ41" i="103"/>
  <c r="BJ48" i="103"/>
  <c r="BJ56" i="103"/>
  <c r="BJ70" i="103"/>
  <c r="BJ79" i="103"/>
  <c r="BJ94" i="103"/>
  <c r="BJ14" i="103"/>
  <c r="BJ29" i="103"/>
  <c r="BJ44" i="103"/>
  <c r="BJ31" i="103"/>
  <c r="BJ57" i="103"/>
  <c r="BJ55" i="103"/>
  <c r="BJ59" i="103"/>
  <c r="BJ67" i="103"/>
  <c r="BJ84" i="103"/>
  <c r="BJ91" i="103"/>
  <c r="BJ22" i="103"/>
  <c r="BJ37" i="103"/>
  <c r="BJ49" i="103"/>
  <c r="BJ45" i="103"/>
  <c r="BJ64" i="103"/>
  <c r="BJ80" i="103"/>
  <c r="BJ81" i="103"/>
  <c r="BJ88" i="103"/>
  <c r="BJ28" i="103"/>
  <c r="BJ30" i="103"/>
  <c r="BJ61" i="103"/>
  <c r="BJ63" i="103"/>
  <c r="BJ53" i="103"/>
  <c r="BJ73" i="103"/>
  <c r="BJ72" i="103"/>
  <c r="BJ95" i="103"/>
  <c r="BI19" i="101"/>
  <c r="BI27" i="101"/>
  <c r="BI60" i="101"/>
  <c r="BI22" i="101"/>
  <c r="BI17" i="101"/>
  <c r="BI26" i="101"/>
  <c r="BI45" i="101"/>
  <c r="BI29" i="101"/>
  <c r="BI37" i="101"/>
  <c r="BI63" i="101"/>
  <c r="BI74" i="101"/>
  <c r="BI72" i="101"/>
  <c r="BI94" i="101"/>
  <c r="BI11" i="101"/>
  <c r="BI34" i="101"/>
  <c r="BI88" i="101"/>
  <c r="BI16" i="101"/>
  <c r="BI15" i="101"/>
  <c r="BI41" i="101"/>
  <c r="BI24" i="101"/>
  <c r="BI47" i="101"/>
  <c r="BI42" i="101"/>
  <c r="BI69" i="101"/>
  <c r="BI59" i="101"/>
  <c r="BI84" i="101"/>
  <c r="BI96" i="101"/>
  <c r="BI38" i="101"/>
  <c r="BI25" i="101"/>
  <c r="BI23" i="101"/>
  <c r="BI28" i="101"/>
  <c r="BI33" i="101"/>
  <c r="BI64" i="101"/>
  <c r="BI51" i="101"/>
  <c r="BI71" i="101"/>
  <c r="BI68" i="101"/>
  <c r="BI81" i="101"/>
  <c r="BI93" i="101"/>
  <c r="BI61" i="101"/>
  <c r="BI36" i="101"/>
  <c r="BI80" i="101"/>
  <c r="BI62" i="101"/>
  <c r="BJ94" i="101"/>
  <c r="BJ81" i="101"/>
  <c r="BJ84" i="101"/>
  <c r="BJ79" i="101"/>
  <c r="BJ77" i="101"/>
  <c r="BJ85" i="101"/>
  <c r="BJ83" i="101"/>
  <c r="BJ71" i="101"/>
  <c r="BJ69" i="101"/>
  <c r="BJ60" i="101"/>
  <c r="BJ63" i="101"/>
  <c r="BJ57" i="101"/>
  <c r="BJ46" i="101"/>
  <c r="BJ58" i="101"/>
  <c r="BJ49" i="101"/>
  <c r="BJ50" i="101"/>
  <c r="BJ41" i="101"/>
  <c r="BJ56" i="101"/>
  <c r="BJ44" i="101"/>
  <c r="BJ30" i="101"/>
  <c r="BJ61" i="101"/>
  <c r="BJ48" i="101"/>
  <c r="BJ39" i="101"/>
  <c r="BJ36" i="101"/>
  <c r="BJ29" i="101"/>
  <c r="BJ19" i="101"/>
  <c r="BJ23" i="101"/>
  <c r="BJ35" i="101"/>
  <c r="BJ13" i="101"/>
  <c r="BJ18" i="101"/>
  <c r="BJ25" i="101"/>
  <c r="BJ16" i="101"/>
  <c r="BJ11" i="101"/>
  <c r="BK7" i="101"/>
  <c r="BJ26" i="101"/>
  <c r="BJ17" i="101"/>
  <c r="BJ34" i="101"/>
  <c r="BJ22" i="101"/>
  <c r="BJ15" i="101"/>
  <c r="BJ8" i="101"/>
  <c r="BJ89" i="101" s="1"/>
  <c r="BI31" i="101"/>
  <c r="BI35" i="101"/>
  <c r="BI44" i="101"/>
  <c r="BI75" i="101"/>
  <c r="BI39" i="101"/>
  <c r="BI57" i="101"/>
  <c r="BI70" i="101"/>
  <c r="BI97" i="101"/>
  <c r="BI90" i="101"/>
  <c r="BI53" i="101"/>
  <c r="BI12" i="101"/>
  <c r="BI13" i="101"/>
  <c r="BI40" i="101"/>
  <c r="BI50" i="101"/>
  <c r="BI55" i="101"/>
  <c r="BI49" i="101"/>
  <c r="BI48" i="101"/>
  <c r="BI66" i="101"/>
  <c r="BI77" i="101"/>
  <c r="BI83" i="101"/>
  <c r="BI86" i="101"/>
  <c r="BI67" i="101"/>
  <c r="BI91" i="101"/>
  <c r="BI85" i="101"/>
  <c r="BI18" i="101"/>
  <c r="BI20" i="101"/>
  <c r="BI30" i="101"/>
  <c r="BI79" i="101"/>
  <c r="BI56" i="101"/>
  <c r="BI58" i="101"/>
  <c r="BI52" i="101"/>
  <c r="BI73" i="101"/>
  <c r="BI82" i="101"/>
  <c r="BI92" i="101"/>
  <c r="BI74" i="99"/>
  <c r="BI73" i="99"/>
  <c r="BI91" i="99"/>
  <c r="BI96" i="99"/>
  <c r="BI22" i="99"/>
  <c r="BI84" i="99"/>
  <c r="BI63" i="99"/>
  <c r="BI50" i="99"/>
  <c r="BI80" i="99"/>
  <c r="BI79" i="99"/>
  <c r="BI93" i="99"/>
  <c r="BJ88" i="99"/>
  <c r="BJ91" i="99"/>
  <c r="BJ64" i="99"/>
  <c r="BJ95" i="99"/>
  <c r="BJ74" i="99"/>
  <c r="BJ78" i="99"/>
  <c r="BJ53" i="99"/>
  <c r="BJ70" i="99"/>
  <c r="BJ51" i="99"/>
  <c r="BJ79" i="99"/>
  <c r="BJ58" i="99"/>
  <c r="BJ67" i="99"/>
  <c r="BJ56" i="99"/>
  <c r="BJ40" i="99"/>
  <c r="BJ35" i="99"/>
  <c r="BJ47" i="99"/>
  <c r="BJ39" i="99"/>
  <c r="BJ25" i="99"/>
  <c r="BJ49" i="99"/>
  <c r="BJ42" i="99"/>
  <c r="BJ33" i="99"/>
  <c r="BJ26" i="99"/>
  <c r="BJ29" i="99"/>
  <c r="BJ55" i="99"/>
  <c r="BJ8" i="99"/>
  <c r="BJ94" i="99" s="1"/>
  <c r="BJ11" i="99"/>
  <c r="BJ22" i="99"/>
  <c r="BJ16" i="99"/>
  <c r="BJ41" i="99"/>
  <c r="BJ23" i="99"/>
  <c r="BJ36" i="99"/>
  <c r="BJ30" i="99"/>
  <c r="BJ52" i="99"/>
  <c r="BJ31" i="99"/>
  <c r="BJ27" i="99"/>
  <c r="BJ20" i="99"/>
  <c r="BJ14" i="99"/>
  <c r="BK7" i="99"/>
  <c r="BJ12" i="99"/>
  <c r="BI26" i="99"/>
  <c r="BI30" i="99"/>
  <c r="BI72" i="99"/>
  <c r="BI67" i="99"/>
  <c r="BI59" i="99"/>
  <c r="BI68" i="99"/>
  <c r="BI92" i="99"/>
  <c r="BI90" i="99"/>
  <c r="BI12" i="99"/>
  <c r="BI14" i="99"/>
  <c r="BI18" i="99"/>
  <c r="BI33" i="99"/>
  <c r="BI35" i="99"/>
  <c r="BI44" i="99"/>
  <c r="BI42" i="99"/>
  <c r="BI69" i="99"/>
  <c r="BI77" i="99"/>
  <c r="BI89" i="99"/>
  <c r="BI86" i="99"/>
  <c r="BI11" i="99"/>
  <c r="BI19" i="99"/>
  <c r="BI28" i="99"/>
  <c r="BI60" i="99"/>
  <c r="BI36" i="99"/>
  <c r="BI40" i="99"/>
  <c r="BI55" i="99"/>
  <c r="BI78" i="99"/>
  <c r="BI85" i="99"/>
  <c r="BI97" i="99"/>
  <c r="BI18" i="97"/>
  <c r="BI34" i="97"/>
  <c r="BI40" i="97"/>
  <c r="BI41" i="97"/>
  <c r="BI72" i="97"/>
  <c r="BI48" i="97"/>
  <c r="BI73" i="97"/>
  <c r="BI70" i="97"/>
  <c r="BI96" i="97"/>
  <c r="BI61" i="97"/>
  <c r="BI79" i="97"/>
  <c r="BI93" i="97"/>
  <c r="BJ88" i="97"/>
  <c r="BJ94" i="97"/>
  <c r="BJ89" i="97"/>
  <c r="BJ64" i="97"/>
  <c r="BJ85" i="97"/>
  <c r="BJ71" i="97"/>
  <c r="BJ69" i="97"/>
  <c r="BJ81" i="97"/>
  <c r="BJ63" i="97"/>
  <c r="BJ42" i="97"/>
  <c r="BJ77" i="97"/>
  <c r="BJ75" i="97"/>
  <c r="BJ52" i="97"/>
  <c r="BJ49" i="97"/>
  <c r="BJ27" i="97"/>
  <c r="BJ78" i="97"/>
  <c r="BJ53" i="97"/>
  <c r="BJ68" i="97"/>
  <c r="BJ33" i="97"/>
  <c r="BJ40" i="97"/>
  <c r="BJ55" i="97"/>
  <c r="BJ47" i="97"/>
  <c r="BJ14" i="97"/>
  <c r="BK7" i="97"/>
  <c r="BJ45" i="97"/>
  <c r="BJ31" i="97"/>
  <c r="BJ30" i="97"/>
  <c r="BJ22" i="97"/>
  <c r="BJ48" i="97"/>
  <c r="BJ35" i="97"/>
  <c r="BJ20" i="97"/>
  <c r="BJ19" i="97"/>
  <c r="BJ12" i="97"/>
  <c r="BJ11" i="97"/>
  <c r="BJ41" i="97"/>
  <c r="BJ13" i="97"/>
  <c r="BJ18" i="97"/>
  <c r="BJ26" i="97"/>
  <c r="BJ44" i="97"/>
  <c r="BJ38" i="97"/>
  <c r="BJ8" i="97"/>
  <c r="BJ91" i="97" s="1"/>
  <c r="BI53" i="97"/>
  <c r="BI47" i="97"/>
  <c r="BI13" i="97"/>
  <c r="BI46" i="97"/>
  <c r="BI55" i="97"/>
  <c r="BI59" i="97"/>
  <c r="BI71" i="97"/>
  <c r="BI92" i="97"/>
  <c r="BI90" i="97"/>
  <c r="BI17" i="97"/>
  <c r="BI12" i="97"/>
  <c r="BI66" i="97"/>
  <c r="BI84" i="97"/>
  <c r="BI22" i="97"/>
  <c r="BI50" i="97"/>
  <c r="BI57" i="97"/>
  <c r="BI64" i="97"/>
  <c r="BI80" i="97"/>
  <c r="BI89" i="97"/>
  <c r="BK16" i="95"/>
  <c r="BK20" i="95"/>
  <c r="BK64" i="95"/>
  <c r="BK82" i="95"/>
  <c r="BK91" i="95"/>
  <c r="BK70" i="95"/>
  <c r="BK66" i="95"/>
  <c r="BK93" i="95"/>
  <c r="BK37" i="95"/>
  <c r="BK18" i="95"/>
  <c r="BK78" i="95"/>
  <c r="BK84" i="95"/>
  <c r="BK35" i="95"/>
  <c r="BK73" i="95"/>
  <c r="BK40" i="95"/>
  <c r="BK90" i="95"/>
  <c r="BK52" i="95"/>
  <c r="BK56" i="95"/>
  <c r="BK31" i="95"/>
  <c r="BK14" i="95"/>
  <c r="BK59" i="95"/>
  <c r="BK89" i="95"/>
  <c r="BK17" i="95"/>
  <c r="BK46" i="95"/>
  <c r="BK85" i="95"/>
  <c r="BK88" i="95"/>
  <c r="BK11" i="95"/>
  <c r="BK63" i="95"/>
  <c r="BK29" i="95"/>
  <c r="BK12" i="95"/>
  <c r="BK28" i="95"/>
  <c r="BK71" i="95"/>
  <c r="BK36" i="95"/>
  <c r="BK58" i="95"/>
  <c r="BK57" i="95"/>
  <c r="BK80" i="95"/>
  <c r="BK86" i="95"/>
  <c r="BK97" i="95"/>
  <c r="BK96" i="95"/>
  <c r="BK13" i="95"/>
  <c r="BK24" i="95"/>
  <c r="BK23" i="95"/>
  <c r="BK42" i="95"/>
  <c r="BK60" i="95"/>
  <c r="BK61" i="95"/>
  <c r="BK69" i="95"/>
  <c r="BK39" i="95"/>
  <c r="BK50" i="95"/>
  <c r="BK38" i="95"/>
  <c r="BK75" i="95"/>
  <c r="BK62" i="95"/>
  <c r="BK68" i="95"/>
  <c r="BK94" i="95"/>
  <c r="BL8" i="95"/>
  <c r="BL82" i="95" s="1"/>
  <c r="BM7" i="95"/>
  <c r="BK47" i="95"/>
  <c r="BK26" i="95"/>
  <c r="BK25" i="95"/>
  <c r="BK30" i="95"/>
  <c r="BK15" i="95"/>
  <c r="BK48" i="95"/>
  <c r="BK72" i="95"/>
  <c r="BK41" i="95"/>
  <c r="BK53" i="95"/>
  <c r="BK45" i="95"/>
  <c r="BK77" i="95"/>
  <c r="BK67" i="95"/>
  <c r="BK74" i="95"/>
  <c r="BK83" i="95"/>
  <c r="BK19" i="95"/>
  <c r="BK33" i="95"/>
  <c r="BK27" i="95"/>
  <c r="BK22" i="95"/>
  <c r="BK49" i="95"/>
  <c r="BK34" i="95"/>
  <c r="BK44" i="95"/>
  <c r="BK55" i="95"/>
  <c r="BK51" i="95"/>
  <c r="BK81" i="95"/>
  <c r="BK79" i="95"/>
  <c r="BK95" i="95"/>
  <c r="BJ24" i="59" l="1"/>
  <c r="BJ37" i="59"/>
  <c r="BJ15" i="59"/>
  <c r="BJ30" i="59"/>
  <c r="BJ94" i="59"/>
  <c r="BJ40" i="59"/>
  <c r="BJ77" i="59"/>
  <c r="BJ22" i="59"/>
  <c r="BJ69" i="59"/>
  <c r="BJ97" i="59"/>
  <c r="BJ61" i="59"/>
  <c r="BJ23" i="59"/>
  <c r="BJ39" i="59"/>
  <c r="BJ64" i="59"/>
  <c r="BJ18" i="59"/>
  <c r="BJ58" i="59"/>
  <c r="BJ50" i="59"/>
  <c r="BJ74" i="59"/>
  <c r="BJ13" i="59"/>
  <c r="BJ14" i="59"/>
  <c r="BJ38" i="59"/>
  <c r="BJ25" i="59"/>
  <c r="BJ73" i="59"/>
  <c r="BJ47" i="59"/>
  <c r="BJ70" i="59"/>
  <c r="BJ57" i="59"/>
  <c r="BJ60" i="59"/>
  <c r="BJ89" i="59"/>
  <c r="BJ26" i="59"/>
  <c r="BJ28" i="59"/>
  <c r="BJ20" i="59"/>
  <c r="BJ46" i="59"/>
  <c r="BJ27" i="59"/>
  <c r="BJ49" i="59"/>
  <c r="BJ56" i="59"/>
  <c r="BJ68" i="59"/>
  <c r="BJ86" i="59"/>
  <c r="BJ91" i="59"/>
  <c r="BJ31" i="59"/>
  <c r="BJ11" i="59"/>
  <c r="BJ35" i="59"/>
  <c r="BJ45" i="59"/>
  <c r="BJ36" i="59"/>
  <c r="BJ62" i="59"/>
  <c r="BJ72" i="59"/>
  <c r="BJ71" i="59"/>
  <c r="BJ95" i="59"/>
  <c r="BJ88" i="59"/>
  <c r="BJ42" i="59"/>
  <c r="BJ29" i="59"/>
  <c r="BJ41" i="59"/>
  <c r="BJ75" i="59"/>
  <c r="BJ48" i="59"/>
  <c r="BJ63" i="59"/>
  <c r="BJ78" i="59"/>
  <c r="BJ53" i="59"/>
  <c r="BJ83" i="59"/>
  <c r="BJ96" i="59"/>
  <c r="BJ17" i="59"/>
  <c r="BJ12" i="59"/>
  <c r="BJ19" i="59"/>
  <c r="BJ34" i="59"/>
  <c r="BJ51" i="59"/>
  <c r="BJ66" i="59"/>
  <c r="BJ79" i="59"/>
  <c r="BJ82" i="59"/>
  <c r="BJ85" i="59"/>
  <c r="BJ93" i="59"/>
  <c r="BK82" i="59"/>
  <c r="BK64" i="59"/>
  <c r="BK60" i="59"/>
  <c r="BK44" i="59"/>
  <c r="BK25" i="59"/>
  <c r="BK33" i="59"/>
  <c r="BK29" i="59"/>
  <c r="BL7" i="59"/>
  <c r="BK18" i="59"/>
  <c r="BK36" i="59"/>
  <c r="BK8" i="59"/>
  <c r="BK92" i="59" s="1"/>
  <c r="BJ16" i="59"/>
  <c r="BJ33" i="59"/>
  <c r="BJ52" i="59"/>
  <c r="BJ59" i="59"/>
  <c r="BJ67" i="59"/>
  <c r="BJ84" i="59"/>
  <c r="BJ81" i="59"/>
  <c r="BJ92" i="59"/>
  <c r="BJ35" i="113"/>
  <c r="BJ34" i="113"/>
  <c r="BJ39" i="113"/>
  <c r="BJ55" i="113"/>
  <c r="BJ28" i="113"/>
  <c r="BJ66" i="113"/>
  <c r="BJ60" i="113"/>
  <c r="BJ85" i="113"/>
  <c r="BJ92" i="113"/>
  <c r="BJ90" i="113"/>
  <c r="BJ31" i="113"/>
  <c r="BJ30" i="113"/>
  <c r="BJ45" i="113"/>
  <c r="BJ40" i="113"/>
  <c r="BJ51" i="113"/>
  <c r="BJ70" i="113"/>
  <c r="BJ83" i="113"/>
  <c r="BJ75" i="113"/>
  <c r="BJ91" i="113"/>
  <c r="BJ24" i="113"/>
  <c r="BJ17" i="113"/>
  <c r="BJ18" i="113"/>
  <c r="BJ38" i="113"/>
  <c r="BJ53" i="113"/>
  <c r="BJ48" i="113"/>
  <c r="BJ82" i="113"/>
  <c r="BJ68" i="113"/>
  <c r="BJ81" i="113"/>
  <c r="BJ96" i="113"/>
  <c r="BJ16" i="113"/>
  <c r="BK78" i="113"/>
  <c r="BK8" i="113"/>
  <c r="BK88" i="113" s="1"/>
  <c r="BL7" i="113"/>
  <c r="BJ27" i="113"/>
  <c r="BJ25" i="113"/>
  <c r="BJ47" i="113"/>
  <c r="BJ57" i="113"/>
  <c r="BJ52" i="113"/>
  <c r="BJ67" i="113"/>
  <c r="BJ73" i="113"/>
  <c r="BJ78" i="113"/>
  <c r="BK45" i="111"/>
  <c r="BK27" i="111"/>
  <c r="BK19" i="111"/>
  <c r="BK22" i="111"/>
  <c r="BK48" i="111"/>
  <c r="BK50" i="111"/>
  <c r="BK55" i="111"/>
  <c r="BK77" i="111"/>
  <c r="BK40" i="111"/>
  <c r="BK83" i="111"/>
  <c r="BK62" i="111"/>
  <c r="BK39" i="111"/>
  <c r="BK57" i="111"/>
  <c r="BK64" i="111"/>
  <c r="BK85" i="111"/>
  <c r="BK58" i="111"/>
  <c r="BK89" i="111"/>
  <c r="BK25" i="111"/>
  <c r="BK31" i="111"/>
  <c r="BK34" i="111"/>
  <c r="BK24" i="111"/>
  <c r="BK42" i="111"/>
  <c r="BK68" i="111"/>
  <c r="BK60" i="111"/>
  <c r="BK95" i="111"/>
  <c r="BK82" i="111"/>
  <c r="BK97" i="111"/>
  <c r="BL91" i="111"/>
  <c r="BL94" i="111"/>
  <c r="BL97" i="111"/>
  <c r="BL86" i="111"/>
  <c r="BL78" i="111"/>
  <c r="BL89" i="111"/>
  <c r="BL81" i="111"/>
  <c r="BL72" i="111"/>
  <c r="BL79" i="111"/>
  <c r="BL67" i="111"/>
  <c r="BL61" i="111"/>
  <c r="BL52" i="111"/>
  <c r="BL44" i="111"/>
  <c r="BL85" i="111"/>
  <c r="BL83" i="111"/>
  <c r="BL77" i="111"/>
  <c r="BL66" i="111"/>
  <c r="BL63" i="111"/>
  <c r="BL60" i="111"/>
  <c r="BL57" i="111"/>
  <c r="BL93" i="111"/>
  <c r="BL75" i="111"/>
  <c r="BL69" i="111"/>
  <c r="BL58" i="111"/>
  <c r="BL56" i="111"/>
  <c r="BL49" i="111"/>
  <c r="BL90" i="111"/>
  <c r="BL47" i="111"/>
  <c r="BL84" i="111"/>
  <c r="BL62" i="111"/>
  <c r="BL53" i="111"/>
  <c r="BL46" i="111"/>
  <c r="BL45" i="111"/>
  <c r="BL48" i="111"/>
  <c r="BL39" i="111"/>
  <c r="BL33" i="111"/>
  <c r="BL24" i="111"/>
  <c r="BL27" i="111"/>
  <c r="BL50" i="111"/>
  <c r="BL40" i="111"/>
  <c r="BL36" i="111"/>
  <c r="BL28" i="111"/>
  <c r="BL19" i="111"/>
  <c r="BL15" i="111"/>
  <c r="BL64" i="111"/>
  <c r="BL8" i="111"/>
  <c r="BL92" i="111" s="1"/>
  <c r="BL13" i="111"/>
  <c r="BL17" i="111"/>
  <c r="BL11" i="111"/>
  <c r="BL35" i="111"/>
  <c r="BL22" i="111"/>
  <c r="BL26" i="111"/>
  <c r="BL38" i="111"/>
  <c r="BL31" i="111"/>
  <c r="BL20" i="111"/>
  <c r="BM7" i="111"/>
  <c r="BL14" i="111"/>
  <c r="BL59" i="111"/>
  <c r="BL12" i="111"/>
  <c r="BL51" i="111"/>
  <c r="BL37" i="111"/>
  <c r="BL16" i="111"/>
  <c r="BL30" i="111"/>
  <c r="BL29" i="111"/>
  <c r="BK38" i="111"/>
  <c r="BK12" i="111"/>
  <c r="BK33" i="111"/>
  <c r="BK46" i="111"/>
  <c r="BK52" i="111"/>
  <c r="BK63" i="111"/>
  <c r="BK72" i="111"/>
  <c r="BK86" i="111"/>
  <c r="BK91" i="111"/>
  <c r="BK17" i="111"/>
  <c r="BK71" i="111"/>
  <c r="BK23" i="111"/>
  <c r="BK20" i="111"/>
  <c r="BK90" i="111"/>
  <c r="BK56" i="111"/>
  <c r="BK66" i="111"/>
  <c r="BK79" i="111"/>
  <c r="BK94" i="111"/>
  <c r="BK88" i="111"/>
  <c r="BK16" i="111"/>
  <c r="BK61" i="111"/>
  <c r="BK18" i="111"/>
  <c r="BK37" i="111"/>
  <c r="BK29" i="111"/>
  <c r="BK70" i="111"/>
  <c r="BK75" i="111"/>
  <c r="BK67" i="111"/>
  <c r="BK81" i="111"/>
  <c r="BK69" i="111"/>
  <c r="BK96" i="111"/>
  <c r="BK35" i="111"/>
  <c r="BK26" i="111"/>
  <c r="BK15" i="111"/>
  <c r="BK74" i="111"/>
  <c r="BK44" i="111"/>
  <c r="BK47" i="111"/>
  <c r="BK51" i="111"/>
  <c r="BK73" i="111"/>
  <c r="BK84" i="111"/>
  <c r="BK78" i="111"/>
  <c r="BJ82" i="109"/>
  <c r="BJ55" i="109"/>
  <c r="BJ81" i="109"/>
  <c r="BJ93" i="109"/>
  <c r="BK88" i="109"/>
  <c r="BK85" i="109"/>
  <c r="BK92" i="109"/>
  <c r="BK82" i="109"/>
  <c r="BK64" i="109"/>
  <c r="BK23" i="109"/>
  <c r="BK66" i="109"/>
  <c r="BK42" i="109"/>
  <c r="BK24" i="109"/>
  <c r="BL7" i="109"/>
  <c r="BK22" i="109"/>
  <c r="BK8" i="109"/>
  <c r="BK94" i="109" s="1"/>
  <c r="BJ14" i="109"/>
  <c r="BJ30" i="109"/>
  <c r="BJ49" i="109"/>
  <c r="BJ37" i="109"/>
  <c r="BJ57" i="109"/>
  <c r="BJ63" i="109"/>
  <c r="BJ73" i="109"/>
  <c r="BJ89" i="109"/>
  <c r="BJ90" i="109"/>
  <c r="BJ78" i="109"/>
  <c r="BJ92" i="109"/>
  <c r="BJ48" i="109"/>
  <c r="BJ17" i="109"/>
  <c r="BJ79" i="109"/>
  <c r="BJ83" i="109"/>
  <c r="BJ56" i="109"/>
  <c r="BJ67" i="109"/>
  <c r="BJ95" i="109"/>
  <c r="BJ15" i="109"/>
  <c r="BJ50" i="109"/>
  <c r="BJ52" i="109"/>
  <c r="BJ26" i="109"/>
  <c r="BJ16" i="109"/>
  <c r="BJ59" i="109"/>
  <c r="BJ64" i="109"/>
  <c r="BJ75" i="109"/>
  <c r="BJ94" i="109"/>
  <c r="BJ22" i="109"/>
  <c r="BJ13" i="109"/>
  <c r="BJ23" i="109"/>
  <c r="BJ66" i="109"/>
  <c r="BJ35" i="109"/>
  <c r="BJ25" i="109"/>
  <c r="BJ71" i="109"/>
  <c r="BJ58" i="109"/>
  <c r="BJ97" i="109"/>
  <c r="BJ91" i="109"/>
  <c r="BJ33" i="109"/>
  <c r="BJ24" i="109"/>
  <c r="BJ51" i="109"/>
  <c r="BJ68" i="109"/>
  <c r="BJ44" i="109"/>
  <c r="BJ34" i="109"/>
  <c r="BJ72" i="109"/>
  <c r="BJ62" i="109"/>
  <c r="BJ86" i="109"/>
  <c r="BL96" i="107"/>
  <c r="BL97" i="107"/>
  <c r="BL92" i="107"/>
  <c r="BL86" i="107"/>
  <c r="BL81" i="107"/>
  <c r="BL82" i="107"/>
  <c r="BL83" i="107"/>
  <c r="BL80" i="107"/>
  <c r="BL58" i="107"/>
  <c r="BL67" i="107"/>
  <c r="BL47" i="107"/>
  <c r="BL29" i="107"/>
  <c r="BL66" i="107"/>
  <c r="BL50" i="107"/>
  <c r="BL33" i="107"/>
  <c r="BL93" i="107"/>
  <c r="BL39" i="107"/>
  <c r="BL36" i="107"/>
  <c r="BL44" i="107"/>
  <c r="BL51" i="107"/>
  <c r="BL19" i="107"/>
  <c r="BL23" i="107"/>
  <c r="BL26" i="107"/>
  <c r="BL20" i="107"/>
  <c r="BL27" i="107"/>
  <c r="BL25" i="107"/>
  <c r="BL45" i="107"/>
  <c r="BL71" i="107"/>
  <c r="BL24" i="107"/>
  <c r="BL49" i="107"/>
  <c r="BL8" i="107"/>
  <c r="BL88" i="107" s="1"/>
  <c r="BL13" i="107"/>
  <c r="BM7" i="107"/>
  <c r="BK12" i="107"/>
  <c r="BK34" i="107"/>
  <c r="BK33" i="107"/>
  <c r="BK74" i="107"/>
  <c r="BK70" i="107"/>
  <c r="BK38" i="107"/>
  <c r="BK52" i="107"/>
  <c r="BK69" i="107"/>
  <c r="BK83" i="107"/>
  <c r="BK88" i="107"/>
  <c r="BK57" i="107"/>
  <c r="BK78" i="107"/>
  <c r="BK86" i="107"/>
  <c r="BK96" i="107"/>
  <c r="BK20" i="107"/>
  <c r="BK28" i="107"/>
  <c r="BK26" i="107"/>
  <c r="BK16" i="107"/>
  <c r="BK39" i="107"/>
  <c r="BK68" i="107"/>
  <c r="BK53" i="107"/>
  <c r="BK58" i="107"/>
  <c r="BK85" i="107"/>
  <c r="BK95" i="107"/>
  <c r="BK93" i="107"/>
  <c r="BK11" i="107"/>
  <c r="BK27" i="107"/>
  <c r="BK40" i="107"/>
  <c r="BK25" i="107"/>
  <c r="BK48" i="107"/>
  <c r="BK81" i="107"/>
  <c r="BK60" i="107"/>
  <c r="BK72" i="107"/>
  <c r="BK64" i="107"/>
  <c r="BK92" i="107"/>
  <c r="BK45" i="107"/>
  <c r="BK56" i="107"/>
  <c r="BK37" i="107"/>
  <c r="BK59" i="107"/>
  <c r="BK50" i="107"/>
  <c r="BK63" i="107"/>
  <c r="BK55" i="107"/>
  <c r="BK73" i="107"/>
  <c r="BK44" i="105"/>
  <c r="BK52" i="105"/>
  <c r="BK83" i="105"/>
  <c r="BK49" i="105"/>
  <c r="BK27" i="105"/>
  <c r="BK57" i="105"/>
  <c r="BK67" i="105"/>
  <c r="BK55" i="105"/>
  <c r="BK58" i="105"/>
  <c r="BK16" i="105"/>
  <c r="BK35" i="105"/>
  <c r="BK23" i="105"/>
  <c r="BK42" i="105"/>
  <c r="BK18" i="105"/>
  <c r="BK40" i="105"/>
  <c r="BK12" i="105"/>
  <c r="BK26" i="105"/>
  <c r="BK39" i="105"/>
  <c r="BK51" i="105"/>
  <c r="BK69" i="105"/>
  <c r="BK75" i="105"/>
  <c r="BK79" i="105"/>
  <c r="BK92" i="105"/>
  <c r="BK93" i="105"/>
  <c r="BK31" i="105"/>
  <c r="BK50" i="105"/>
  <c r="BK20" i="105"/>
  <c r="BK30" i="105"/>
  <c r="BK53" i="105"/>
  <c r="BK48" i="105"/>
  <c r="BK62" i="105"/>
  <c r="BK78" i="105"/>
  <c r="BK84" i="105"/>
  <c r="BK89" i="105"/>
  <c r="BK80" i="105"/>
  <c r="BK47" i="105"/>
  <c r="BK13" i="105"/>
  <c r="BK24" i="105"/>
  <c r="BK41" i="105"/>
  <c r="BK60" i="105"/>
  <c r="BK71" i="105"/>
  <c r="BK90" i="105"/>
  <c r="BK86" i="105"/>
  <c r="BK97" i="105"/>
  <c r="BK36" i="105"/>
  <c r="BK34" i="105"/>
  <c r="BK96" i="105"/>
  <c r="BK19" i="105"/>
  <c r="BK22" i="105"/>
  <c r="BK17" i="105"/>
  <c r="BK29" i="105"/>
  <c r="BK37" i="105"/>
  <c r="BK73" i="105"/>
  <c r="BK72" i="105"/>
  <c r="BK61" i="105"/>
  <c r="BK81" i="105"/>
  <c r="BK94" i="105"/>
  <c r="BK14" i="105"/>
  <c r="BK68" i="105"/>
  <c r="BK56" i="105"/>
  <c r="BK11" i="105"/>
  <c r="BK25" i="105"/>
  <c r="BK15" i="105"/>
  <c r="BK38" i="105"/>
  <c r="BK46" i="105"/>
  <c r="BK82" i="105"/>
  <c r="BK85" i="105"/>
  <c r="BK70" i="105"/>
  <c r="BK95" i="105"/>
  <c r="BK91" i="105"/>
  <c r="BK64" i="105"/>
  <c r="BK28" i="105"/>
  <c r="BK33" i="105"/>
  <c r="BL94" i="105"/>
  <c r="BL92" i="105"/>
  <c r="BL93" i="105"/>
  <c r="BL84" i="105"/>
  <c r="BL79" i="105"/>
  <c r="BL61" i="105"/>
  <c r="BL75" i="105"/>
  <c r="BL64" i="105"/>
  <c r="BL71" i="105"/>
  <c r="BL80" i="105"/>
  <c r="BL66" i="105"/>
  <c r="BL51" i="105"/>
  <c r="BL63" i="105"/>
  <c r="BL46" i="105"/>
  <c r="BL40" i="105"/>
  <c r="BL53" i="105"/>
  <c r="BL55" i="105"/>
  <c r="BL50" i="105"/>
  <c r="BL59" i="105"/>
  <c r="BL28" i="105"/>
  <c r="BL44" i="105"/>
  <c r="BL42" i="105"/>
  <c r="BL31" i="105"/>
  <c r="BL20" i="105"/>
  <c r="BL36" i="105"/>
  <c r="BL45" i="105"/>
  <c r="BL18" i="105"/>
  <c r="BL39" i="105"/>
  <c r="BL29" i="105"/>
  <c r="BL19" i="105"/>
  <c r="BL25" i="105"/>
  <c r="BL13" i="105"/>
  <c r="BL14" i="105"/>
  <c r="BM7" i="105"/>
  <c r="BL8" i="105"/>
  <c r="BL95" i="105" s="1"/>
  <c r="BK45" i="105"/>
  <c r="BK63" i="105"/>
  <c r="BK66" i="105"/>
  <c r="BK59" i="105"/>
  <c r="BK77" i="105"/>
  <c r="BK74" i="105"/>
  <c r="BK50" i="103"/>
  <c r="BK34" i="103"/>
  <c r="BK46" i="103"/>
  <c r="BK75" i="103"/>
  <c r="BK71" i="103"/>
  <c r="BK72" i="103"/>
  <c r="BK95" i="103"/>
  <c r="BK93" i="103"/>
  <c r="BK73" i="103"/>
  <c r="BK79" i="103"/>
  <c r="BK97" i="103"/>
  <c r="BK31" i="103"/>
  <c r="BK30" i="103"/>
  <c r="BK18" i="103"/>
  <c r="BK45" i="103"/>
  <c r="BK52" i="103"/>
  <c r="BK48" i="103"/>
  <c r="BK56" i="103"/>
  <c r="BK83" i="103"/>
  <c r="BK84" i="103"/>
  <c r="BK94" i="103"/>
  <c r="BK36" i="103"/>
  <c r="BK62" i="103"/>
  <c r="BK27" i="103"/>
  <c r="BK42" i="103"/>
  <c r="BK67" i="103"/>
  <c r="BK55" i="103"/>
  <c r="BK59" i="103"/>
  <c r="BK70" i="103"/>
  <c r="BK81" i="103"/>
  <c r="BK91" i="103"/>
  <c r="BK40" i="103"/>
  <c r="BK13" i="103"/>
  <c r="BK35" i="103"/>
  <c r="BK47" i="103"/>
  <c r="BK49" i="103"/>
  <c r="BK58" i="103"/>
  <c r="BK69" i="103"/>
  <c r="BK80" i="103"/>
  <c r="BK78" i="103"/>
  <c r="BK88" i="103"/>
  <c r="BK15" i="103"/>
  <c r="BL88" i="103"/>
  <c r="BL94" i="103"/>
  <c r="BL97" i="103"/>
  <c r="BL89" i="103"/>
  <c r="BL95" i="103"/>
  <c r="BL90" i="103"/>
  <c r="BL81" i="103"/>
  <c r="BL84" i="103"/>
  <c r="BL79" i="103"/>
  <c r="BL85" i="103"/>
  <c r="BL80" i="103"/>
  <c r="BL78" i="103"/>
  <c r="BL67" i="103"/>
  <c r="BL58" i="103"/>
  <c r="BL83" i="103"/>
  <c r="BL64" i="103"/>
  <c r="BL68" i="103"/>
  <c r="BL74" i="103"/>
  <c r="BL72" i="103"/>
  <c r="BL69" i="103"/>
  <c r="BL70" i="103"/>
  <c r="BL60" i="103"/>
  <c r="BL71" i="103"/>
  <c r="BL56" i="103"/>
  <c r="BL51" i="103"/>
  <c r="BL42" i="103"/>
  <c r="BL46" i="103"/>
  <c r="BL40" i="103"/>
  <c r="BL52" i="103"/>
  <c r="BL59" i="103"/>
  <c r="BL47" i="103"/>
  <c r="BL53" i="103"/>
  <c r="BL38" i="103"/>
  <c r="BL35" i="103"/>
  <c r="BL39" i="103"/>
  <c r="BL61" i="103"/>
  <c r="BL37" i="103"/>
  <c r="BL29" i="103"/>
  <c r="BL55" i="103"/>
  <c r="BL24" i="103"/>
  <c r="BL62" i="103"/>
  <c r="BL44" i="103"/>
  <c r="BL30" i="103"/>
  <c r="BL22" i="103"/>
  <c r="BL36" i="103"/>
  <c r="BL41" i="103"/>
  <c r="BL18" i="103"/>
  <c r="BL19" i="103"/>
  <c r="BL23" i="103"/>
  <c r="BL11" i="103"/>
  <c r="BM7" i="103"/>
  <c r="BL25" i="103"/>
  <c r="BL14" i="103"/>
  <c r="BL31" i="103"/>
  <c r="BL26" i="103"/>
  <c r="BL12" i="103"/>
  <c r="BL33" i="103"/>
  <c r="BL17" i="103"/>
  <c r="BL8" i="103"/>
  <c r="BL92" i="103" s="1"/>
  <c r="BL15" i="103"/>
  <c r="BK22" i="103"/>
  <c r="BK38" i="103"/>
  <c r="BK53" i="103"/>
  <c r="BK37" i="103"/>
  <c r="BK61" i="103"/>
  <c r="BK68" i="103"/>
  <c r="BK63" i="103"/>
  <c r="BK86" i="103"/>
  <c r="BJ75" i="101"/>
  <c r="BJ97" i="101"/>
  <c r="BJ91" i="101"/>
  <c r="BJ78" i="101"/>
  <c r="BJ88" i="101"/>
  <c r="BK96" i="101"/>
  <c r="BK92" i="101"/>
  <c r="BK81" i="101"/>
  <c r="BK95" i="101"/>
  <c r="BK70" i="101"/>
  <c r="BK86" i="101"/>
  <c r="BK83" i="101"/>
  <c r="BK85" i="101"/>
  <c r="BK73" i="101"/>
  <c r="BK71" i="101"/>
  <c r="BK67" i="101"/>
  <c r="BK62" i="101"/>
  <c r="BK46" i="101"/>
  <c r="BK44" i="101"/>
  <c r="BK64" i="101"/>
  <c r="BK47" i="101"/>
  <c r="BK30" i="101"/>
  <c r="BK48" i="101"/>
  <c r="BK39" i="101"/>
  <c r="BK52" i="101"/>
  <c r="BK51" i="101"/>
  <c r="BK38" i="101"/>
  <c r="BK36" i="101"/>
  <c r="BK31" i="101"/>
  <c r="BK33" i="101"/>
  <c r="BK24" i="101"/>
  <c r="BK19" i="101"/>
  <c r="BK16" i="101"/>
  <c r="BK14" i="101"/>
  <c r="BL7" i="101"/>
  <c r="BK17" i="101"/>
  <c r="BK18" i="101"/>
  <c r="BK12" i="101"/>
  <c r="BK8" i="101"/>
  <c r="BK91" i="101" s="1"/>
  <c r="BK15" i="101"/>
  <c r="BJ20" i="101"/>
  <c r="BJ64" i="101"/>
  <c r="BJ45" i="101"/>
  <c r="BJ59" i="101"/>
  <c r="BJ42" i="101"/>
  <c r="BJ66" i="101"/>
  <c r="BJ73" i="101"/>
  <c r="BJ92" i="101"/>
  <c r="BJ96" i="101"/>
  <c r="BJ14" i="101"/>
  <c r="BJ12" i="101"/>
  <c r="BJ28" i="101"/>
  <c r="BJ27" i="101"/>
  <c r="BJ55" i="101"/>
  <c r="BJ51" i="101"/>
  <c r="BJ74" i="101"/>
  <c r="BJ82" i="101"/>
  <c r="BJ86" i="101"/>
  <c r="BJ93" i="101"/>
  <c r="BJ31" i="101"/>
  <c r="BJ47" i="101"/>
  <c r="BJ70" i="101"/>
  <c r="BJ68" i="101"/>
  <c r="BJ53" i="101"/>
  <c r="BJ72" i="101"/>
  <c r="BJ95" i="101"/>
  <c r="BJ90" i="101"/>
  <c r="BJ24" i="101"/>
  <c r="BJ52" i="101"/>
  <c r="BJ38" i="101"/>
  <c r="BJ37" i="101"/>
  <c r="BJ33" i="101"/>
  <c r="BJ40" i="101"/>
  <c r="BJ67" i="101"/>
  <c r="BJ62" i="101"/>
  <c r="BJ80" i="101"/>
  <c r="BJ48" i="99"/>
  <c r="BJ50" i="99"/>
  <c r="BJ44" i="99"/>
  <c r="BJ66" i="99"/>
  <c r="BJ62" i="99"/>
  <c r="BJ83" i="99"/>
  <c r="BJ73" i="99"/>
  <c r="BJ96" i="99"/>
  <c r="BJ75" i="99"/>
  <c r="BJ71" i="99"/>
  <c r="BJ82" i="99"/>
  <c r="BJ93" i="99"/>
  <c r="BK96" i="99"/>
  <c r="BK91" i="99"/>
  <c r="BK94" i="99"/>
  <c r="BK86" i="99"/>
  <c r="BK77" i="99"/>
  <c r="BK68" i="99"/>
  <c r="BK66" i="99"/>
  <c r="BK81" i="99"/>
  <c r="BK72" i="99"/>
  <c r="BK57" i="99"/>
  <c r="BK60" i="99"/>
  <c r="BK79" i="99"/>
  <c r="BK63" i="99"/>
  <c r="BK51" i="99"/>
  <c r="BK40" i="99"/>
  <c r="BK38" i="99"/>
  <c r="BK58" i="99"/>
  <c r="BK49" i="99"/>
  <c r="BK28" i="99"/>
  <c r="BK73" i="99"/>
  <c r="BK31" i="99"/>
  <c r="BK39" i="99"/>
  <c r="BK34" i="99"/>
  <c r="BK13" i="99"/>
  <c r="BK11" i="99"/>
  <c r="BL7" i="99"/>
  <c r="BK59" i="99"/>
  <c r="BK24" i="99"/>
  <c r="BK27" i="99"/>
  <c r="BK15" i="99"/>
  <c r="BK8" i="99"/>
  <c r="BK97" i="99" s="1"/>
  <c r="BK25" i="99"/>
  <c r="BJ63" i="99"/>
  <c r="BJ80" i="99"/>
  <c r="BJ92" i="99"/>
  <c r="BJ90" i="99"/>
  <c r="BJ15" i="99"/>
  <c r="BJ34" i="99"/>
  <c r="BJ13" i="99"/>
  <c r="BJ45" i="99"/>
  <c r="BJ59" i="99"/>
  <c r="BJ37" i="99"/>
  <c r="BJ60" i="99"/>
  <c r="BJ72" i="99"/>
  <c r="BJ68" i="99"/>
  <c r="BJ89" i="99"/>
  <c r="BJ19" i="99"/>
  <c r="BJ84" i="99"/>
  <c r="BJ46" i="99"/>
  <c r="BJ86" i="99"/>
  <c r="BJ81" i="99"/>
  <c r="BJ77" i="99"/>
  <c r="BJ97" i="99"/>
  <c r="BJ24" i="99"/>
  <c r="BJ17" i="99"/>
  <c r="BJ18" i="99"/>
  <c r="BJ28" i="99"/>
  <c r="BJ38" i="99"/>
  <c r="BJ61" i="99"/>
  <c r="BJ57" i="99"/>
  <c r="BJ69" i="99"/>
  <c r="BJ85" i="99"/>
  <c r="BJ16" i="97"/>
  <c r="BJ34" i="97"/>
  <c r="BJ61" i="97"/>
  <c r="BJ51" i="97"/>
  <c r="BJ66" i="97"/>
  <c r="BJ73" i="97"/>
  <c r="BJ96" i="97"/>
  <c r="BJ17" i="97"/>
  <c r="BJ15" i="97"/>
  <c r="BJ23" i="97"/>
  <c r="BJ25" i="97"/>
  <c r="BJ50" i="97"/>
  <c r="BJ67" i="97"/>
  <c r="BJ60" i="97"/>
  <c r="BJ74" i="97"/>
  <c r="BJ82" i="97"/>
  <c r="BJ93" i="97"/>
  <c r="BK59" i="97"/>
  <c r="BK75" i="97"/>
  <c r="BK53" i="97"/>
  <c r="BK8" i="97"/>
  <c r="BK92" i="97" s="1"/>
  <c r="BL7" i="97"/>
  <c r="BK22" i="97"/>
  <c r="BJ39" i="97"/>
  <c r="BJ57" i="97"/>
  <c r="BJ70" i="97"/>
  <c r="BJ62" i="97"/>
  <c r="BJ83" i="97"/>
  <c r="BJ92" i="97"/>
  <c r="BJ90" i="97"/>
  <c r="BJ37" i="97"/>
  <c r="BJ72" i="97"/>
  <c r="BJ36" i="97"/>
  <c r="BJ46" i="97"/>
  <c r="BJ59" i="97"/>
  <c r="BJ80" i="97"/>
  <c r="BJ97" i="97"/>
  <c r="BJ28" i="97"/>
  <c r="BJ24" i="97"/>
  <c r="BJ79" i="97"/>
  <c r="BJ29" i="97"/>
  <c r="BJ58" i="97"/>
  <c r="BJ84" i="97"/>
  <c r="BJ86" i="97"/>
  <c r="BJ56" i="97"/>
  <c r="BJ95" i="97"/>
  <c r="BL41" i="95"/>
  <c r="BL12" i="95"/>
  <c r="BL18" i="95"/>
  <c r="BL26" i="95"/>
  <c r="BL34" i="95"/>
  <c r="BL68" i="95"/>
  <c r="BL48" i="95"/>
  <c r="BL22" i="95"/>
  <c r="BL94" i="95"/>
  <c r="BL81" i="95"/>
  <c r="BL74" i="95"/>
  <c r="BL23" i="95"/>
  <c r="BL50" i="95"/>
  <c r="BL85" i="95"/>
  <c r="BL60" i="95"/>
  <c r="BL91" i="95"/>
  <c r="BL37" i="95"/>
  <c r="BL15" i="95"/>
  <c r="BL24" i="95"/>
  <c r="BL31" i="95"/>
  <c r="BL45" i="95"/>
  <c r="BL16" i="95"/>
  <c r="BL27" i="95"/>
  <c r="BL47" i="95"/>
  <c r="BL46" i="95"/>
  <c r="BL77" i="95"/>
  <c r="BL88" i="95"/>
  <c r="BL72" i="95"/>
  <c r="BL84" i="95"/>
  <c r="BL93" i="95"/>
  <c r="BL89" i="95"/>
  <c r="BL11" i="95"/>
  <c r="BL25" i="95"/>
  <c r="BL42" i="95"/>
  <c r="BL36" i="95"/>
  <c r="BL49" i="95"/>
  <c r="BL56" i="95"/>
  <c r="BL44" i="95"/>
  <c r="BL96" i="95"/>
  <c r="BL55" i="95"/>
  <c r="BL95" i="95"/>
  <c r="BL86" i="95"/>
  <c r="BL97" i="95"/>
  <c r="BL13" i="95"/>
  <c r="BL29" i="95"/>
  <c r="BL62" i="95"/>
  <c r="BL38" i="95"/>
  <c r="BL59" i="95"/>
  <c r="BL57" i="95"/>
  <c r="BL64" i="95"/>
  <c r="BL61" i="95"/>
  <c r="BL67" i="95"/>
  <c r="BL90" i="95"/>
  <c r="BN7" i="95"/>
  <c r="BM8" i="95"/>
  <c r="BM96" i="95" s="1"/>
  <c r="BL63" i="95"/>
  <c r="BL28" i="95"/>
  <c r="BL30" i="95"/>
  <c r="BL51" i="95"/>
  <c r="BL14" i="95"/>
  <c r="BL33" i="95"/>
  <c r="BL75" i="95"/>
  <c r="BL53" i="95"/>
  <c r="BL78" i="95"/>
  <c r="BL69" i="95"/>
  <c r="BL73" i="95"/>
  <c r="BL92" i="95"/>
  <c r="BL39" i="95"/>
  <c r="BL19" i="95"/>
  <c r="BL17" i="95"/>
  <c r="BL40" i="95"/>
  <c r="BL35" i="95"/>
  <c r="BL83" i="95"/>
  <c r="BL20" i="95"/>
  <c r="BL58" i="95"/>
  <c r="BL66" i="95"/>
  <c r="BL52" i="95"/>
  <c r="BL70" i="95"/>
  <c r="BL79" i="95"/>
  <c r="BL71" i="95"/>
  <c r="BL80" i="95"/>
  <c r="BK13" i="59" l="1"/>
  <c r="BK14" i="59"/>
  <c r="BK16" i="59"/>
  <c r="BK53" i="59"/>
  <c r="BK79" i="59"/>
  <c r="BK12" i="59"/>
  <c r="BK24" i="59"/>
  <c r="BK30" i="59"/>
  <c r="BK69" i="59"/>
  <c r="BK89" i="59"/>
  <c r="BK42" i="59"/>
  <c r="BK40" i="59"/>
  <c r="BK52" i="59"/>
  <c r="BK77" i="59"/>
  <c r="BK91" i="59"/>
  <c r="BK17" i="59"/>
  <c r="BK49" i="59"/>
  <c r="BK58" i="59"/>
  <c r="BK84" i="59"/>
  <c r="BK48" i="59"/>
  <c r="BK39" i="59"/>
  <c r="BK50" i="59"/>
  <c r="BK70" i="59"/>
  <c r="BK68" i="59"/>
  <c r="BK94" i="59"/>
  <c r="BK22" i="59"/>
  <c r="BK20" i="59"/>
  <c r="BK23" i="59"/>
  <c r="BK28" i="59"/>
  <c r="BK45" i="59"/>
  <c r="BK81" i="59"/>
  <c r="BK57" i="59"/>
  <c r="BK74" i="59"/>
  <c r="BK15" i="59"/>
  <c r="BK35" i="59"/>
  <c r="BK38" i="59"/>
  <c r="BK37" i="59"/>
  <c r="BK55" i="59"/>
  <c r="BK67" i="59"/>
  <c r="BK61" i="59"/>
  <c r="BK86" i="59"/>
  <c r="BM7" i="59"/>
  <c r="BL8" i="59"/>
  <c r="BL91" i="59" s="1"/>
  <c r="BK97" i="59"/>
  <c r="BK59" i="59"/>
  <c r="BK56" i="59"/>
  <c r="BK71" i="59"/>
  <c r="BK90" i="59"/>
  <c r="BK88" i="59"/>
  <c r="BK26" i="59"/>
  <c r="BK41" i="59"/>
  <c r="BK19" i="59"/>
  <c r="BK34" i="59"/>
  <c r="BK51" i="59"/>
  <c r="BK62" i="59"/>
  <c r="BK80" i="59"/>
  <c r="BK85" i="59"/>
  <c r="BK78" i="59"/>
  <c r="BK96" i="59"/>
  <c r="BK46" i="59"/>
  <c r="BK31" i="59"/>
  <c r="BK11" i="59"/>
  <c r="BK27" i="59"/>
  <c r="BK73" i="59"/>
  <c r="BK47" i="59"/>
  <c r="BK66" i="59"/>
  <c r="BK83" i="59"/>
  <c r="BK63" i="59"/>
  <c r="BK95" i="59"/>
  <c r="BK93" i="59"/>
  <c r="BK75" i="59"/>
  <c r="BK72" i="59"/>
  <c r="BK48" i="113"/>
  <c r="BK84" i="113"/>
  <c r="BK13" i="113"/>
  <c r="BK36" i="113"/>
  <c r="BK15" i="113"/>
  <c r="BK34" i="113"/>
  <c r="BK41" i="113"/>
  <c r="BK57" i="113"/>
  <c r="BK52" i="113"/>
  <c r="BK63" i="113"/>
  <c r="BK93" i="113"/>
  <c r="BK16" i="113"/>
  <c r="BK18" i="113"/>
  <c r="BK20" i="113"/>
  <c r="BK66" i="113"/>
  <c r="BK50" i="113"/>
  <c r="BK37" i="113"/>
  <c r="BK60" i="113"/>
  <c r="BK72" i="113"/>
  <c r="BK86" i="113"/>
  <c r="BK92" i="113"/>
  <c r="BK11" i="113"/>
  <c r="BK17" i="113"/>
  <c r="BK42" i="113"/>
  <c r="BK25" i="113"/>
  <c r="BK22" i="113"/>
  <c r="BK47" i="113"/>
  <c r="BK46" i="113"/>
  <c r="BK68" i="113"/>
  <c r="BK85" i="113"/>
  <c r="BK90" i="113"/>
  <c r="BK89" i="113"/>
  <c r="BK19" i="113"/>
  <c r="BK26" i="113"/>
  <c r="BK12" i="113"/>
  <c r="BK29" i="113"/>
  <c r="BK44" i="113"/>
  <c r="BK51" i="113"/>
  <c r="BK77" i="113"/>
  <c r="BK80" i="113"/>
  <c r="BK82" i="113"/>
  <c r="BK97" i="113"/>
  <c r="BK67" i="113"/>
  <c r="BK33" i="113"/>
  <c r="BK53" i="113"/>
  <c r="BK64" i="113"/>
  <c r="BK59" i="113"/>
  <c r="BK96" i="113"/>
  <c r="BL92" i="113"/>
  <c r="BL95" i="113"/>
  <c r="BL73" i="113"/>
  <c r="BL85" i="113"/>
  <c r="BL57" i="113"/>
  <c r="BL80" i="113"/>
  <c r="BL68" i="113"/>
  <c r="BL60" i="113"/>
  <c r="BL49" i="113"/>
  <c r="BL40" i="113"/>
  <c r="BL38" i="113"/>
  <c r="BL55" i="113"/>
  <c r="BL25" i="113"/>
  <c r="BL18" i="113"/>
  <c r="BL42" i="113"/>
  <c r="BL20" i="113"/>
  <c r="BL23" i="113"/>
  <c r="BL37" i="113"/>
  <c r="BL8" i="113"/>
  <c r="BL96" i="113" s="1"/>
  <c r="BL12" i="113"/>
  <c r="BL16" i="113"/>
  <c r="BM7" i="113"/>
  <c r="BK45" i="113"/>
  <c r="BK23" i="113"/>
  <c r="BK39" i="113"/>
  <c r="BK31" i="113"/>
  <c r="BK58" i="113"/>
  <c r="BK70" i="113"/>
  <c r="BK83" i="113"/>
  <c r="BK79" i="113"/>
  <c r="BK94" i="113"/>
  <c r="BK81" i="113"/>
  <c r="BK14" i="113"/>
  <c r="BK30" i="113"/>
  <c r="BK27" i="113"/>
  <c r="BK24" i="113"/>
  <c r="BK40" i="113"/>
  <c r="BK61" i="113"/>
  <c r="BK74" i="113"/>
  <c r="BK62" i="113"/>
  <c r="BK95" i="113"/>
  <c r="BK91" i="113"/>
  <c r="BK73" i="113"/>
  <c r="BK56" i="113"/>
  <c r="BK38" i="113"/>
  <c r="BK35" i="113"/>
  <c r="BK28" i="113"/>
  <c r="BK49" i="113"/>
  <c r="BK69" i="113"/>
  <c r="BK55" i="113"/>
  <c r="BK71" i="113"/>
  <c r="BK75" i="113"/>
  <c r="BM97" i="111"/>
  <c r="BM86" i="111"/>
  <c r="BM90" i="111"/>
  <c r="BM88" i="111"/>
  <c r="BM75" i="111"/>
  <c r="BM64" i="111"/>
  <c r="BM56" i="111"/>
  <c r="BM47" i="111"/>
  <c r="BM92" i="111"/>
  <c r="BM63" i="111"/>
  <c r="BM60" i="111"/>
  <c r="BM74" i="111"/>
  <c r="BM66" i="111"/>
  <c r="BM52" i="111"/>
  <c r="BM70" i="111"/>
  <c r="BM62" i="111"/>
  <c r="BM46" i="111"/>
  <c r="BM36" i="111"/>
  <c r="BM79" i="111"/>
  <c r="BM57" i="111"/>
  <c r="BM48" i="111"/>
  <c r="BM85" i="111"/>
  <c r="BM80" i="111"/>
  <c r="BM27" i="111"/>
  <c r="BM40" i="111"/>
  <c r="BM35" i="111"/>
  <c r="BM28" i="111"/>
  <c r="BM33" i="111"/>
  <c r="BM8" i="111"/>
  <c r="BM91" i="111" s="1"/>
  <c r="BM58" i="111"/>
  <c r="BM20" i="111"/>
  <c r="BM69" i="111"/>
  <c r="BM34" i="111"/>
  <c r="BM13" i="111"/>
  <c r="BM25" i="111"/>
  <c r="BN7" i="111"/>
  <c r="BM41" i="111"/>
  <c r="BM23" i="111"/>
  <c r="BM19" i="111"/>
  <c r="BM55" i="111"/>
  <c r="BM14" i="111"/>
  <c r="BM37" i="111"/>
  <c r="BM11" i="111"/>
  <c r="BM15" i="111"/>
  <c r="BM12" i="111"/>
  <c r="BL88" i="111"/>
  <c r="BL96" i="111"/>
  <c r="BL25" i="111"/>
  <c r="BL41" i="111"/>
  <c r="BL55" i="111"/>
  <c r="BL68" i="111"/>
  <c r="BL80" i="111"/>
  <c r="BL70" i="111"/>
  <c r="BL95" i="111"/>
  <c r="BL23" i="111"/>
  <c r="BL18" i="111"/>
  <c r="BL34" i="111"/>
  <c r="BL42" i="111"/>
  <c r="BL71" i="111"/>
  <c r="BL74" i="111"/>
  <c r="BL82" i="111"/>
  <c r="BL73" i="111"/>
  <c r="BK45" i="109"/>
  <c r="BK26" i="109"/>
  <c r="BK52" i="109"/>
  <c r="BK14" i="109"/>
  <c r="BK37" i="109"/>
  <c r="BK77" i="109"/>
  <c r="BK69" i="109"/>
  <c r="BK81" i="109"/>
  <c r="BK91" i="109"/>
  <c r="BK44" i="109"/>
  <c r="BK33" i="109"/>
  <c r="BK25" i="109"/>
  <c r="BK51" i="109"/>
  <c r="BK35" i="109"/>
  <c r="BK31" i="109"/>
  <c r="BK49" i="109"/>
  <c r="BK61" i="109"/>
  <c r="BK71" i="109"/>
  <c r="BK70" i="109"/>
  <c r="BK96" i="109"/>
  <c r="BK11" i="109"/>
  <c r="BK41" i="109"/>
  <c r="BK78" i="109"/>
  <c r="BK30" i="109"/>
  <c r="BK39" i="109"/>
  <c r="BK40" i="109"/>
  <c r="BK68" i="109"/>
  <c r="BK74" i="109"/>
  <c r="BK80" i="109"/>
  <c r="BK79" i="109"/>
  <c r="BK93" i="109"/>
  <c r="BK46" i="109"/>
  <c r="BL93" i="109"/>
  <c r="BL73" i="109"/>
  <c r="BL63" i="109"/>
  <c r="BL86" i="109"/>
  <c r="BL72" i="109"/>
  <c r="BL71" i="109"/>
  <c r="BL66" i="109"/>
  <c r="BL47" i="109"/>
  <c r="BL40" i="109"/>
  <c r="BL31" i="109"/>
  <c r="BL26" i="109"/>
  <c r="BL17" i="109"/>
  <c r="BL59" i="109"/>
  <c r="BL24" i="109"/>
  <c r="BL15" i="109"/>
  <c r="BL53" i="109"/>
  <c r="BL36" i="109"/>
  <c r="BL62" i="109"/>
  <c r="BL58" i="109"/>
  <c r="BL42" i="109"/>
  <c r="BL28" i="109"/>
  <c r="BL8" i="109"/>
  <c r="BL96" i="109" s="1"/>
  <c r="BL16" i="109"/>
  <c r="BM7" i="109"/>
  <c r="BL29" i="109"/>
  <c r="BL22" i="109"/>
  <c r="BL11" i="109"/>
  <c r="BL38" i="109"/>
  <c r="BL37" i="109"/>
  <c r="BL19" i="109"/>
  <c r="BL46" i="109"/>
  <c r="BL12" i="109"/>
  <c r="BL39" i="109"/>
  <c r="BL20" i="109"/>
  <c r="BL34" i="109"/>
  <c r="BK55" i="109"/>
  <c r="BK90" i="109"/>
  <c r="BK20" i="109"/>
  <c r="BK47" i="109"/>
  <c r="BK53" i="109"/>
  <c r="BK60" i="109"/>
  <c r="BK83" i="109"/>
  <c r="BK84" i="109"/>
  <c r="BK17" i="109"/>
  <c r="BK16" i="109"/>
  <c r="BK86" i="109"/>
  <c r="BK36" i="109"/>
  <c r="BK29" i="109"/>
  <c r="BK50" i="109"/>
  <c r="BK56" i="109"/>
  <c r="BK63" i="109"/>
  <c r="BK95" i="109"/>
  <c r="BK89" i="109"/>
  <c r="BK13" i="109"/>
  <c r="BK27" i="109"/>
  <c r="BK12" i="109"/>
  <c r="BK59" i="109"/>
  <c r="BK38" i="109"/>
  <c r="BK19" i="109"/>
  <c r="BK67" i="109"/>
  <c r="BK58" i="109"/>
  <c r="BK75" i="109"/>
  <c r="BK97" i="109"/>
  <c r="BK15" i="109"/>
  <c r="BK34" i="109"/>
  <c r="BK18" i="109"/>
  <c r="BK48" i="109"/>
  <c r="BK57" i="109"/>
  <c r="BK28" i="109"/>
  <c r="BK72" i="109"/>
  <c r="BK62" i="109"/>
  <c r="BK73" i="109"/>
  <c r="BL15" i="107"/>
  <c r="BL42" i="107"/>
  <c r="BL30" i="107"/>
  <c r="BL70" i="107"/>
  <c r="BL85" i="107"/>
  <c r="BL75" i="107"/>
  <c r="BL52" i="107"/>
  <c r="BL74" i="107"/>
  <c r="BL95" i="107"/>
  <c r="BL14" i="107"/>
  <c r="BL12" i="107"/>
  <c r="BL17" i="107"/>
  <c r="BL46" i="107"/>
  <c r="BL35" i="107"/>
  <c r="BL41" i="107"/>
  <c r="BL38" i="107"/>
  <c r="BL72" i="107"/>
  <c r="BL68" i="107"/>
  <c r="BL89" i="107"/>
  <c r="BL11" i="107"/>
  <c r="BL28" i="107"/>
  <c r="BL31" i="107"/>
  <c r="BL34" i="107"/>
  <c r="BL48" i="107"/>
  <c r="BL61" i="107"/>
  <c r="BL53" i="107"/>
  <c r="BL69" i="107"/>
  <c r="BL79" i="107"/>
  <c r="BL94" i="107"/>
  <c r="BL37" i="107"/>
  <c r="BL16" i="107"/>
  <c r="BL40" i="107"/>
  <c r="BL55" i="107"/>
  <c r="BL59" i="107"/>
  <c r="BL62" i="107"/>
  <c r="BL60" i="107"/>
  <c r="BL73" i="107"/>
  <c r="BL78" i="107"/>
  <c r="BL91" i="107"/>
  <c r="BM91" i="107"/>
  <c r="BM92" i="107"/>
  <c r="BM95" i="107"/>
  <c r="BM86" i="107"/>
  <c r="BM90" i="107"/>
  <c r="BM93" i="107"/>
  <c r="BM85" i="107"/>
  <c r="BM71" i="107"/>
  <c r="BM62" i="107"/>
  <c r="BM88" i="107"/>
  <c r="BM83" i="107"/>
  <c r="BM67" i="107"/>
  <c r="BM63" i="107"/>
  <c r="BM60" i="107"/>
  <c r="BM56" i="107"/>
  <c r="BM66" i="107"/>
  <c r="BM41" i="107"/>
  <c r="BM33" i="107"/>
  <c r="BM58" i="107"/>
  <c r="BM45" i="107"/>
  <c r="BM36" i="107"/>
  <c r="BM78" i="107"/>
  <c r="BM69" i="107"/>
  <c r="BM68" i="107"/>
  <c r="BM59" i="107"/>
  <c r="BM55" i="107"/>
  <c r="BM48" i="107"/>
  <c r="BM70" i="107"/>
  <c r="BM44" i="107"/>
  <c r="BM77" i="107"/>
  <c r="BM57" i="107"/>
  <c r="BM49" i="107"/>
  <c r="BM40" i="107"/>
  <c r="BM38" i="107"/>
  <c r="BM23" i="107"/>
  <c r="BM39" i="107"/>
  <c r="BM31" i="107"/>
  <c r="BM29" i="107"/>
  <c r="BM26" i="107"/>
  <c r="BM20" i="107"/>
  <c r="BM34" i="107"/>
  <c r="BM24" i="107"/>
  <c r="BM47" i="107"/>
  <c r="BM35" i="107"/>
  <c r="BM28" i="107"/>
  <c r="BM25" i="107"/>
  <c r="BM42" i="107"/>
  <c r="BM51" i="107"/>
  <c r="BM18" i="107"/>
  <c r="BM15" i="107"/>
  <c r="BM27" i="107"/>
  <c r="BM8" i="107"/>
  <c r="BM94" i="107" s="1"/>
  <c r="BM79" i="107"/>
  <c r="BM37" i="107"/>
  <c r="BM14" i="107"/>
  <c r="BN7" i="107"/>
  <c r="BM16" i="107"/>
  <c r="BM19" i="107"/>
  <c r="BM13" i="107"/>
  <c r="BL22" i="107"/>
  <c r="BL18" i="107"/>
  <c r="BL56" i="107"/>
  <c r="BL57" i="107"/>
  <c r="BL84" i="107"/>
  <c r="BL64" i="107"/>
  <c r="BL63" i="107"/>
  <c r="BL77" i="107"/>
  <c r="BL90" i="107"/>
  <c r="BL89" i="105"/>
  <c r="BL41" i="105"/>
  <c r="BL16" i="105"/>
  <c r="BL12" i="105"/>
  <c r="BL48" i="105"/>
  <c r="BL47" i="105"/>
  <c r="BL81" i="105"/>
  <c r="BL62" i="105"/>
  <c r="BL90" i="105"/>
  <c r="BL78" i="105"/>
  <c r="BL97" i="105"/>
  <c r="BL67" i="105"/>
  <c r="BL72" i="105"/>
  <c r="BL70" i="105"/>
  <c r="BL74" i="105"/>
  <c r="BL91" i="105"/>
  <c r="BL11" i="105"/>
  <c r="BL15" i="105"/>
  <c r="BL17" i="105"/>
  <c r="BL58" i="105"/>
  <c r="BL49" i="105"/>
  <c r="BL60" i="105"/>
  <c r="BL85" i="105"/>
  <c r="BL77" i="105"/>
  <c r="BL83" i="105"/>
  <c r="BL88" i="105"/>
  <c r="BM95" i="105"/>
  <c r="BM96" i="105"/>
  <c r="BM68" i="105"/>
  <c r="BM69" i="105"/>
  <c r="BM73" i="105"/>
  <c r="BM45" i="105"/>
  <c r="BM42" i="105"/>
  <c r="BM24" i="105"/>
  <c r="BM8" i="105"/>
  <c r="BM86" i="105" s="1"/>
  <c r="BM22" i="105"/>
  <c r="BM26" i="105"/>
  <c r="BM53" i="105"/>
  <c r="BN7" i="105"/>
  <c r="BL26" i="105"/>
  <c r="BL23" i="105"/>
  <c r="BL24" i="105"/>
  <c r="BL33" i="105"/>
  <c r="BL30" i="105"/>
  <c r="BL52" i="105"/>
  <c r="BL69" i="105"/>
  <c r="BL68" i="105"/>
  <c r="BL73" i="105"/>
  <c r="BL86" i="105"/>
  <c r="BL96" i="105"/>
  <c r="BL38" i="105"/>
  <c r="BL22" i="105"/>
  <c r="BL27" i="105"/>
  <c r="BL34" i="105"/>
  <c r="BL35" i="105"/>
  <c r="BL37" i="105"/>
  <c r="BL57" i="105"/>
  <c r="BL56" i="105"/>
  <c r="BL82" i="105"/>
  <c r="BL93" i="103"/>
  <c r="BL91" i="103"/>
  <c r="BM89" i="103"/>
  <c r="BM92" i="103"/>
  <c r="BM95" i="103"/>
  <c r="BM90" i="103"/>
  <c r="BM79" i="103"/>
  <c r="BM82" i="103"/>
  <c r="BM85" i="103"/>
  <c r="BM80" i="103"/>
  <c r="BM61" i="103"/>
  <c r="BM73" i="103"/>
  <c r="BM81" i="103"/>
  <c r="BM68" i="103"/>
  <c r="BM69" i="103"/>
  <c r="BM72" i="103"/>
  <c r="BM64" i="103"/>
  <c r="BM74" i="103"/>
  <c r="BM66" i="103"/>
  <c r="BM63" i="103"/>
  <c r="BM46" i="103"/>
  <c r="BM37" i="103"/>
  <c r="BM49" i="103"/>
  <c r="BM52" i="103"/>
  <c r="BM47" i="103"/>
  <c r="BM50" i="103"/>
  <c r="BM78" i="103"/>
  <c r="BM45" i="103"/>
  <c r="BM42" i="103"/>
  <c r="BM41" i="103"/>
  <c r="BM34" i="103"/>
  <c r="BM53" i="103"/>
  <c r="BM27" i="103"/>
  <c r="BM58" i="103"/>
  <c r="BM25" i="103"/>
  <c r="BM16" i="103"/>
  <c r="BM31" i="103"/>
  <c r="BM23" i="103"/>
  <c r="BM40" i="103"/>
  <c r="BM56" i="103"/>
  <c r="BM20" i="103"/>
  <c r="BM29" i="103"/>
  <c r="BM11" i="103"/>
  <c r="BM30" i="103"/>
  <c r="BM14" i="103"/>
  <c r="BN7" i="103"/>
  <c r="BM26" i="103"/>
  <c r="BM24" i="103"/>
  <c r="BM12" i="103"/>
  <c r="BM19" i="103"/>
  <c r="BM17" i="103"/>
  <c r="BM15" i="103"/>
  <c r="BM28" i="103"/>
  <c r="BM8" i="103"/>
  <c r="BM93" i="103" s="1"/>
  <c r="BM13" i="103"/>
  <c r="BL16" i="103"/>
  <c r="BL13" i="103"/>
  <c r="BL50" i="103"/>
  <c r="BL48" i="103"/>
  <c r="BL63" i="103"/>
  <c r="BL57" i="103"/>
  <c r="BL75" i="103"/>
  <c r="BL77" i="103"/>
  <c r="BL86" i="103"/>
  <c r="BL96" i="103"/>
  <c r="BL20" i="103"/>
  <c r="BL27" i="103"/>
  <c r="BL28" i="103"/>
  <c r="BL34" i="103"/>
  <c r="BL45" i="103"/>
  <c r="BL49" i="103"/>
  <c r="BL66" i="103"/>
  <c r="BL73" i="103"/>
  <c r="BL82" i="103"/>
  <c r="BL92" i="101"/>
  <c r="BL85" i="101"/>
  <c r="BL69" i="101"/>
  <c r="BL57" i="101"/>
  <c r="BL38" i="101"/>
  <c r="BL62" i="101"/>
  <c r="BL28" i="101"/>
  <c r="BL31" i="101"/>
  <c r="BL11" i="101"/>
  <c r="BL8" i="101"/>
  <c r="BL96" i="101" s="1"/>
  <c r="BM7" i="101"/>
  <c r="BL15" i="101"/>
  <c r="BL23" i="101"/>
  <c r="BK88" i="101"/>
  <c r="BK11" i="101"/>
  <c r="BK42" i="101"/>
  <c r="BK41" i="101"/>
  <c r="BK59" i="101"/>
  <c r="BK35" i="101"/>
  <c r="BK58" i="101"/>
  <c r="BK78" i="101"/>
  <c r="BK77" i="101"/>
  <c r="BK90" i="101"/>
  <c r="BK93" i="101"/>
  <c r="BK28" i="101"/>
  <c r="BK23" i="101"/>
  <c r="BK68" i="101"/>
  <c r="BK27" i="101"/>
  <c r="BK40" i="101"/>
  <c r="BK55" i="101"/>
  <c r="BK57" i="101"/>
  <c r="BK75" i="101"/>
  <c r="BK89" i="101"/>
  <c r="BK22" i="101"/>
  <c r="BK13" i="101"/>
  <c r="BK29" i="101"/>
  <c r="BK72" i="101"/>
  <c r="BK45" i="101"/>
  <c r="BK49" i="101"/>
  <c r="BK63" i="101"/>
  <c r="BK66" i="101"/>
  <c r="BK82" i="101"/>
  <c r="BK97" i="101"/>
  <c r="BK25" i="101"/>
  <c r="BK56" i="101"/>
  <c r="BK53" i="101"/>
  <c r="BK60" i="101"/>
  <c r="BK74" i="101"/>
  <c r="BK79" i="101"/>
  <c r="BK94" i="101"/>
  <c r="BK26" i="101"/>
  <c r="BK20" i="101"/>
  <c r="BK50" i="101"/>
  <c r="BK34" i="101"/>
  <c r="BK61" i="101"/>
  <c r="BK37" i="101"/>
  <c r="BK69" i="101"/>
  <c r="BK80" i="101"/>
  <c r="BK84" i="101"/>
  <c r="BK12" i="99"/>
  <c r="BK14" i="99"/>
  <c r="BK37" i="99"/>
  <c r="BK19" i="99"/>
  <c r="BK90" i="99"/>
  <c r="BK56" i="99"/>
  <c r="BK48" i="99"/>
  <c r="BK78" i="99"/>
  <c r="BK85" i="99"/>
  <c r="BK88" i="99"/>
  <c r="BM7" i="99"/>
  <c r="BL8" i="99"/>
  <c r="BL92" i="99" s="1"/>
  <c r="BK18" i="99"/>
  <c r="BK26" i="99"/>
  <c r="BK33" i="99"/>
  <c r="BK64" i="99"/>
  <c r="BK42" i="99"/>
  <c r="BK47" i="99"/>
  <c r="BK82" i="99"/>
  <c r="BK70" i="99"/>
  <c r="BK74" i="99"/>
  <c r="BK95" i="99"/>
  <c r="BK93" i="99"/>
  <c r="BK17" i="99"/>
  <c r="BK30" i="99"/>
  <c r="BK16" i="99"/>
  <c r="BK46" i="99"/>
  <c r="BK50" i="99"/>
  <c r="BK62" i="99"/>
  <c r="BK52" i="99"/>
  <c r="BK67" i="99"/>
  <c r="BK83" i="99"/>
  <c r="BK92" i="99"/>
  <c r="BK20" i="99"/>
  <c r="BK35" i="99"/>
  <c r="BK22" i="99"/>
  <c r="BK29" i="99"/>
  <c r="BK53" i="99"/>
  <c r="BK69" i="99"/>
  <c r="BK61" i="99"/>
  <c r="BK75" i="99"/>
  <c r="BK71" i="99"/>
  <c r="BK89" i="99"/>
  <c r="BK36" i="99"/>
  <c r="BK45" i="99"/>
  <c r="BK23" i="99"/>
  <c r="BK41" i="99"/>
  <c r="BK44" i="99"/>
  <c r="BK55" i="99"/>
  <c r="BK84" i="99"/>
  <c r="BK80" i="99"/>
  <c r="BK14" i="97"/>
  <c r="BK48" i="97"/>
  <c r="BK24" i="97"/>
  <c r="BK34" i="97"/>
  <c r="BK61" i="97"/>
  <c r="BK47" i="97"/>
  <c r="BK46" i="97"/>
  <c r="BK64" i="97"/>
  <c r="BK83" i="97"/>
  <c r="BK89" i="97"/>
  <c r="BK44" i="97"/>
  <c r="BK13" i="97"/>
  <c r="BK23" i="97"/>
  <c r="BK19" i="97"/>
  <c r="BK37" i="97"/>
  <c r="BK71" i="97"/>
  <c r="BK82" i="97"/>
  <c r="BK73" i="97"/>
  <c r="BK68" i="97"/>
  <c r="BK94" i="97"/>
  <c r="BK15" i="97"/>
  <c r="BK50" i="97"/>
  <c r="BK18" i="97"/>
  <c r="BK29" i="97"/>
  <c r="BK58" i="97"/>
  <c r="BK72" i="97"/>
  <c r="BK90" i="97"/>
  <c r="BK81" i="97"/>
  <c r="BK77" i="97"/>
  <c r="BK91" i="97"/>
  <c r="BK25" i="97"/>
  <c r="BK52" i="97"/>
  <c r="BK36" i="97"/>
  <c r="BK33" i="97"/>
  <c r="BK30" i="97"/>
  <c r="BK49" i="97"/>
  <c r="BK57" i="97"/>
  <c r="BK69" i="97"/>
  <c r="BK85" i="97"/>
  <c r="BK88" i="97"/>
  <c r="BK27" i="97"/>
  <c r="BK35" i="97"/>
  <c r="BK16" i="97"/>
  <c r="BK51" i="97"/>
  <c r="BK40" i="97"/>
  <c r="BK39" i="97"/>
  <c r="BK55" i="97"/>
  <c r="BK70" i="97"/>
  <c r="BK78" i="97"/>
  <c r="BK86" i="97"/>
  <c r="BK96" i="97"/>
  <c r="BK28" i="97"/>
  <c r="BK11" i="97"/>
  <c r="BK84" i="97"/>
  <c r="BK80" i="97"/>
  <c r="BK31" i="97"/>
  <c r="BK42" i="97"/>
  <c r="BK20" i="97"/>
  <c r="BK17" i="97"/>
  <c r="BK41" i="97"/>
  <c r="BK45" i="97"/>
  <c r="BK56" i="97"/>
  <c r="BK62" i="97"/>
  <c r="BK66" i="97"/>
  <c r="BK95" i="97"/>
  <c r="BK93" i="97"/>
  <c r="BK97" i="97"/>
  <c r="BK38" i="97"/>
  <c r="BL94" i="97"/>
  <c r="BM7" i="97"/>
  <c r="BL8" i="97"/>
  <c r="BL97" i="97" s="1"/>
  <c r="BK12" i="97"/>
  <c r="BK26" i="97"/>
  <c r="BK60" i="97"/>
  <c r="BK67" i="97"/>
  <c r="BK79" i="97"/>
  <c r="BK63" i="97"/>
  <c r="BK74" i="97"/>
  <c r="BM20" i="95"/>
  <c r="BM13" i="95"/>
  <c r="BM84" i="95"/>
  <c r="BM86" i="95"/>
  <c r="BM46" i="95"/>
  <c r="BM91" i="95"/>
  <c r="BM59" i="95"/>
  <c r="BM12" i="95"/>
  <c r="BM97" i="95"/>
  <c r="BM18" i="95"/>
  <c r="BM64" i="95"/>
  <c r="BM27" i="95"/>
  <c r="BM70" i="95"/>
  <c r="BM78" i="95"/>
  <c r="BM22" i="95"/>
  <c r="BM16" i="95"/>
  <c r="BM11" i="95"/>
  <c r="BO7" i="95"/>
  <c r="BN8" i="95"/>
  <c r="BN86" i="95" s="1"/>
  <c r="BM51" i="95"/>
  <c r="BM45" i="95"/>
  <c r="BM31" i="95"/>
  <c r="BM55" i="95"/>
  <c r="BM58" i="95"/>
  <c r="BM66" i="95"/>
  <c r="BM75" i="95"/>
  <c r="BM82" i="95"/>
  <c r="BM88" i="95"/>
  <c r="BM15" i="95"/>
  <c r="BM25" i="95"/>
  <c r="BM69" i="95"/>
  <c r="BM77" i="95"/>
  <c r="BM83" i="95"/>
  <c r="BM92" i="95"/>
  <c r="BM95" i="95"/>
  <c r="BM61" i="95"/>
  <c r="BM30" i="95"/>
  <c r="BM19" i="95"/>
  <c r="BM67" i="95"/>
  <c r="BM79" i="95"/>
  <c r="BM94" i="95"/>
  <c r="BM40" i="95"/>
  <c r="BM57" i="95"/>
  <c r="BM35" i="95"/>
  <c r="BM26" i="95"/>
  <c r="BM68" i="95"/>
  <c r="BM42" i="95"/>
  <c r="BM53" i="95"/>
  <c r="BM74" i="95"/>
  <c r="BM24" i="95"/>
  <c r="BM17" i="95"/>
  <c r="BM39" i="95"/>
  <c r="BM29" i="95"/>
  <c r="BM33" i="95"/>
  <c r="BM47" i="95"/>
  <c r="BM50" i="95"/>
  <c r="BM49" i="95"/>
  <c r="BM80" i="95"/>
  <c r="BM60" i="95"/>
  <c r="BM85" i="95"/>
  <c r="BM89" i="95"/>
  <c r="BM90" i="95"/>
  <c r="BM28" i="95"/>
  <c r="BM23" i="95"/>
  <c r="BM62" i="95"/>
  <c r="BM36" i="95"/>
  <c r="BM71" i="95"/>
  <c r="BM93" i="95"/>
  <c r="BM44" i="95"/>
  <c r="BM14" i="95"/>
  <c r="BM41" i="95"/>
  <c r="BM38" i="95"/>
  <c r="BM34" i="95"/>
  <c r="BM37" i="95"/>
  <c r="BM48" i="95"/>
  <c r="BM52" i="95"/>
  <c r="BM56" i="95"/>
  <c r="BM63" i="95"/>
  <c r="BM73" i="95"/>
  <c r="BM72" i="95"/>
  <c r="BM81" i="95"/>
  <c r="BL25" i="59" l="1"/>
  <c r="BL26" i="59"/>
  <c r="BL96" i="59"/>
  <c r="BL46" i="59"/>
  <c r="BL42" i="59"/>
  <c r="BL22" i="59"/>
  <c r="BL45" i="59"/>
  <c r="BL13" i="59"/>
  <c r="BL71" i="59"/>
  <c r="BL73" i="59"/>
  <c r="BL79" i="59"/>
  <c r="BL18" i="59"/>
  <c r="BL38" i="59"/>
  <c r="BL48" i="59"/>
  <c r="BL68" i="59"/>
  <c r="BL78" i="59"/>
  <c r="BL67" i="59"/>
  <c r="BL88" i="59"/>
  <c r="BL11" i="59"/>
  <c r="BL15" i="59"/>
  <c r="BL14" i="59"/>
  <c r="BL28" i="59"/>
  <c r="BL56" i="59"/>
  <c r="BL47" i="59"/>
  <c r="BL59" i="59"/>
  <c r="BL77" i="59"/>
  <c r="BL93" i="59"/>
  <c r="BL36" i="59"/>
  <c r="BL49" i="59"/>
  <c r="BL20" i="59"/>
  <c r="BL29" i="59"/>
  <c r="BL31" i="59"/>
  <c r="BL83" i="59"/>
  <c r="BL62" i="59"/>
  <c r="BL75" i="59"/>
  <c r="BL90" i="59"/>
  <c r="BL16" i="59"/>
  <c r="BL39" i="59"/>
  <c r="BL35" i="59"/>
  <c r="BL58" i="59"/>
  <c r="BL40" i="59"/>
  <c r="BL57" i="59"/>
  <c r="BL80" i="59"/>
  <c r="BL85" i="59"/>
  <c r="BL92" i="59"/>
  <c r="BL44" i="59"/>
  <c r="BL24" i="59"/>
  <c r="BL53" i="59"/>
  <c r="BL41" i="59"/>
  <c r="BL23" i="59"/>
  <c r="BL50" i="59"/>
  <c r="BL64" i="59"/>
  <c r="BL72" i="59"/>
  <c r="BL84" i="59"/>
  <c r="BL89" i="59"/>
  <c r="BN57" i="95"/>
  <c r="BL95" i="59"/>
  <c r="BL19" i="59"/>
  <c r="BL37" i="59"/>
  <c r="BL60" i="59"/>
  <c r="BL66" i="59"/>
  <c r="BL55" i="59"/>
  <c r="BL82" i="59"/>
  <c r="BL97" i="59"/>
  <c r="BL30" i="59"/>
  <c r="BL27" i="59"/>
  <c r="BL52" i="59"/>
  <c r="BL61" i="59"/>
  <c r="BL69" i="59"/>
  <c r="BL74" i="59"/>
  <c r="BL86" i="59"/>
  <c r="BL94" i="59"/>
  <c r="BL12" i="59"/>
  <c r="BM92" i="59"/>
  <c r="BM86" i="59"/>
  <c r="BM90" i="59"/>
  <c r="BM55" i="59"/>
  <c r="BM78" i="59"/>
  <c r="BM62" i="59"/>
  <c r="BM57" i="59"/>
  <c r="BM73" i="59"/>
  <c r="BM51" i="59"/>
  <c r="BM35" i="59"/>
  <c r="BM46" i="59"/>
  <c r="BM47" i="59"/>
  <c r="BM36" i="59"/>
  <c r="BM12" i="59"/>
  <c r="BM39" i="59"/>
  <c r="BM8" i="59"/>
  <c r="BM91" i="59" s="1"/>
  <c r="BM19" i="59"/>
  <c r="BM25" i="59"/>
  <c r="BM11" i="59"/>
  <c r="BN7" i="59"/>
  <c r="BM44" i="59"/>
  <c r="BL17" i="59"/>
  <c r="BL33" i="59"/>
  <c r="BL34" i="59"/>
  <c r="BL63" i="59"/>
  <c r="BL70" i="59"/>
  <c r="BL51" i="59"/>
  <c r="BL81" i="59"/>
  <c r="BL13" i="113"/>
  <c r="BL30" i="113"/>
  <c r="BL33" i="113"/>
  <c r="BL47" i="113"/>
  <c r="BL53" i="113"/>
  <c r="BL63" i="113"/>
  <c r="BL66" i="113"/>
  <c r="BL82" i="113"/>
  <c r="BL89" i="113"/>
  <c r="BL14" i="113"/>
  <c r="BL22" i="113"/>
  <c r="BL41" i="113"/>
  <c r="BL39" i="113"/>
  <c r="BL59" i="113"/>
  <c r="BL72" i="113"/>
  <c r="BL70" i="113"/>
  <c r="BL71" i="113"/>
  <c r="BL79" i="113"/>
  <c r="BL97" i="113"/>
  <c r="BL17" i="113"/>
  <c r="BL31" i="113"/>
  <c r="BL34" i="113"/>
  <c r="BL27" i="113"/>
  <c r="BL62" i="113"/>
  <c r="BL61" i="113"/>
  <c r="BL74" i="113"/>
  <c r="BL78" i="113"/>
  <c r="BL93" i="113"/>
  <c r="BL94" i="113"/>
  <c r="BL19" i="113"/>
  <c r="BL48" i="113"/>
  <c r="BL29" i="113"/>
  <c r="BL36" i="113"/>
  <c r="BL26" i="113"/>
  <c r="BL69" i="113"/>
  <c r="BL81" i="113"/>
  <c r="BL90" i="113"/>
  <c r="BL75" i="113"/>
  <c r="BL91" i="113"/>
  <c r="BM91" i="113"/>
  <c r="BM97" i="113"/>
  <c r="BM89" i="113"/>
  <c r="BM92" i="113"/>
  <c r="BM95" i="113"/>
  <c r="BM86" i="113"/>
  <c r="BM90" i="113"/>
  <c r="BM93" i="113"/>
  <c r="BM82" i="113"/>
  <c r="BM73" i="113"/>
  <c r="BM85" i="113"/>
  <c r="BM77" i="113"/>
  <c r="BM96" i="113"/>
  <c r="BM80" i="113"/>
  <c r="BM88" i="113"/>
  <c r="BM83" i="113"/>
  <c r="BM74" i="113"/>
  <c r="BM69" i="113"/>
  <c r="BM60" i="113"/>
  <c r="BM84" i="113"/>
  <c r="BM81" i="113"/>
  <c r="BM75" i="113"/>
  <c r="BM61" i="113"/>
  <c r="BM68" i="113"/>
  <c r="BM52" i="113"/>
  <c r="BM64" i="113"/>
  <c r="BM71" i="113"/>
  <c r="BM57" i="113"/>
  <c r="BM72" i="113"/>
  <c r="BM53" i="113"/>
  <c r="BM49" i="113"/>
  <c r="BM44" i="113"/>
  <c r="BM63" i="113"/>
  <c r="BM62" i="113"/>
  <c r="BM59" i="113"/>
  <c r="BM47" i="113"/>
  <c r="BM29" i="113"/>
  <c r="BM55" i="113"/>
  <c r="BM50" i="113"/>
  <c r="BM41" i="113"/>
  <c r="BM45" i="113"/>
  <c r="BM56" i="113"/>
  <c r="BM48" i="113"/>
  <c r="BM30" i="113"/>
  <c r="BM46" i="113"/>
  <c r="BM22" i="113"/>
  <c r="BM34" i="113"/>
  <c r="BM40" i="113"/>
  <c r="BM26" i="113"/>
  <c r="BM19" i="113"/>
  <c r="BM37" i="113"/>
  <c r="BM31" i="113"/>
  <c r="BM20" i="113"/>
  <c r="BM25" i="113"/>
  <c r="BM51" i="113"/>
  <c r="BM33" i="113"/>
  <c r="BM67" i="113"/>
  <c r="BM23" i="113"/>
  <c r="BM42" i="113"/>
  <c r="BM36" i="113"/>
  <c r="BM28" i="113"/>
  <c r="BM24" i="113"/>
  <c r="BM35" i="113"/>
  <c r="BM14" i="113"/>
  <c r="BM8" i="113"/>
  <c r="BM94" i="113" s="1"/>
  <c r="BM18" i="113"/>
  <c r="BM12" i="113"/>
  <c r="BM17" i="113"/>
  <c r="BM15" i="113"/>
  <c r="BM11" i="113"/>
  <c r="BM13" i="113"/>
  <c r="BN7" i="113"/>
  <c r="BM27" i="113"/>
  <c r="BL24" i="113"/>
  <c r="BL51" i="113"/>
  <c r="BL46" i="113"/>
  <c r="BL45" i="113"/>
  <c r="BL35" i="113"/>
  <c r="BL56" i="113"/>
  <c r="BL58" i="113"/>
  <c r="BL83" i="113"/>
  <c r="BL84" i="113"/>
  <c r="BL88" i="113"/>
  <c r="BL11" i="113"/>
  <c r="BL28" i="113"/>
  <c r="BL15" i="113"/>
  <c r="BL52" i="113"/>
  <c r="BL50" i="113"/>
  <c r="BL44" i="113"/>
  <c r="BL64" i="113"/>
  <c r="BL67" i="113"/>
  <c r="BL77" i="113"/>
  <c r="BL86" i="113"/>
  <c r="BM44" i="111"/>
  <c r="BN8" i="111"/>
  <c r="BN84" i="111" s="1"/>
  <c r="BO7" i="111"/>
  <c r="BM29" i="111"/>
  <c r="BM22" i="111"/>
  <c r="BM51" i="111"/>
  <c r="BM39" i="111"/>
  <c r="BM72" i="111"/>
  <c r="BM73" i="111"/>
  <c r="BM93" i="111"/>
  <c r="BM95" i="111"/>
  <c r="BM31" i="111"/>
  <c r="BM16" i="111"/>
  <c r="BM49" i="111"/>
  <c r="BM30" i="111"/>
  <c r="BM59" i="111"/>
  <c r="BM42" i="111"/>
  <c r="BM82" i="111"/>
  <c r="BM78" i="111"/>
  <c r="BM67" i="111"/>
  <c r="BM89" i="111"/>
  <c r="BM45" i="111"/>
  <c r="BM50" i="111"/>
  <c r="BM53" i="111"/>
  <c r="BM83" i="111"/>
  <c r="BM96" i="111"/>
  <c r="BM84" i="111"/>
  <c r="BM94" i="111"/>
  <c r="BM26" i="111"/>
  <c r="BM17" i="111"/>
  <c r="BM24" i="111"/>
  <c r="BM18" i="111"/>
  <c r="BM61" i="111"/>
  <c r="BM77" i="111"/>
  <c r="BM71" i="111"/>
  <c r="BM68" i="111"/>
  <c r="BM38" i="111"/>
  <c r="BM81" i="111"/>
  <c r="BL61" i="109"/>
  <c r="BL81" i="109"/>
  <c r="BL92" i="109"/>
  <c r="BL85" i="109"/>
  <c r="BL89" i="109"/>
  <c r="BL33" i="109"/>
  <c r="BL35" i="109"/>
  <c r="BL50" i="109"/>
  <c r="BL80" i="109"/>
  <c r="BL67" i="109"/>
  <c r="BL84" i="109"/>
  <c r="BL97" i="109"/>
  <c r="BL13" i="109"/>
  <c r="BM94" i="109"/>
  <c r="BM90" i="109"/>
  <c r="BM74" i="109"/>
  <c r="BM73" i="109"/>
  <c r="BM35" i="109"/>
  <c r="BM18" i="109"/>
  <c r="BM41" i="109"/>
  <c r="BM50" i="109"/>
  <c r="BM8" i="109"/>
  <c r="BM89" i="109" s="1"/>
  <c r="BM22" i="109"/>
  <c r="BM37" i="109"/>
  <c r="BM16" i="109"/>
  <c r="BM39" i="109"/>
  <c r="BM23" i="109"/>
  <c r="BN7" i="109"/>
  <c r="BL27" i="109"/>
  <c r="BL41" i="109"/>
  <c r="BL44" i="109"/>
  <c r="BL56" i="109"/>
  <c r="BL75" i="109"/>
  <c r="BL70" i="109"/>
  <c r="BL82" i="109"/>
  <c r="BL94" i="109"/>
  <c r="BL45" i="109"/>
  <c r="BL68" i="109"/>
  <c r="BL69" i="109"/>
  <c r="BL83" i="109"/>
  <c r="BL77" i="109"/>
  <c r="BL90" i="109"/>
  <c r="BL91" i="109"/>
  <c r="BL30" i="109"/>
  <c r="BL48" i="109"/>
  <c r="BL14" i="109"/>
  <c r="BL55" i="109"/>
  <c r="BL52" i="109"/>
  <c r="BL78" i="109"/>
  <c r="BL95" i="109"/>
  <c r="BL88" i="109"/>
  <c r="BL74" i="109"/>
  <c r="BL18" i="109"/>
  <c r="BL25" i="109"/>
  <c r="BL49" i="109"/>
  <c r="BL51" i="109"/>
  <c r="BL23" i="109"/>
  <c r="BL57" i="109"/>
  <c r="BL60" i="109"/>
  <c r="BL64" i="109"/>
  <c r="BL79" i="109"/>
  <c r="BN94" i="107"/>
  <c r="BN92" i="107"/>
  <c r="BN90" i="107"/>
  <c r="BN96" i="107"/>
  <c r="BN75" i="107"/>
  <c r="BN78" i="107"/>
  <c r="BN66" i="107"/>
  <c r="BN91" i="107"/>
  <c r="BN67" i="107"/>
  <c r="BN60" i="107"/>
  <c r="BN59" i="107"/>
  <c r="BN45" i="107"/>
  <c r="BN27" i="107"/>
  <c r="BN68" i="107"/>
  <c r="BN39" i="107"/>
  <c r="BN83" i="107"/>
  <c r="BN57" i="107"/>
  <c r="BN37" i="107"/>
  <c r="BN61" i="107"/>
  <c r="BN42" i="107"/>
  <c r="BN31" i="107"/>
  <c r="BN26" i="107"/>
  <c r="BN34" i="107"/>
  <c r="BN41" i="107"/>
  <c r="BN50" i="107"/>
  <c r="BN15" i="107"/>
  <c r="BN8" i="107"/>
  <c r="BN97" i="107" s="1"/>
  <c r="BN46" i="107"/>
  <c r="BN13" i="107"/>
  <c r="BO7" i="107"/>
  <c r="BN35" i="107"/>
  <c r="BN23" i="107"/>
  <c r="BN11" i="107"/>
  <c r="BM11" i="107"/>
  <c r="BM12" i="107"/>
  <c r="BM52" i="107"/>
  <c r="BM30" i="107"/>
  <c r="BM53" i="107"/>
  <c r="BM73" i="107"/>
  <c r="BM50" i="107"/>
  <c r="BM74" i="107"/>
  <c r="BM82" i="107"/>
  <c r="BM89" i="107"/>
  <c r="BM61" i="107"/>
  <c r="BM75" i="107"/>
  <c r="BM81" i="107"/>
  <c r="BM97" i="107"/>
  <c r="BM22" i="107"/>
  <c r="BM17" i="107"/>
  <c r="BM46" i="107"/>
  <c r="BM72" i="107"/>
  <c r="BM84" i="107"/>
  <c r="BM64" i="107"/>
  <c r="BM80" i="107"/>
  <c r="BM96" i="107"/>
  <c r="BM17" i="105"/>
  <c r="BM38" i="105"/>
  <c r="BM13" i="105"/>
  <c r="BM48" i="105"/>
  <c r="BM50" i="105"/>
  <c r="BM58" i="105"/>
  <c r="BM57" i="105"/>
  <c r="BM64" i="105"/>
  <c r="BM84" i="105"/>
  <c r="BM92" i="105"/>
  <c r="BM23" i="105"/>
  <c r="BM61" i="105"/>
  <c r="BM12" i="105"/>
  <c r="BM31" i="105"/>
  <c r="BM44" i="105"/>
  <c r="BM63" i="105"/>
  <c r="BM66" i="105"/>
  <c r="BM75" i="105"/>
  <c r="BM72" i="105"/>
  <c r="BM89" i="105"/>
  <c r="BN94" i="105"/>
  <c r="BN92" i="105"/>
  <c r="BN95" i="105"/>
  <c r="BN90" i="105"/>
  <c r="BN81" i="105"/>
  <c r="BN75" i="105"/>
  <c r="BN96" i="105"/>
  <c r="BN88" i="105"/>
  <c r="BN77" i="105"/>
  <c r="BN68" i="105"/>
  <c r="BN59" i="105"/>
  <c r="BN78" i="105"/>
  <c r="BN79" i="105"/>
  <c r="BN60" i="105"/>
  <c r="BN73" i="105"/>
  <c r="BN55" i="105"/>
  <c r="BN58" i="105"/>
  <c r="BN61" i="105"/>
  <c r="BN52" i="105"/>
  <c r="BN91" i="105"/>
  <c r="BN44" i="105"/>
  <c r="BN38" i="105"/>
  <c r="BN45" i="105"/>
  <c r="BN28" i="105"/>
  <c r="BN46" i="105"/>
  <c r="BN42" i="105"/>
  <c r="BN34" i="105"/>
  <c r="BN15" i="105"/>
  <c r="BN56" i="105"/>
  <c r="BN27" i="105"/>
  <c r="BN8" i="105"/>
  <c r="BN86" i="105" s="1"/>
  <c r="BN25" i="105"/>
  <c r="BN74" i="105"/>
  <c r="BN37" i="105"/>
  <c r="BN36" i="105"/>
  <c r="BN31" i="105"/>
  <c r="BN22" i="105"/>
  <c r="BN13" i="105"/>
  <c r="BN16" i="105"/>
  <c r="BN50" i="105"/>
  <c r="BN26" i="105"/>
  <c r="BN23" i="105"/>
  <c r="BN14" i="105"/>
  <c r="BO7" i="105"/>
  <c r="BN51" i="105"/>
  <c r="BN41" i="105"/>
  <c r="BN29" i="105"/>
  <c r="BN48" i="105"/>
  <c r="BN12" i="105"/>
  <c r="BN20" i="105"/>
  <c r="BN17" i="105"/>
  <c r="BN33" i="105"/>
  <c r="BN19" i="105"/>
  <c r="BN11" i="105"/>
  <c r="BM11" i="105"/>
  <c r="BM18" i="105"/>
  <c r="BM27" i="105"/>
  <c r="BM37" i="105"/>
  <c r="BM49" i="105"/>
  <c r="BM55" i="105"/>
  <c r="BM62" i="105"/>
  <c r="BM85" i="105"/>
  <c r="BM78" i="105"/>
  <c r="BM94" i="105"/>
  <c r="BM16" i="105"/>
  <c r="BM19" i="105"/>
  <c r="BM28" i="105"/>
  <c r="BM39" i="105"/>
  <c r="BM41" i="105"/>
  <c r="BM52" i="105"/>
  <c r="BM56" i="105"/>
  <c r="BM71" i="105"/>
  <c r="BM88" i="105"/>
  <c r="BM93" i="105"/>
  <c r="BM91" i="105"/>
  <c r="BM30" i="105"/>
  <c r="BM29" i="105"/>
  <c r="BM47" i="105"/>
  <c r="BM33" i="105"/>
  <c r="BM51" i="105"/>
  <c r="BM46" i="105"/>
  <c r="BM74" i="105"/>
  <c r="BM83" i="105"/>
  <c r="BM82" i="105"/>
  <c r="BM90" i="105"/>
  <c r="BM20" i="105"/>
  <c r="BM36" i="105"/>
  <c r="BM40" i="105"/>
  <c r="BM70" i="105"/>
  <c r="BM80" i="105"/>
  <c r="BM77" i="105"/>
  <c r="BM81" i="105"/>
  <c r="BM97" i="105"/>
  <c r="BM14" i="105"/>
  <c r="BM35" i="105"/>
  <c r="BM15" i="105"/>
  <c r="BM34" i="105"/>
  <c r="BM25" i="105"/>
  <c r="BM67" i="105"/>
  <c r="BM60" i="105"/>
  <c r="BM59" i="105"/>
  <c r="BM79" i="105"/>
  <c r="BM70" i="103"/>
  <c r="BM96" i="103"/>
  <c r="BM97" i="103"/>
  <c r="BM51" i="103"/>
  <c r="BM59" i="103"/>
  <c r="BM55" i="103"/>
  <c r="BM77" i="103"/>
  <c r="BM88" i="103"/>
  <c r="BM75" i="103"/>
  <c r="BM94" i="103"/>
  <c r="BM36" i="103"/>
  <c r="BM18" i="103"/>
  <c r="BM33" i="103"/>
  <c r="BM39" i="103"/>
  <c r="BM67" i="103"/>
  <c r="BM57" i="103"/>
  <c r="BM62" i="103"/>
  <c r="BM83" i="103"/>
  <c r="BM84" i="103"/>
  <c r="BM91" i="103"/>
  <c r="BM35" i="103"/>
  <c r="BM22" i="103"/>
  <c r="BM38" i="103"/>
  <c r="BM48" i="103"/>
  <c r="BM44" i="103"/>
  <c r="BM60" i="103"/>
  <c r="BM71" i="103"/>
  <c r="BM86" i="103"/>
  <c r="BN97" i="103"/>
  <c r="BN92" i="103"/>
  <c r="BN95" i="103"/>
  <c r="BN86" i="103"/>
  <c r="BN93" i="103"/>
  <c r="BN88" i="103"/>
  <c r="BN82" i="103"/>
  <c r="BN85" i="103"/>
  <c r="BN77" i="103"/>
  <c r="BN83" i="103"/>
  <c r="BN64" i="103"/>
  <c r="BN81" i="103"/>
  <c r="BN75" i="103"/>
  <c r="BN71" i="103"/>
  <c r="BN91" i="103"/>
  <c r="BN74" i="103"/>
  <c r="BN72" i="103"/>
  <c r="BN69" i="103"/>
  <c r="BN70" i="103"/>
  <c r="BN57" i="103"/>
  <c r="BN78" i="103"/>
  <c r="BN59" i="103"/>
  <c r="BN49" i="103"/>
  <c r="BN40" i="103"/>
  <c r="BN63" i="103"/>
  <c r="BN47" i="103"/>
  <c r="BN38" i="103"/>
  <c r="BN53" i="103"/>
  <c r="BN45" i="103"/>
  <c r="BN46" i="103"/>
  <c r="BN35" i="103"/>
  <c r="BN48" i="103"/>
  <c r="BN58" i="103"/>
  <c r="BN44" i="103"/>
  <c r="BN27" i="103"/>
  <c r="BN30" i="103"/>
  <c r="BN51" i="103"/>
  <c r="BN39" i="103"/>
  <c r="BN36" i="103"/>
  <c r="BN19" i="103"/>
  <c r="BN41" i="103"/>
  <c r="BN26" i="103"/>
  <c r="BN11" i="103"/>
  <c r="BN23" i="103"/>
  <c r="BN14" i="103"/>
  <c r="BO7" i="103"/>
  <c r="BN37" i="103"/>
  <c r="BN25" i="103"/>
  <c r="BN16" i="103"/>
  <c r="BN31" i="103"/>
  <c r="BN24" i="103"/>
  <c r="BN12" i="103"/>
  <c r="BN17" i="103"/>
  <c r="BN15" i="103"/>
  <c r="BN34" i="103"/>
  <c r="BN20" i="103"/>
  <c r="BN8" i="103"/>
  <c r="BN90" i="103" s="1"/>
  <c r="BN33" i="103"/>
  <c r="BN13" i="103"/>
  <c r="BN18" i="103"/>
  <c r="BL20" i="101"/>
  <c r="BL51" i="101"/>
  <c r="BL46" i="101"/>
  <c r="BL72" i="101"/>
  <c r="BL53" i="101"/>
  <c r="BL60" i="101"/>
  <c r="BL81" i="101"/>
  <c r="BL95" i="101"/>
  <c r="BL12" i="101"/>
  <c r="BL16" i="101"/>
  <c r="BL35" i="101"/>
  <c r="BL68" i="101"/>
  <c r="BL39" i="101"/>
  <c r="BL47" i="101"/>
  <c r="BL80" i="101"/>
  <c r="BL71" i="101"/>
  <c r="BL82" i="101"/>
  <c r="BL89" i="101"/>
  <c r="BL18" i="101"/>
  <c r="BL22" i="101"/>
  <c r="BL56" i="101"/>
  <c r="BL25" i="101"/>
  <c r="BL48" i="101"/>
  <c r="BL55" i="101"/>
  <c r="BL64" i="101"/>
  <c r="BL78" i="101"/>
  <c r="BL79" i="101"/>
  <c r="BL97" i="101"/>
  <c r="BL24" i="101"/>
  <c r="BL26" i="101"/>
  <c r="BL37" i="101"/>
  <c r="BL34" i="101"/>
  <c r="BL52" i="101"/>
  <c r="BL70" i="101"/>
  <c r="BL61" i="101"/>
  <c r="BL74" i="101"/>
  <c r="BL75" i="101"/>
  <c r="BL94" i="101"/>
  <c r="BL17" i="101"/>
  <c r="BL27" i="101"/>
  <c r="BL42" i="101"/>
  <c r="BL45" i="101"/>
  <c r="BL66" i="101"/>
  <c r="BL44" i="101"/>
  <c r="BL58" i="101"/>
  <c r="BL83" i="101"/>
  <c r="BL84" i="101"/>
  <c r="BL91" i="101"/>
  <c r="BL13" i="101"/>
  <c r="BN7" i="101"/>
  <c r="BM8" i="101"/>
  <c r="BM90" i="101" s="1"/>
  <c r="BM22" i="101"/>
  <c r="BL33" i="101"/>
  <c r="BL29" i="101"/>
  <c r="BL77" i="101"/>
  <c r="BL50" i="101"/>
  <c r="BL40" i="101"/>
  <c r="BL67" i="101"/>
  <c r="BL90" i="101"/>
  <c r="BL93" i="101"/>
  <c r="BL88" i="101"/>
  <c r="BL19" i="101"/>
  <c r="BL14" i="101"/>
  <c r="BL41" i="101"/>
  <c r="BL36" i="101"/>
  <c r="BL30" i="101"/>
  <c r="BL59" i="101"/>
  <c r="BL49" i="101"/>
  <c r="BL63" i="101"/>
  <c r="BL73" i="101"/>
  <c r="BL86" i="101"/>
  <c r="BL30" i="99"/>
  <c r="BL42" i="99"/>
  <c r="BL36" i="99"/>
  <c r="BL35" i="99"/>
  <c r="BL83" i="99"/>
  <c r="BL18" i="99"/>
  <c r="BL14" i="99"/>
  <c r="BL27" i="99"/>
  <c r="BL50" i="99"/>
  <c r="BL45" i="99"/>
  <c r="BL44" i="99"/>
  <c r="BL55" i="99"/>
  <c r="BL84" i="99"/>
  <c r="BL71" i="99"/>
  <c r="BL97" i="99"/>
  <c r="BL15" i="99"/>
  <c r="BL59" i="99"/>
  <c r="BL34" i="99"/>
  <c r="BL53" i="99"/>
  <c r="BL52" i="99"/>
  <c r="BL85" i="99"/>
  <c r="BL77" i="99"/>
  <c r="BL72" i="99"/>
  <c r="BL80" i="99"/>
  <c r="BL94" i="99"/>
  <c r="BL89" i="99"/>
  <c r="BL20" i="99"/>
  <c r="BL11" i="99"/>
  <c r="BL39" i="99"/>
  <c r="BL61" i="99"/>
  <c r="BL33" i="99"/>
  <c r="BL56" i="99"/>
  <c r="BL51" i="99"/>
  <c r="BL81" i="99"/>
  <c r="BL93" i="99"/>
  <c r="BL91" i="99"/>
  <c r="BM89" i="99"/>
  <c r="BM92" i="99"/>
  <c r="BM90" i="99"/>
  <c r="BM66" i="99"/>
  <c r="BM96" i="99"/>
  <c r="BM81" i="99"/>
  <c r="BM75" i="99"/>
  <c r="BM79" i="99"/>
  <c r="BM73" i="99"/>
  <c r="BM55" i="99"/>
  <c r="BM46" i="99"/>
  <c r="BM52" i="99"/>
  <c r="BM62" i="99"/>
  <c r="BM47" i="99"/>
  <c r="BM41" i="99"/>
  <c r="BM48" i="99"/>
  <c r="BM39" i="99"/>
  <c r="BM26" i="99"/>
  <c r="BM33" i="99"/>
  <c r="BM29" i="99"/>
  <c r="BM27" i="99"/>
  <c r="BM30" i="99"/>
  <c r="BM11" i="99"/>
  <c r="BN7" i="99"/>
  <c r="BM12" i="99"/>
  <c r="BM23" i="99"/>
  <c r="BM17" i="99"/>
  <c r="BM50" i="99"/>
  <c r="BM8" i="99"/>
  <c r="BM95" i="99" s="1"/>
  <c r="BM51" i="99"/>
  <c r="BM31" i="99"/>
  <c r="BM15" i="99"/>
  <c r="BL13" i="99"/>
  <c r="BL38" i="99"/>
  <c r="BL29" i="99"/>
  <c r="BL48" i="99"/>
  <c r="BL37" i="99"/>
  <c r="BL41" i="99"/>
  <c r="BL63" i="99"/>
  <c r="BL60" i="99"/>
  <c r="BL69" i="99"/>
  <c r="BL90" i="99"/>
  <c r="BL88" i="99"/>
  <c r="BL64" i="99"/>
  <c r="BL24" i="99"/>
  <c r="BL25" i="99"/>
  <c r="BL16" i="99"/>
  <c r="BL26" i="99"/>
  <c r="BL46" i="99"/>
  <c r="BL57" i="99"/>
  <c r="BL82" i="99"/>
  <c r="BL70" i="99"/>
  <c r="BL78" i="99"/>
  <c r="BL86" i="99"/>
  <c r="BL96" i="99"/>
  <c r="BL75" i="99"/>
  <c r="BL12" i="99"/>
  <c r="BL40" i="99"/>
  <c r="BL22" i="99"/>
  <c r="BL23" i="99"/>
  <c r="BL73" i="99"/>
  <c r="BL47" i="99"/>
  <c r="BL49" i="99"/>
  <c r="BL79" i="99"/>
  <c r="BL66" i="99"/>
  <c r="BL95" i="99"/>
  <c r="BL19" i="99"/>
  <c r="BL17" i="99"/>
  <c r="BL28" i="99"/>
  <c r="BL31" i="99"/>
  <c r="BL68" i="99"/>
  <c r="BL62" i="99"/>
  <c r="BL58" i="99"/>
  <c r="BL67" i="99"/>
  <c r="BL74" i="99"/>
  <c r="BL73" i="97"/>
  <c r="BL33" i="97"/>
  <c r="BL28" i="97"/>
  <c r="BL45" i="97"/>
  <c r="BL39" i="97"/>
  <c r="BL34" i="97"/>
  <c r="BL67" i="97"/>
  <c r="BL75" i="97"/>
  <c r="BL64" i="97"/>
  <c r="BL93" i="97"/>
  <c r="BL91" i="97"/>
  <c r="BL24" i="97"/>
  <c r="BL11" i="97"/>
  <c r="BL13" i="97"/>
  <c r="BL29" i="97"/>
  <c r="BL48" i="97"/>
  <c r="BL47" i="97"/>
  <c r="BL50" i="97"/>
  <c r="BL49" i="97"/>
  <c r="BL82" i="97"/>
  <c r="BL72" i="97"/>
  <c r="BL90" i="97"/>
  <c r="BL88" i="97"/>
  <c r="BL30" i="97"/>
  <c r="BL37" i="97"/>
  <c r="BL61" i="97"/>
  <c r="BL66" i="97"/>
  <c r="BL63" i="97"/>
  <c r="BL80" i="97"/>
  <c r="BL31" i="97"/>
  <c r="BL25" i="97"/>
  <c r="BL15" i="97"/>
  <c r="BL85" i="97"/>
  <c r="BL51" i="97"/>
  <c r="BL58" i="97"/>
  <c r="BL55" i="97"/>
  <c r="BL57" i="97"/>
  <c r="BL81" i="97"/>
  <c r="BL86" i="97"/>
  <c r="BL96" i="97"/>
  <c r="BL17" i="97"/>
  <c r="BL38" i="97"/>
  <c r="BL36" i="97"/>
  <c r="BL26" i="97"/>
  <c r="BL59" i="97"/>
  <c r="BL68" i="97"/>
  <c r="BL56" i="97"/>
  <c r="BL70" i="97"/>
  <c r="BL69" i="97"/>
  <c r="BL95" i="97"/>
  <c r="BL16" i="97"/>
  <c r="BL42" i="97"/>
  <c r="BL12" i="97"/>
  <c r="BM91" i="97"/>
  <c r="BM94" i="97"/>
  <c r="BM97" i="97"/>
  <c r="BM86" i="97"/>
  <c r="BM90" i="97"/>
  <c r="BM93" i="97"/>
  <c r="BM83" i="97"/>
  <c r="BM74" i="97"/>
  <c r="BM81" i="97"/>
  <c r="BM72" i="97"/>
  <c r="BM63" i="97"/>
  <c r="BM84" i="97"/>
  <c r="BM75" i="97"/>
  <c r="BM82" i="97"/>
  <c r="BM60" i="97"/>
  <c r="BM88" i="97"/>
  <c r="BM55" i="97"/>
  <c r="BM61" i="97"/>
  <c r="BM73" i="97"/>
  <c r="BM69" i="97"/>
  <c r="BM62" i="97"/>
  <c r="BM45" i="97"/>
  <c r="BM85" i="97"/>
  <c r="BM28" i="97"/>
  <c r="BM64" i="97"/>
  <c r="BM59" i="97"/>
  <c r="BM56" i="97"/>
  <c r="BM53" i="97"/>
  <c r="BM77" i="97"/>
  <c r="BM38" i="97"/>
  <c r="BM80" i="97"/>
  <c r="BM68" i="97"/>
  <c r="BM40" i="97"/>
  <c r="BM27" i="97"/>
  <c r="BM48" i="97"/>
  <c r="BM34" i="97"/>
  <c r="BM46" i="97"/>
  <c r="BM24" i="97"/>
  <c r="BM29" i="97"/>
  <c r="BM23" i="97"/>
  <c r="BM39" i="97"/>
  <c r="BM16" i="97"/>
  <c r="BN7" i="97"/>
  <c r="BM8" i="97"/>
  <c r="BM89" i="97" s="1"/>
  <c r="BM20" i="97"/>
  <c r="BM41" i="97"/>
  <c r="BM36" i="97"/>
  <c r="BM18" i="97"/>
  <c r="BM42" i="97"/>
  <c r="BM22" i="97"/>
  <c r="BM14" i="97"/>
  <c r="BM19" i="97"/>
  <c r="BM12" i="97"/>
  <c r="BM13" i="97"/>
  <c r="BL40" i="97"/>
  <c r="BL84" i="97"/>
  <c r="BL77" i="97"/>
  <c r="BL74" i="97"/>
  <c r="BL78" i="97"/>
  <c r="BL92" i="97"/>
  <c r="BL22" i="97"/>
  <c r="BL19" i="97"/>
  <c r="BL20" i="97"/>
  <c r="BL14" i="97"/>
  <c r="BL41" i="97"/>
  <c r="BL44" i="97"/>
  <c r="BL79" i="97"/>
  <c r="BL53" i="97"/>
  <c r="BL83" i="97"/>
  <c r="BL89" i="97"/>
  <c r="BL18" i="97"/>
  <c r="BL35" i="97"/>
  <c r="BL27" i="97"/>
  <c r="BL23" i="97"/>
  <c r="BL46" i="97"/>
  <c r="BL52" i="97"/>
  <c r="BL60" i="97"/>
  <c r="BL62" i="97"/>
  <c r="BL71" i="97"/>
  <c r="BN11" i="95"/>
  <c r="BN93" i="95"/>
  <c r="BN26" i="95"/>
  <c r="BN20" i="95"/>
  <c r="BN39" i="95"/>
  <c r="BN56" i="95"/>
  <c r="BN63" i="95"/>
  <c r="BN84" i="95"/>
  <c r="BN23" i="95"/>
  <c r="BN18" i="95"/>
  <c r="BN30" i="95"/>
  <c r="BN67" i="95"/>
  <c r="BN78" i="95"/>
  <c r="BN34" i="95"/>
  <c r="BN25" i="95"/>
  <c r="BN72" i="95"/>
  <c r="BN74" i="95"/>
  <c r="BN90" i="95"/>
  <c r="BN37" i="95"/>
  <c r="BN22" i="95"/>
  <c r="BN31" i="95"/>
  <c r="BN36" i="95"/>
  <c r="BN68" i="95"/>
  <c r="BN91" i="95"/>
  <c r="BN14" i="95"/>
  <c r="BN24" i="95"/>
  <c r="BN42" i="95"/>
  <c r="BN40" i="95"/>
  <c r="BN69" i="95"/>
  <c r="BN89" i="95"/>
  <c r="BN33" i="95"/>
  <c r="BN61" i="95"/>
  <c r="BN44" i="95"/>
  <c r="BN70" i="95"/>
  <c r="BN59" i="95"/>
  <c r="BN95" i="95"/>
  <c r="BN82" i="95"/>
  <c r="BN27" i="95"/>
  <c r="BN50" i="95"/>
  <c r="BN41" i="95"/>
  <c r="BN96" i="95"/>
  <c r="BN58" i="95"/>
  <c r="BN52" i="95"/>
  <c r="BN47" i="95"/>
  <c r="BN48" i="95"/>
  <c r="BN66" i="95"/>
  <c r="BN80" i="95"/>
  <c r="BN29" i="95"/>
  <c r="BN35" i="95"/>
  <c r="BN51" i="95"/>
  <c r="BN38" i="95"/>
  <c r="BN94" i="95"/>
  <c r="BN83" i="95"/>
  <c r="BN16" i="95"/>
  <c r="BO8" i="95"/>
  <c r="BO73" i="95" s="1"/>
  <c r="BP7" i="95"/>
  <c r="BN19" i="95"/>
  <c r="BN15" i="95"/>
  <c r="BN12" i="95"/>
  <c r="BN73" i="95"/>
  <c r="BN46" i="95"/>
  <c r="BN64" i="95"/>
  <c r="BN77" i="95"/>
  <c r="BN62" i="95"/>
  <c r="BN85" i="95"/>
  <c r="BN81" i="95"/>
  <c r="BN71" i="95"/>
  <c r="BN97" i="95"/>
  <c r="BN17" i="95"/>
  <c r="BN28" i="95"/>
  <c r="BN13" i="95"/>
  <c r="BN79" i="95"/>
  <c r="BN55" i="95"/>
  <c r="BN45" i="95"/>
  <c r="BN49" i="95"/>
  <c r="BN53" i="95"/>
  <c r="BN60" i="95"/>
  <c r="BN75" i="95"/>
  <c r="BN88" i="95"/>
  <c r="BN92" i="95"/>
  <c r="BM27" i="59" l="1"/>
  <c r="BM41" i="59"/>
  <c r="BM28" i="59"/>
  <c r="BM71" i="59"/>
  <c r="BM80" i="59"/>
  <c r="BM16" i="59"/>
  <c r="BM30" i="59"/>
  <c r="BM17" i="59"/>
  <c r="BM37" i="59"/>
  <c r="BM58" i="59"/>
  <c r="BM83" i="59"/>
  <c r="BM20" i="59"/>
  <c r="BM40" i="59"/>
  <c r="BM60" i="59"/>
  <c r="BM82" i="59"/>
  <c r="BM13" i="59"/>
  <c r="BM38" i="59"/>
  <c r="BM50" i="59"/>
  <c r="BM81" i="59"/>
  <c r="BM59" i="59"/>
  <c r="BM77" i="59"/>
  <c r="BM95" i="59"/>
  <c r="BM33" i="59"/>
  <c r="BM24" i="59"/>
  <c r="BM34" i="59"/>
  <c r="BM26" i="59"/>
  <c r="BM49" i="59"/>
  <c r="BM68" i="59"/>
  <c r="BM79" i="59"/>
  <c r="BM75" i="59"/>
  <c r="BM96" i="59"/>
  <c r="BM85" i="59"/>
  <c r="BM89" i="59"/>
  <c r="BM53" i="59"/>
  <c r="BM29" i="59"/>
  <c r="BM42" i="59"/>
  <c r="BM52" i="59"/>
  <c r="BM63" i="59"/>
  <c r="BM66" i="59"/>
  <c r="BM61" i="59"/>
  <c r="BM88" i="59"/>
  <c r="BM97" i="59"/>
  <c r="BM15" i="59"/>
  <c r="BM14" i="59"/>
  <c r="BM56" i="59"/>
  <c r="BM48" i="59"/>
  <c r="BM64" i="59"/>
  <c r="BM69" i="59"/>
  <c r="BM70" i="59"/>
  <c r="BM84" i="59"/>
  <c r="BM94" i="59"/>
  <c r="BN94" i="59"/>
  <c r="BN97" i="59"/>
  <c r="BN81" i="59"/>
  <c r="BN64" i="59"/>
  <c r="BN68" i="59"/>
  <c r="BN57" i="59"/>
  <c r="BN55" i="59"/>
  <c r="BN28" i="59"/>
  <c r="BN24" i="59"/>
  <c r="BN8" i="59"/>
  <c r="BN92" i="59" s="1"/>
  <c r="BN37" i="59"/>
  <c r="BN23" i="59"/>
  <c r="BO7" i="59"/>
  <c r="BN11" i="59"/>
  <c r="BN19" i="59"/>
  <c r="BM18" i="59"/>
  <c r="BM22" i="59"/>
  <c r="BM23" i="59"/>
  <c r="BM31" i="59"/>
  <c r="BM45" i="59"/>
  <c r="BM67" i="59"/>
  <c r="BM72" i="59"/>
  <c r="BM74" i="59"/>
  <c r="BM93" i="59"/>
  <c r="BN95" i="113"/>
  <c r="BN93" i="113"/>
  <c r="BN96" i="113"/>
  <c r="BN74" i="113"/>
  <c r="BN88" i="113"/>
  <c r="BN64" i="113"/>
  <c r="BN61" i="113"/>
  <c r="BN78" i="113"/>
  <c r="BN38" i="113"/>
  <c r="BN41" i="113"/>
  <c r="BN68" i="113"/>
  <c r="BN67" i="113"/>
  <c r="BN51" i="113"/>
  <c r="BN42" i="113"/>
  <c r="BN40" i="113"/>
  <c r="BN30" i="113"/>
  <c r="BN23" i="113"/>
  <c r="BN35" i="113"/>
  <c r="BN28" i="113"/>
  <c r="BN24" i="113"/>
  <c r="BN58" i="113"/>
  <c r="BN13" i="113"/>
  <c r="BN26" i="113"/>
  <c r="BN18" i="113"/>
  <c r="BN44" i="113"/>
  <c r="BN37" i="113"/>
  <c r="BN8" i="113"/>
  <c r="BN94" i="113" s="1"/>
  <c r="BN39" i="113"/>
  <c r="BN12" i="113"/>
  <c r="BN11" i="113"/>
  <c r="BN17" i="113"/>
  <c r="BO7" i="113"/>
  <c r="BM16" i="113"/>
  <c r="BM58" i="113"/>
  <c r="BM39" i="113"/>
  <c r="BM38" i="113"/>
  <c r="BM66" i="113"/>
  <c r="BM70" i="113"/>
  <c r="BM78" i="113"/>
  <c r="BM79" i="113"/>
  <c r="BN24" i="111"/>
  <c r="BN96" i="111"/>
  <c r="BN85" i="111"/>
  <c r="BN75" i="111"/>
  <c r="BN70" i="111"/>
  <c r="BN18" i="111"/>
  <c r="BN23" i="111"/>
  <c r="BN57" i="111"/>
  <c r="BN72" i="111"/>
  <c r="BN79" i="111"/>
  <c r="BN15" i="111"/>
  <c r="BN66" i="111"/>
  <c r="BN20" i="111"/>
  <c r="BN42" i="111"/>
  <c r="BN40" i="111"/>
  <c r="BN51" i="111"/>
  <c r="BN81" i="111"/>
  <c r="BN88" i="111"/>
  <c r="BN74" i="111"/>
  <c r="BN93" i="111"/>
  <c r="BO89" i="111"/>
  <c r="BO92" i="111"/>
  <c r="BO96" i="111"/>
  <c r="BO90" i="111"/>
  <c r="BO82" i="111"/>
  <c r="BO71" i="111"/>
  <c r="BO53" i="111"/>
  <c r="BO45" i="111"/>
  <c r="BO64" i="111"/>
  <c r="BO63" i="111"/>
  <c r="BO94" i="111"/>
  <c r="BO57" i="111"/>
  <c r="BO59" i="111"/>
  <c r="BO77" i="111"/>
  <c r="BO48" i="111"/>
  <c r="BO42" i="111"/>
  <c r="BO41" i="111"/>
  <c r="BO91" i="111"/>
  <c r="BO34" i="111"/>
  <c r="BO25" i="111"/>
  <c r="BO19" i="111"/>
  <c r="BO20" i="111"/>
  <c r="BO16" i="111"/>
  <c r="BP7" i="111"/>
  <c r="BO55" i="111"/>
  <c r="BO18" i="111"/>
  <c r="BO22" i="111"/>
  <c r="BO8" i="111"/>
  <c r="BO86" i="111" s="1"/>
  <c r="BO37" i="111"/>
  <c r="BO31" i="111"/>
  <c r="BO30" i="111"/>
  <c r="BO27" i="111"/>
  <c r="BO24" i="111"/>
  <c r="BO13" i="111"/>
  <c r="BN29" i="111"/>
  <c r="BN44" i="111"/>
  <c r="BN55" i="111"/>
  <c r="BN58" i="111"/>
  <c r="BN41" i="111"/>
  <c r="BN38" i="111"/>
  <c r="BN34" i="111"/>
  <c r="BN60" i="111"/>
  <c r="BN50" i="111"/>
  <c r="BN27" i="111"/>
  <c r="BN14" i="111"/>
  <c r="BN11" i="111"/>
  <c r="BN22" i="111"/>
  <c r="BN49" i="111"/>
  <c r="BN77" i="111"/>
  <c r="BN86" i="111"/>
  <c r="BN64" i="111"/>
  <c r="BN59" i="111"/>
  <c r="BN92" i="111"/>
  <c r="BN28" i="111"/>
  <c r="BN25" i="111"/>
  <c r="BN62" i="111"/>
  <c r="BN90" i="111"/>
  <c r="BN17" i="111"/>
  <c r="BN35" i="111"/>
  <c r="BN47" i="111"/>
  <c r="BN63" i="111"/>
  <c r="BN61" i="111"/>
  <c r="BN95" i="111"/>
  <c r="BN12" i="111"/>
  <c r="BN36" i="111"/>
  <c r="BN13" i="111"/>
  <c r="BN30" i="111"/>
  <c r="BN71" i="111"/>
  <c r="BN78" i="111"/>
  <c r="BN52" i="111"/>
  <c r="BN69" i="111"/>
  <c r="BN83" i="111"/>
  <c r="BN89" i="111"/>
  <c r="BN19" i="111"/>
  <c r="BN91" i="111"/>
  <c r="BN46" i="111"/>
  <c r="BN56" i="111"/>
  <c r="BN97" i="111"/>
  <c r="BN26" i="111"/>
  <c r="BN39" i="111"/>
  <c r="BN45" i="111"/>
  <c r="BN53" i="111"/>
  <c r="BN67" i="111"/>
  <c r="BN94" i="111"/>
  <c r="BN73" i="111"/>
  <c r="BN33" i="111"/>
  <c r="BN16" i="111"/>
  <c r="BN31" i="111"/>
  <c r="BN37" i="111"/>
  <c r="BN48" i="111"/>
  <c r="BN80" i="111"/>
  <c r="BN82" i="111"/>
  <c r="BN68" i="111"/>
  <c r="BM84" i="109"/>
  <c r="BM53" i="109"/>
  <c r="BM25" i="109"/>
  <c r="BM31" i="109"/>
  <c r="BM66" i="109"/>
  <c r="BM26" i="109"/>
  <c r="BM71" i="109"/>
  <c r="BM83" i="109"/>
  <c r="BM82" i="109"/>
  <c r="BM97" i="109"/>
  <c r="BM30" i="109"/>
  <c r="BM12" i="109"/>
  <c r="BM15" i="109"/>
  <c r="BM55" i="109"/>
  <c r="BM62" i="109"/>
  <c r="BM27" i="109"/>
  <c r="BM44" i="109"/>
  <c r="BM57" i="109"/>
  <c r="BM88" i="109"/>
  <c r="BM93" i="109"/>
  <c r="BM91" i="109"/>
  <c r="BM45" i="109"/>
  <c r="BM34" i="109"/>
  <c r="BM19" i="109"/>
  <c r="BM67" i="109"/>
  <c r="BM40" i="109"/>
  <c r="BM36" i="109"/>
  <c r="BM61" i="109"/>
  <c r="BM70" i="109"/>
  <c r="BM68" i="109"/>
  <c r="BM96" i="109"/>
  <c r="BM11" i="109"/>
  <c r="BM13" i="109"/>
  <c r="BM24" i="109"/>
  <c r="BM28" i="109"/>
  <c r="BM59" i="109"/>
  <c r="BM20" i="109"/>
  <c r="BM47" i="109"/>
  <c r="BM64" i="109"/>
  <c r="BM77" i="109"/>
  <c r="BM86" i="109"/>
  <c r="BM69" i="109"/>
  <c r="BM33" i="109"/>
  <c r="BM49" i="109"/>
  <c r="BM42" i="109"/>
  <c r="BM72" i="109"/>
  <c r="BM29" i="109"/>
  <c r="BM58" i="109"/>
  <c r="BM56" i="109"/>
  <c r="BM78" i="109"/>
  <c r="BM95" i="109"/>
  <c r="BN92" i="109"/>
  <c r="BN8" i="109"/>
  <c r="BN90" i="109" s="1"/>
  <c r="BO7" i="109"/>
  <c r="BM51" i="109"/>
  <c r="BM48" i="109"/>
  <c r="BM38" i="109"/>
  <c r="BM79" i="109"/>
  <c r="BM63" i="109"/>
  <c r="BM81" i="109"/>
  <c r="BM92" i="109"/>
  <c r="BM60" i="109"/>
  <c r="BM14" i="109"/>
  <c r="BM46" i="109"/>
  <c r="BM52" i="109"/>
  <c r="BM17" i="109"/>
  <c r="BM80" i="109"/>
  <c r="BM75" i="109"/>
  <c r="BM85" i="109"/>
  <c r="BN16" i="107"/>
  <c r="BN19" i="107"/>
  <c r="BN18" i="107"/>
  <c r="BN29" i="107"/>
  <c r="BN33" i="107"/>
  <c r="BN30" i="107"/>
  <c r="BN36" i="107"/>
  <c r="BN63" i="107"/>
  <c r="BN74" i="107"/>
  <c r="BN93" i="107"/>
  <c r="BN12" i="107"/>
  <c r="BN47" i="107"/>
  <c r="BN64" i="107"/>
  <c r="BN53" i="107"/>
  <c r="BN40" i="107"/>
  <c r="BN48" i="107"/>
  <c r="BN58" i="107"/>
  <c r="BN70" i="107"/>
  <c r="BN77" i="107"/>
  <c r="BN86" i="107"/>
  <c r="BN24" i="107"/>
  <c r="BN38" i="107"/>
  <c r="BN49" i="107"/>
  <c r="BN55" i="107"/>
  <c r="BN62" i="107"/>
  <c r="BN81" i="107"/>
  <c r="BN85" i="107"/>
  <c r="BN95" i="107"/>
  <c r="BO97" i="107"/>
  <c r="BO92" i="107"/>
  <c r="BO86" i="107"/>
  <c r="BO88" i="107"/>
  <c r="BO79" i="107"/>
  <c r="BO82" i="107"/>
  <c r="BO84" i="107"/>
  <c r="BO81" i="107"/>
  <c r="BO74" i="107"/>
  <c r="BO78" i="107"/>
  <c r="BO73" i="107"/>
  <c r="BO55" i="107"/>
  <c r="BO42" i="107"/>
  <c r="BO72" i="107"/>
  <c r="BO77" i="107"/>
  <c r="BO40" i="107"/>
  <c r="BO37" i="107"/>
  <c r="BO45" i="107"/>
  <c r="BO63" i="107"/>
  <c r="BO56" i="107"/>
  <c r="BO35" i="107"/>
  <c r="BO52" i="107"/>
  <c r="BO18" i="107"/>
  <c r="BO27" i="107"/>
  <c r="BO19" i="107"/>
  <c r="BO8" i="107"/>
  <c r="BO90" i="107" s="1"/>
  <c r="BO46" i="107"/>
  <c r="BO13" i="107"/>
  <c r="BO25" i="107"/>
  <c r="BO66" i="107"/>
  <c r="BO38" i="107"/>
  <c r="BO17" i="107"/>
  <c r="BP7" i="107"/>
  <c r="BO62" i="107"/>
  <c r="BO14" i="107"/>
  <c r="BN14" i="107"/>
  <c r="BN28" i="107"/>
  <c r="BN20" i="107"/>
  <c r="BN51" i="107"/>
  <c r="BN44" i="107"/>
  <c r="BN69" i="107"/>
  <c r="BN82" i="107"/>
  <c r="BN72" i="107"/>
  <c r="BN84" i="107"/>
  <c r="BN89" i="107"/>
  <c r="BN22" i="107"/>
  <c r="BN80" i="107"/>
  <c r="BN25" i="107"/>
  <c r="BN17" i="107"/>
  <c r="BN52" i="107"/>
  <c r="BN71" i="107"/>
  <c r="BN73" i="107"/>
  <c r="BN56" i="107"/>
  <c r="BN79" i="107"/>
  <c r="BN88" i="107"/>
  <c r="BN30" i="105"/>
  <c r="BN47" i="105"/>
  <c r="BN67" i="105"/>
  <c r="BN69" i="105"/>
  <c r="BN71" i="105"/>
  <c r="BN84" i="105"/>
  <c r="BN89" i="105"/>
  <c r="BN18" i="105"/>
  <c r="BN39" i="105"/>
  <c r="BN35" i="105"/>
  <c r="BN53" i="105"/>
  <c r="BN66" i="105"/>
  <c r="BN80" i="105"/>
  <c r="BN72" i="105"/>
  <c r="BN97" i="105"/>
  <c r="BO69" i="105"/>
  <c r="BO8" i="105"/>
  <c r="BO89" i="105" s="1"/>
  <c r="BO25" i="105"/>
  <c r="BO16" i="105"/>
  <c r="BO23" i="105"/>
  <c r="BO24" i="105"/>
  <c r="BP7" i="105"/>
  <c r="BO12" i="105"/>
  <c r="BN57" i="105"/>
  <c r="BN64" i="105"/>
  <c r="BN70" i="105"/>
  <c r="BN62" i="105"/>
  <c r="BN85" i="105"/>
  <c r="BN93" i="105"/>
  <c r="BN24" i="105"/>
  <c r="BN40" i="105"/>
  <c r="BN49" i="105"/>
  <c r="BN63" i="105"/>
  <c r="BN83" i="105"/>
  <c r="BN82" i="105"/>
  <c r="BO97" i="103"/>
  <c r="BO90" i="103"/>
  <c r="BO96" i="103"/>
  <c r="BO88" i="103"/>
  <c r="BO80" i="103"/>
  <c r="BO83" i="103"/>
  <c r="BO78" i="103"/>
  <c r="BO81" i="103"/>
  <c r="BO84" i="103"/>
  <c r="BO74" i="103"/>
  <c r="BO66" i="103"/>
  <c r="BO69" i="103"/>
  <c r="BO77" i="103"/>
  <c r="BO67" i="103"/>
  <c r="BO62" i="103"/>
  <c r="BO61" i="103"/>
  <c r="BO52" i="103"/>
  <c r="BO44" i="103"/>
  <c r="BO63" i="103"/>
  <c r="BO47" i="103"/>
  <c r="BO45" i="103"/>
  <c r="BO39" i="103"/>
  <c r="BO36" i="103"/>
  <c r="BO49" i="103"/>
  <c r="BO51" i="103"/>
  <c r="BO35" i="103"/>
  <c r="BO33" i="103"/>
  <c r="BO25" i="103"/>
  <c r="BO56" i="103"/>
  <c r="BO29" i="103"/>
  <c r="BO20" i="103"/>
  <c r="BO14" i="103"/>
  <c r="BP7" i="103"/>
  <c r="BO37" i="103"/>
  <c r="BO26" i="103"/>
  <c r="BO17" i="103"/>
  <c r="BO15" i="103"/>
  <c r="BO42" i="103"/>
  <c r="BO34" i="103"/>
  <c r="BO8" i="103"/>
  <c r="BO89" i="103" s="1"/>
  <c r="BO13" i="103"/>
  <c r="BO28" i="103"/>
  <c r="BO18" i="103"/>
  <c r="BO57" i="103"/>
  <c r="BO22" i="103"/>
  <c r="BN28" i="103"/>
  <c r="BN55" i="103"/>
  <c r="BN50" i="103"/>
  <c r="BN68" i="103"/>
  <c r="BN66" i="103"/>
  <c r="BN56" i="103"/>
  <c r="BN79" i="103"/>
  <c r="BN89" i="103"/>
  <c r="BN67" i="103"/>
  <c r="BN84" i="103"/>
  <c r="BN73" i="103"/>
  <c r="BN96" i="103"/>
  <c r="BN94" i="103"/>
  <c r="BN61" i="103"/>
  <c r="BN29" i="103"/>
  <c r="BN22" i="103"/>
  <c r="BN42" i="103"/>
  <c r="BN52" i="103"/>
  <c r="BN60" i="103"/>
  <c r="BN62" i="103"/>
  <c r="BN80" i="103"/>
  <c r="BM15" i="101"/>
  <c r="BM17" i="101"/>
  <c r="BM27" i="101"/>
  <c r="BM38" i="101"/>
  <c r="BM28" i="101"/>
  <c r="BM41" i="101"/>
  <c r="BM69" i="101"/>
  <c r="BM84" i="101"/>
  <c r="BM77" i="101"/>
  <c r="BM86" i="101"/>
  <c r="BM20" i="101"/>
  <c r="BM39" i="101"/>
  <c r="BM78" i="101"/>
  <c r="BM95" i="101"/>
  <c r="BM37" i="101"/>
  <c r="BN94" i="101"/>
  <c r="BN97" i="101"/>
  <c r="BN95" i="101"/>
  <c r="BN91" i="101"/>
  <c r="BN82" i="101"/>
  <c r="BN80" i="101"/>
  <c r="BN71" i="101"/>
  <c r="BN79" i="101"/>
  <c r="BN81" i="101"/>
  <c r="BN61" i="101"/>
  <c r="BN64" i="101"/>
  <c r="BN59" i="101"/>
  <c r="BN38" i="101"/>
  <c r="BN55" i="101"/>
  <c r="BN63" i="101"/>
  <c r="BN45" i="101"/>
  <c r="BN60" i="101"/>
  <c r="BN48" i="101"/>
  <c r="BN74" i="101"/>
  <c r="BN39" i="101"/>
  <c r="BN53" i="101"/>
  <c r="BN35" i="101"/>
  <c r="BN31" i="101"/>
  <c r="BN49" i="101"/>
  <c r="BN40" i="101"/>
  <c r="BN26" i="101"/>
  <c r="BN75" i="101"/>
  <c r="BN42" i="101"/>
  <c r="BN30" i="101"/>
  <c r="BN51" i="101"/>
  <c r="BN24" i="101"/>
  <c r="BN33" i="101"/>
  <c r="BN44" i="101"/>
  <c r="BN34" i="101"/>
  <c r="BN16" i="101"/>
  <c r="BN17" i="101"/>
  <c r="BN18" i="101"/>
  <c r="BN12" i="101"/>
  <c r="BN22" i="101"/>
  <c r="BN15" i="101"/>
  <c r="BN8" i="101"/>
  <c r="BN89" i="101" s="1"/>
  <c r="BN23" i="101"/>
  <c r="BN19" i="101"/>
  <c r="BN13" i="101"/>
  <c r="BN20" i="101"/>
  <c r="BN11" i="101"/>
  <c r="BO7" i="101"/>
  <c r="BM30" i="101"/>
  <c r="BM49" i="101"/>
  <c r="BM48" i="101"/>
  <c r="BM59" i="101"/>
  <c r="BM64" i="101"/>
  <c r="BM74" i="101"/>
  <c r="BM82" i="101"/>
  <c r="BM92" i="101"/>
  <c r="BM12" i="101"/>
  <c r="BM14" i="101"/>
  <c r="BM29" i="101"/>
  <c r="BM66" i="101"/>
  <c r="BM34" i="101"/>
  <c r="BM72" i="101"/>
  <c r="BM52" i="101"/>
  <c r="BM83" i="101"/>
  <c r="BM79" i="101"/>
  <c r="BM89" i="101"/>
  <c r="BM18" i="101"/>
  <c r="BM25" i="101"/>
  <c r="BM36" i="101"/>
  <c r="BM31" i="101"/>
  <c r="BM45" i="101"/>
  <c r="BM47" i="101"/>
  <c r="BM61" i="101"/>
  <c r="BM73" i="101"/>
  <c r="BM93" i="101"/>
  <c r="BM97" i="101"/>
  <c r="BM40" i="101"/>
  <c r="BM68" i="101"/>
  <c r="BM85" i="101"/>
  <c r="BM11" i="101"/>
  <c r="BM13" i="101"/>
  <c r="BM57" i="101"/>
  <c r="BM46" i="101"/>
  <c r="BM35" i="101"/>
  <c r="BM42" i="101"/>
  <c r="BM58" i="101"/>
  <c r="BM67" i="101"/>
  <c r="BM75" i="101"/>
  <c r="BM88" i="101"/>
  <c r="BM94" i="101"/>
  <c r="BM16" i="101"/>
  <c r="BM19" i="101"/>
  <c r="BM62" i="101"/>
  <c r="BM60" i="101"/>
  <c r="BM53" i="101"/>
  <c r="BM51" i="101"/>
  <c r="BM70" i="101"/>
  <c r="BM55" i="101"/>
  <c r="BM81" i="101"/>
  <c r="BM96" i="101"/>
  <c r="BM91" i="101"/>
  <c r="BM50" i="101"/>
  <c r="BM24" i="101"/>
  <c r="BM23" i="101"/>
  <c r="BM26" i="101"/>
  <c r="BM33" i="101"/>
  <c r="BM71" i="101"/>
  <c r="BM56" i="101"/>
  <c r="BM44" i="101"/>
  <c r="BM63" i="101"/>
  <c r="BM80" i="101"/>
  <c r="BM25" i="99"/>
  <c r="BM37" i="99"/>
  <c r="BM44" i="99"/>
  <c r="BM36" i="99"/>
  <c r="BM59" i="99"/>
  <c r="BM77" i="99"/>
  <c r="BM84" i="99"/>
  <c r="BM74" i="99"/>
  <c r="BM97" i="99"/>
  <c r="BM13" i="99"/>
  <c r="BM18" i="99"/>
  <c r="BM42" i="99"/>
  <c r="BM68" i="99"/>
  <c r="BM56" i="99"/>
  <c r="BM45" i="99"/>
  <c r="BM67" i="99"/>
  <c r="BM88" i="99"/>
  <c r="BM63" i="99"/>
  <c r="BM83" i="99"/>
  <c r="BM94" i="99"/>
  <c r="BM16" i="99"/>
  <c r="BM35" i="99"/>
  <c r="BM53" i="99"/>
  <c r="BM71" i="99"/>
  <c r="BM85" i="99"/>
  <c r="BM49" i="99"/>
  <c r="BM80" i="99"/>
  <c r="BM64" i="99"/>
  <c r="BM72" i="99"/>
  <c r="BM93" i="99"/>
  <c r="BM91" i="99"/>
  <c r="BM22" i="99"/>
  <c r="BM19" i="99"/>
  <c r="BN89" i="99"/>
  <c r="BN90" i="99"/>
  <c r="BN78" i="99"/>
  <c r="BN84" i="99"/>
  <c r="BN82" i="99"/>
  <c r="BN77" i="99"/>
  <c r="BN61" i="99"/>
  <c r="BN71" i="99"/>
  <c r="BN41" i="99"/>
  <c r="BN52" i="99"/>
  <c r="BN59" i="99"/>
  <c r="BN55" i="99"/>
  <c r="BN29" i="99"/>
  <c r="BN60" i="99"/>
  <c r="BN25" i="99"/>
  <c r="BN35" i="99"/>
  <c r="BO7" i="99"/>
  <c r="BN23" i="99"/>
  <c r="BN15" i="99"/>
  <c r="BN13" i="99"/>
  <c r="BN8" i="99"/>
  <c r="BN93" i="99" s="1"/>
  <c r="BN11" i="99"/>
  <c r="BM34" i="99"/>
  <c r="BM40" i="99"/>
  <c r="BM57" i="99"/>
  <c r="BM61" i="99"/>
  <c r="BM82" i="99"/>
  <c r="BM69" i="99"/>
  <c r="BM86" i="99"/>
  <c r="BM28" i="99"/>
  <c r="BM24" i="99"/>
  <c r="BM14" i="99"/>
  <c r="BM20" i="99"/>
  <c r="BM60" i="99"/>
  <c r="BM38" i="99"/>
  <c r="BM58" i="99"/>
  <c r="BM70" i="99"/>
  <c r="BM78" i="99"/>
  <c r="BM58" i="97"/>
  <c r="BM30" i="97"/>
  <c r="BM79" i="97"/>
  <c r="BM37" i="97"/>
  <c r="BM47" i="97"/>
  <c r="BM57" i="97"/>
  <c r="BM78" i="97"/>
  <c r="BM95" i="97"/>
  <c r="BN57" i="97"/>
  <c r="BN40" i="97"/>
  <c r="BN8" i="97"/>
  <c r="BN94" i="97" s="1"/>
  <c r="BO7" i="97"/>
  <c r="BM11" i="97"/>
  <c r="BM31" i="97"/>
  <c r="BM49" i="97"/>
  <c r="BM17" i="97"/>
  <c r="BM35" i="97"/>
  <c r="BM50" i="97"/>
  <c r="BM44" i="97"/>
  <c r="BM70" i="97"/>
  <c r="BM96" i="97"/>
  <c r="BM92" i="97"/>
  <c r="BM25" i="97"/>
  <c r="BM33" i="97"/>
  <c r="BM15" i="97"/>
  <c r="BM26" i="97"/>
  <c r="BM51" i="97"/>
  <c r="BM71" i="97"/>
  <c r="BM52" i="97"/>
  <c r="BM67" i="97"/>
  <c r="BM66" i="97"/>
  <c r="BO34" i="95"/>
  <c r="BO26" i="95"/>
  <c r="BO14" i="95"/>
  <c r="BO23" i="95"/>
  <c r="BO25" i="95"/>
  <c r="BO20" i="95"/>
  <c r="BO28" i="95"/>
  <c r="BO59" i="95"/>
  <c r="BO86" i="95"/>
  <c r="BO94" i="95"/>
  <c r="BO68" i="95"/>
  <c r="BO18" i="95"/>
  <c r="BO55" i="95"/>
  <c r="BO36" i="95"/>
  <c r="BO52" i="95"/>
  <c r="BO17" i="95"/>
  <c r="BO39" i="95"/>
  <c r="BO60" i="95"/>
  <c r="BO56" i="95"/>
  <c r="BO51" i="95"/>
  <c r="BO78" i="95"/>
  <c r="BO83" i="95"/>
  <c r="BO91" i="95"/>
  <c r="BO77" i="95"/>
  <c r="BO27" i="95"/>
  <c r="BO19" i="95"/>
  <c r="BO44" i="95"/>
  <c r="BO48" i="95"/>
  <c r="BO72" i="95"/>
  <c r="BO96" i="95"/>
  <c r="BO70" i="95"/>
  <c r="BP8" i="95"/>
  <c r="BP90" i="95" s="1"/>
  <c r="BQ7" i="95"/>
  <c r="BO16" i="95"/>
  <c r="BO90" i="95"/>
  <c r="BO38" i="95"/>
  <c r="BO37" i="95"/>
  <c r="BO24" i="95"/>
  <c r="BO41" i="95"/>
  <c r="BO75" i="95"/>
  <c r="BO42" i="95"/>
  <c r="BO62" i="95"/>
  <c r="BO80" i="95"/>
  <c r="BO67" i="95"/>
  <c r="BO93" i="95"/>
  <c r="BO89" i="95"/>
  <c r="BO53" i="95"/>
  <c r="BO13" i="95"/>
  <c r="BO30" i="95"/>
  <c r="BO61" i="95"/>
  <c r="BO29" i="95"/>
  <c r="BO45" i="95"/>
  <c r="BO97" i="95"/>
  <c r="BO84" i="95"/>
  <c r="BO88" i="95"/>
  <c r="BO81" i="95"/>
  <c r="BO79" i="95"/>
  <c r="BO33" i="95"/>
  <c r="BO15" i="95"/>
  <c r="BO49" i="95"/>
  <c r="BO63" i="95"/>
  <c r="BO46" i="95"/>
  <c r="BO71" i="95"/>
  <c r="BO40" i="95"/>
  <c r="BO92" i="95"/>
  <c r="BO58" i="95"/>
  <c r="BO82" i="95"/>
  <c r="BO85" i="95"/>
  <c r="BO95" i="95"/>
  <c r="BO47" i="95"/>
  <c r="BO64" i="95"/>
  <c r="BO12" i="95"/>
  <c r="BO35" i="95"/>
  <c r="BO31" i="95"/>
  <c r="BO22" i="95"/>
  <c r="BO11" i="95"/>
  <c r="BO66" i="95"/>
  <c r="BO57" i="95"/>
  <c r="BO50" i="95"/>
  <c r="BO69" i="95"/>
  <c r="BO74" i="95"/>
  <c r="BN14" i="59" l="1"/>
  <c r="BN49" i="59"/>
  <c r="BN56" i="59"/>
  <c r="BN69" i="59"/>
  <c r="BN95" i="59"/>
  <c r="BN29" i="59"/>
  <c r="BN67" i="59"/>
  <c r="BN82" i="59"/>
  <c r="BN33" i="59"/>
  <c r="BN30" i="59"/>
  <c r="BN42" i="59"/>
  <c r="BN83" i="59"/>
  <c r="BN12" i="59"/>
  <c r="BN31" i="59"/>
  <c r="BN59" i="59"/>
  <c r="BN79" i="59"/>
  <c r="BN34" i="59"/>
  <c r="BN48" i="59"/>
  <c r="BN72" i="59"/>
  <c r="BN88" i="59"/>
  <c r="BP14" i="95"/>
  <c r="BN13" i="59"/>
  <c r="BN26" i="59"/>
  <c r="BN20" i="59"/>
  <c r="BN35" i="59"/>
  <c r="BN52" i="59"/>
  <c r="BN63" i="59"/>
  <c r="BN66" i="59"/>
  <c r="BN78" i="59"/>
  <c r="BN85" i="59"/>
  <c r="BN89" i="59"/>
  <c r="BN16" i="59"/>
  <c r="BN17" i="59"/>
  <c r="BN40" i="59"/>
  <c r="BN45" i="59"/>
  <c r="BN70" i="59"/>
  <c r="BN74" i="59"/>
  <c r="BN84" i="59"/>
  <c r="BN96" i="59"/>
  <c r="BO26" i="59"/>
  <c r="BO8" i="59"/>
  <c r="BO96" i="59" s="1"/>
  <c r="BO17" i="59"/>
  <c r="BO47" i="59"/>
  <c r="BP7" i="59"/>
  <c r="BN27" i="59"/>
  <c r="BN25" i="59"/>
  <c r="BN41" i="59"/>
  <c r="BN50" i="59"/>
  <c r="BN51" i="59"/>
  <c r="BN71" i="59"/>
  <c r="BN91" i="59"/>
  <c r="BN77" i="59"/>
  <c r="BN93" i="59"/>
  <c r="BN47" i="59"/>
  <c r="BN36" i="59"/>
  <c r="BN15" i="59"/>
  <c r="BN44" i="59"/>
  <c r="BN53" i="59"/>
  <c r="BN61" i="59"/>
  <c r="BN58" i="59"/>
  <c r="BN86" i="59"/>
  <c r="BN80" i="59"/>
  <c r="BN90" i="59"/>
  <c r="BN18" i="59"/>
  <c r="BN22" i="59"/>
  <c r="BN39" i="59"/>
  <c r="BN38" i="59"/>
  <c r="BN46" i="59"/>
  <c r="BN60" i="59"/>
  <c r="BN62" i="59"/>
  <c r="BN73" i="59"/>
  <c r="BN75" i="59"/>
  <c r="BN50" i="113"/>
  <c r="BN66" i="113"/>
  <c r="BN81" i="113"/>
  <c r="BN83" i="113"/>
  <c r="BN90" i="113"/>
  <c r="BN55" i="113"/>
  <c r="BN53" i="113"/>
  <c r="BN84" i="113"/>
  <c r="BN80" i="113"/>
  <c r="BN86" i="113"/>
  <c r="BN46" i="113"/>
  <c r="BN36" i="113"/>
  <c r="BN29" i="113"/>
  <c r="BN48" i="113"/>
  <c r="BN47" i="113"/>
  <c r="BN69" i="113"/>
  <c r="BN91" i="113"/>
  <c r="BN77" i="113"/>
  <c r="BN92" i="113"/>
  <c r="BN14" i="113"/>
  <c r="BN16" i="113"/>
  <c r="BN49" i="113"/>
  <c r="BN52" i="113"/>
  <c r="BN70" i="113"/>
  <c r="BN57" i="113"/>
  <c r="BN71" i="113"/>
  <c r="BN63" i="113"/>
  <c r="BN85" i="113"/>
  <c r="BN89" i="113"/>
  <c r="BO92" i="113"/>
  <c r="BO96" i="113"/>
  <c r="BO77" i="113"/>
  <c r="BO78" i="113"/>
  <c r="BO72" i="113"/>
  <c r="BO81" i="113"/>
  <c r="BO68" i="113"/>
  <c r="BO82" i="113"/>
  <c r="BO71" i="113"/>
  <c r="BO61" i="113"/>
  <c r="BO66" i="113"/>
  <c r="BO62" i="113"/>
  <c r="BO75" i="113"/>
  <c r="BO41" i="113"/>
  <c r="BO45" i="113"/>
  <c r="BO27" i="113"/>
  <c r="BO70" i="113"/>
  <c r="BO56" i="113"/>
  <c r="BO51" i="113"/>
  <c r="BO42" i="113"/>
  <c r="BO52" i="113"/>
  <c r="BO46" i="113"/>
  <c r="BO40" i="113"/>
  <c r="BO34" i="113"/>
  <c r="BO26" i="113"/>
  <c r="BO47" i="113"/>
  <c r="BO30" i="113"/>
  <c r="BO53" i="113"/>
  <c r="BO44" i="113"/>
  <c r="BO18" i="113"/>
  <c r="BO22" i="113"/>
  <c r="BO16" i="113"/>
  <c r="BO14" i="113"/>
  <c r="BO49" i="113"/>
  <c r="BO29" i="113"/>
  <c r="BO20" i="113"/>
  <c r="BO12" i="113"/>
  <c r="BO11" i="113"/>
  <c r="BP7" i="113"/>
  <c r="BO13" i="113"/>
  <c r="BO8" i="113"/>
  <c r="BO95" i="113" s="1"/>
  <c r="BO25" i="113"/>
  <c r="BN20" i="113"/>
  <c r="BN22" i="113"/>
  <c r="BN75" i="113"/>
  <c r="BN25" i="113"/>
  <c r="BN45" i="113"/>
  <c r="BN59" i="113"/>
  <c r="BN56" i="113"/>
  <c r="BN72" i="113"/>
  <c r="BN73" i="113"/>
  <c r="BN97" i="113"/>
  <c r="BN15" i="113"/>
  <c r="BN19" i="113"/>
  <c r="BN31" i="113"/>
  <c r="BN27" i="113"/>
  <c r="BN34" i="113"/>
  <c r="BN33" i="113"/>
  <c r="BN62" i="113"/>
  <c r="BN60" i="113"/>
  <c r="BN79" i="113"/>
  <c r="BN82" i="113"/>
  <c r="BO83" i="111"/>
  <c r="BO56" i="111"/>
  <c r="BP92" i="111"/>
  <c r="BP90" i="111"/>
  <c r="BP96" i="111"/>
  <c r="BP82" i="111"/>
  <c r="BP68" i="111"/>
  <c r="BP97" i="111"/>
  <c r="BP75" i="111"/>
  <c r="BP61" i="111"/>
  <c r="BP58" i="111"/>
  <c r="BP81" i="111"/>
  <c r="BP67" i="111"/>
  <c r="BP53" i="111"/>
  <c r="BP66" i="111"/>
  <c r="BP49" i="111"/>
  <c r="BP44" i="111"/>
  <c r="BP56" i="111"/>
  <c r="BP63" i="111"/>
  <c r="BP46" i="111"/>
  <c r="BP38" i="111"/>
  <c r="BP83" i="111"/>
  <c r="BP60" i="111"/>
  <c r="BP23" i="111"/>
  <c r="BP29" i="111"/>
  <c r="BP34" i="111"/>
  <c r="BP14" i="111"/>
  <c r="BQ7" i="111"/>
  <c r="BP26" i="111"/>
  <c r="BP20" i="111"/>
  <c r="BP8" i="111"/>
  <c r="BP91" i="111" s="1"/>
  <c r="BP18" i="111"/>
  <c r="BP36" i="111"/>
  <c r="BP33" i="111"/>
  <c r="BP50" i="111"/>
  <c r="BP27" i="111"/>
  <c r="BO51" i="111"/>
  <c r="BO40" i="111"/>
  <c r="BO84" i="111"/>
  <c r="BO81" i="111"/>
  <c r="BO36" i="111"/>
  <c r="BO73" i="111"/>
  <c r="BO95" i="111"/>
  <c r="BO72" i="111"/>
  <c r="BO12" i="111"/>
  <c r="BO33" i="111"/>
  <c r="BO29" i="111"/>
  <c r="BO49" i="111"/>
  <c r="BO44" i="111"/>
  <c r="BO47" i="111"/>
  <c r="BO58" i="111"/>
  <c r="BO62" i="111"/>
  <c r="BO79" i="111"/>
  <c r="BO97" i="111"/>
  <c r="BO17" i="111"/>
  <c r="BO15" i="111"/>
  <c r="BO52" i="111"/>
  <c r="BO26" i="111"/>
  <c r="BO85" i="111"/>
  <c r="BO46" i="111"/>
  <c r="BO50" i="111"/>
  <c r="BO61" i="111"/>
  <c r="BO68" i="111"/>
  <c r="BO88" i="111"/>
  <c r="BO14" i="111"/>
  <c r="BO28" i="111"/>
  <c r="BO38" i="111"/>
  <c r="BO60" i="111"/>
  <c r="BO67" i="111"/>
  <c r="BO69" i="111"/>
  <c r="BO74" i="111"/>
  <c r="BO93" i="111"/>
  <c r="BO23" i="111"/>
  <c r="BO78" i="111"/>
  <c r="BO11" i="111"/>
  <c r="BO35" i="111"/>
  <c r="BO39" i="111"/>
  <c r="BO66" i="111"/>
  <c r="BO70" i="111"/>
  <c r="BO75" i="111"/>
  <c r="BO80" i="111"/>
  <c r="BN23" i="109"/>
  <c r="BN69" i="109"/>
  <c r="BN19" i="109"/>
  <c r="BN46" i="109"/>
  <c r="BN39" i="109"/>
  <c r="BN48" i="109"/>
  <c r="BN68" i="109"/>
  <c r="BN79" i="109"/>
  <c r="BN96" i="109"/>
  <c r="BN95" i="109"/>
  <c r="BN47" i="109"/>
  <c r="BN51" i="109"/>
  <c r="BN81" i="109"/>
  <c r="BN57" i="109"/>
  <c r="BN14" i="109"/>
  <c r="BN49" i="109"/>
  <c r="BN58" i="109"/>
  <c r="BN78" i="109"/>
  <c r="BN20" i="109"/>
  <c r="BN67" i="109"/>
  <c r="BN59" i="109"/>
  <c r="BN71" i="109"/>
  <c r="BN89" i="109"/>
  <c r="BO97" i="109"/>
  <c r="BO94" i="109"/>
  <c r="BO80" i="109"/>
  <c r="BO74" i="109"/>
  <c r="BO66" i="109"/>
  <c r="BO53" i="109"/>
  <c r="BO72" i="109"/>
  <c r="BO69" i="109"/>
  <c r="BO62" i="109"/>
  <c r="BO48" i="109"/>
  <c r="BO33" i="109"/>
  <c r="BO24" i="109"/>
  <c r="BO67" i="109"/>
  <c r="BO46" i="109"/>
  <c r="BO42" i="109"/>
  <c r="BO47" i="109"/>
  <c r="BO37" i="109"/>
  <c r="BO28" i="109"/>
  <c r="BO84" i="109"/>
  <c r="BO26" i="109"/>
  <c r="BO63" i="109"/>
  <c r="BO29" i="109"/>
  <c r="BO13" i="109"/>
  <c r="BO8" i="109"/>
  <c r="BO89" i="109" s="1"/>
  <c r="BO12" i="109"/>
  <c r="BO38" i="109"/>
  <c r="BP7" i="109"/>
  <c r="BO39" i="109"/>
  <c r="BO56" i="109"/>
  <c r="BO44" i="109"/>
  <c r="BO22" i="109"/>
  <c r="BO23" i="109"/>
  <c r="BO40" i="109"/>
  <c r="BN17" i="109"/>
  <c r="BN53" i="109"/>
  <c r="BN75" i="109"/>
  <c r="BN26" i="109"/>
  <c r="BN15" i="109"/>
  <c r="BN29" i="109"/>
  <c r="BN84" i="109"/>
  <c r="BN77" i="109"/>
  <c r="BN88" i="109"/>
  <c r="BN97" i="109"/>
  <c r="BN34" i="109"/>
  <c r="BN31" i="109"/>
  <c r="BN63" i="109"/>
  <c r="BN70" i="109"/>
  <c r="BN62" i="109"/>
  <c r="BN16" i="109"/>
  <c r="BN28" i="109"/>
  <c r="BN13" i="109"/>
  <c r="BN25" i="109"/>
  <c r="BN36" i="109"/>
  <c r="BN24" i="109"/>
  <c r="BN38" i="109"/>
  <c r="BN61" i="109"/>
  <c r="BN83" i="109"/>
  <c r="BN80" i="109"/>
  <c r="BN94" i="109"/>
  <c r="BN18" i="109"/>
  <c r="BN56" i="109"/>
  <c r="BN27" i="109"/>
  <c r="BN42" i="109"/>
  <c r="BN40" i="109"/>
  <c r="BN33" i="109"/>
  <c r="BN73" i="109"/>
  <c r="BN66" i="109"/>
  <c r="BN74" i="109"/>
  <c r="BN85" i="109"/>
  <c r="BN44" i="109"/>
  <c r="BN11" i="109"/>
  <c r="BN60" i="109"/>
  <c r="BN86" i="109"/>
  <c r="BN22" i="109"/>
  <c r="BN41" i="109"/>
  <c r="BN50" i="109"/>
  <c r="BN64" i="109"/>
  <c r="BN82" i="109"/>
  <c r="BN91" i="109"/>
  <c r="BN12" i="109"/>
  <c r="BN35" i="109"/>
  <c r="BN52" i="109"/>
  <c r="BN37" i="109"/>
  <c r="BN30" i="109"/>
  <c r="BN45" i="109"/>
  <c r="BN55" i="109"/>
  <c r="BN72" i="109"/>
  <c r="BN93" i="109"/>
  <c r="BO12" i="107"/>
  <c r="BO26" i="107"/>
  <c r="BO28" i="107"/>
  <c r="BO47" i="107"/>
  <c r="BO61" i="107"/>
  <c r="BO51" i="107"/>
  <c r="BO68" i="107"/>
  <c r="BO75" i="107"/>
  <c r="BO80" i="107"/>
  <c r="BO95" i="107"/>
  <c r="BO41" i="107"/>
  <c r="BO58" i="107"/>
  <c r="BO36" i="107"/>
  <c r="BO34" i="107"/>
  <c r="BO53" i="107"/>
  <c r="BO94" i="107"/>
  <c r="BO91" i="107"/>
  <c r="BO89" i="107"/>
  <c r="BO11" i="107"/>
  <c r="BO16" i="107"/>
  <c r="BO44" i="107"/>
  <c r="BO24" i="107"/>
  <c r="BO64" i="107"/>
  <c r="BO49" i="107"/>
  <c r="BO30" i="107"/>
  <c r="BO85" i="107"/>
  <c r="BO83" i="107"/>
  <c r="BO96" i="107"/>
  <c r="BP95" i="107"/>
  <c r="BP86" i="107"/>
  <c r="BP93" i="107"/>
  <c r="BP96" i="107"/>
  <c r="BP97" i="107"/>
  <c r="BP82" i="107"/>
  <c r="BP72" i="107"/>
  <c r="BP63" i="107"/>
  <c r="BP89" i="107"/>
  <c r="BP79" i="107"/>
  <c r="BP85" i="107"/>
  <c r="BP53" i="107"/>
  <c r="BP71" i="107"/>
  <c r="BP61" i="107"/>
  <c r="BP69" i="107"/>
  <c r="BP42" i="107"/>
  <c r="BP84" i="107"/>
  <c r="BP59" i="107"/>
  <c r="BP46" i="107"/>
  <c r="BP28" i="107"/>
  <c r="BP70" i="107"/>
  <c r="BP49" i="107"/>
  <c r="BP80" i="107"/>
  <c r="BP74" i="107"/>
  <c r="BP45" i="107"/>
  <c r="BP60" i="107"/>
  <c r="BP50" i="107"/>
  <c r="BP41" i="107"/>
  <c r="BP62" i="107"/>
  <c r="BP67" i="107"/>
  <c r="BP39" i="107"/>
  <c r="BP48" i="107"/>
  <c r="BP40" i="107"/>
  <c r="BP27" i="107"/>
  <c r="BP47" i="107"/>
  <c r="BP35" i="107"/>
  <c r="BP66" i="107"/>
  <c r="BP36" i="107"/>
  <c r="BP29" i="107"/>
  <c r="BP13" i="107"/>
  <c r="BP33" i="107"/>
  <c r="BP31" i="107"/>
  <c r="BP30" i="107"/>
  <c r="BP19" i="107"/>
  <c r="BP11" i="107"/>
  <c r="BP12" i="107"/>
  <c r="BP58" i="107"/>
  <c r="BP17" i="107"/>
  <c r="BP15" i="107"/>
  <c r="BP20" i="107"/>
  <c r="BQ7" i="107"/>
  <c r="BP14" i="107"/>
  <c r="BP8" i="107"/>
  <c r="BP88" i="107" s="1"/>
  <c r="BP16" i="107"/>
  <c r="BO23" i="107"/>
  <c r="BO71" i="107"/>
  <c r="BO20" i="107"/>
  <c r="BO50" i="107"/>
  <c r="BO57" i="107"/>
  <c r="BO39" i="107"/>
  <c r="BO59" i="107"/>
  <c r="BO60" i="107"/>
  <c r="BO93" i="107"/>
  <c r="BO15" i="107"/>
  <c r="BO31" i="107"/>
  <c r="BO22" i="107"/>
  <c r="BO33" i="107"/>
  <c r="BO29" i="107"/>
  <c r="BO67" i="107"/>
  <c r="BO48" i="107"/>
  <c r="BO70" i="107"/>
  <c r="BO69" i="107"/>
  <c r="BO39" i="105"/>
  <c r="BO28" i="105"/>
  <c r="BO18" i="105"/>
  <c r="BO36" i="105"/>
  <c r="BO56" i="105"/>
  <c r="BO61" i="105"/>
  <c r="BO97" i="105"/>
  <c r="BO42" i="105"/>
  <c r="BO20" i="105"/>
  <c r="BO46" i="105"/>
  <c r="BO27" i="105"/>
  <c r="BO37" i="105"/>
  <c r="BO38" i="105"/>
  <c r="BO82" i="105"/>
  <c r="BO72" i="105"/>
  <c r="BO80" i="105"/>
  <c r="BO96" i="105"/>
  <c r="BO26" i="105"/>
  <c r="BO30" i="105"/>
  <c r="BO33" i="105"/>
  <c r="BO35" i="105"/>
  <c r="BO51" i="105"/>
  <c r="BO47" i="105"/>
  <c r="BO70" i="105"/>
  <c r="BO57" i="105"/>
  <c r="BO77" i="105"/>
  <c r="BO93" i="105"/>
  <c r="BP90" i="105"/>
  <c r="BP73" i="105"/>
  <c r="BP66" i="105"/>
  <c r="BP63" i="105"/>
  <c r="BP67" i="105"/>
  <c r="BP64" i="105"/>
  <c r="BP77" i="105"/>
  <c r="BP53" i="105"/>
  <c r="BP41" i="105"/>
  <c r="BP45" i="105"/>
  <c r="BP38" i="105"/>
  <c r="BP33" i="105"/>
  <c r="BP49" i="105"/>
  <c r="BP22" i="105"/>
  <c r="BP37" i="105"/>
  <c r="BP36" i="105"/>
  <c r="BP14" i="105"/>
  <c r="BP11" i="105"/>
  <c r="BP39" i="105"/>
  <c r="BP12" i="105"/>
  <c r="BP24" i="105"/>
  <c r="BP15" i="105"/>
  <c r="BQ7" i="105"/>
  <c r="BP8" i="105"/>
  <c r="BP96" i="105" s="1"/>
  <c r="BP17" i="105"/>
  <c r="BO17" i="105"/>
  <c r="BO13" i="105"/>
  <c r="BO49" i="105"/>
  <c r="BO48" i="105"/>
  <c r="BO44" i="105"/>
  <c r="BO58" i="105"/>
  <c r="BO66" i="105"/>
  <c r="BO85" i="105"/>
  <c r="BO90" i="105"/>
  <c r="BO34" i="105"/>
  <c r="BO83" i="105"/>
  <c r="BO15" i="105"/>
  <c r="BO40" i="105"/>
  <c r="BO22" i="105"/>
  <c r="BO29" i="105"/>
  <c r="BO55" i="105"/>
  <c r="BO60" i="105"/>
  <c r="BO67" i="105"/>
  <c r="BO71" i="105"/>
  <c r="BO79" i="105"/>
  <c r="BO86" i="105"/>
  <c r="BO88" i="105"/>
  <c r="BO14" i="105"/>
  <c r="BO11" i="105"/>
  <c r="BO45" i="105"/>
  <c r="BO68" i="105"/>
  <c r="BO41" i="105"/>
  <c r="BO64" i="105"/>
  <c r="BO81" i="105"/>
  <c r="BO62" i="105"/>
  <c r="BO94" i="105"/>
  <c r="BO95" i="105"/>
  <c r="BO19" i="105"/>
  <c r="BO59" i="105"/>
  <c r="BO50" i="105"/>
  <c r="BO91" i="105"/>
  <c r="BO63" i="105"/>
  <c r="BO78" i="105"/>
  <c r="BO75" i="105"/>
  <c r="BO92" i="105"/>
  <c r="BO31" i="105"/>
  <c r="BO53" i="105"/>
  <c r="BO52" i="105"/>
  <c r="BO73" i="105"/>
  <c r="BO74" i="105"/>
  <c r="BO84" i="105"/>
  <c r="BO93" i="103"/>
  <c r="BO48" i="103"/>
  <c r="BO60" i="103"/>
  <c r="BO55" i="103"/>
  <c r="BO71" i="103"/>
  <c r="BO85" i="103"/>
  <c r="BO86" i="103"/>
  <c r="BP92" i="103"/>
  <c r="BP94" i="103"/>
  <c r="BP75" i="103"/>
  <c r="BP78" i="103"/>
  <c r="BP89" i="103"/>
  <c r="BP45" i="103"/>
  <c r="BP44" i="103"/>
  <c r="BP39" i="103"/>
  <c r="BP24" i="103"/>
  <c r="BP15" i="103"/>
  <c r="BP8" i="103"/>
  <c r="BP95" i="103" s="1"/>
  <c r="BQ7" i="103"/>
  <c r="BP14" i="103"/>
  <c r="BO27" i="103"/>
  <c r="BO12" i="103"/>
  <c r="BO46" i="103"/>
  <c r="BO30" i="103"/>
  <c r="BO53" i="103"/>
  <c r="BO64" i="103"/>
  <c r="BO79" i="103"/>
  <c r="BO75" i="103"/>
  <c r="BO82" i="103"/>
  <c r="BO95" i="103"/>
  <c r="BO24" i="103"/>
  <c r="BO23" i="103"/>
  <c r="BO38" i="103"/>
  <c r="BO41" i="103"/>
  <c r="BO72" i="103"/>
  <c r="BO70" i="103"/>
  <c r="BO59" i="103"/>
  <c r="BO94" i="103"/>
  <c r="BO92" i="103"/>
  <c r="BO11" i="103"/>
  <c r="BO19" i="103"/>
  <c r="BO16" i="103"/>
  <c r="BO31" i="103"/>
  <c r="BO40" i="103"/>
  <c r="BO50" i="103"/>
  <c r="BO58" i="103"/>
  <c r="BO73" i="103"/>
  <c r="BO68" i="103"/>
  <c r="BO91" i="103"/>
  <c r="BN66" i="101"/>
  <c r="BN47" i="101"/>
  <c r="BN58" i="101"/>
  <c r="BN77" i="101"/>
  <c r="BN93" i="101"/>
  <c r="BN37" i="101"/>
  <c r="BN28" i="101"/>
  <c r="BN36" i="101"/>
  <c r="BN70" i="101"/>
  <c r="BN67" i="101"/>
  <c r="BN88" i="101"/>
  <c r="BN90" i="101"/>
  <c r="BN72" i="101"/>
  <c r="BN73" i="101"/>
  <c r="BN83" i="101"/>
  <c r="BN86" i="101"/>
  <c r="BN29" i="101"/>
  <c r="BN14" i="101"/>
  <c r="BN57" i="101"/>
  <c r="BN52" i="101"/>
  <c r="BN46" i="101"/>
  <c r="BN41" i="101"/>
  <c r="BN68" i="101"/>
  <c r="BN84" i="101"/>
  <c r="BN85" i="101"/>
  <c r="BN92" i="101"/>
  <c r="BN25" i="101"/>
  <c r="BN27" i="101"/>
  <c r="BN69" i="101"/>
  <c r="BN62" i="101"/>
  <c r="BN50" i="101"/>
  <c r="BN56" i="101"/>
  <c r="BN78" i="101"/>
  <c r="BN96" i="101"/>
  <c r="BO86" i="101"/>
  <c r="BO80" i="101"/>
  <c r="BO52" i="101"/>
  <c r="BO81" i="101"/>
  <c r="BO73" i="101"/>
  <c r="BO67" i="101"/>
  <c r="BO69" i="101"/>
  <c r="BO18" i="101"/>
  <c r="BO23" i="101"/>
  <c r="BO17" i="101"/>
  <c r="BO8" i="101"/>
  <c r="BO93" i="101" s="1"/>
  <c r="BO13" i="101"/>
  <c r="BO36" i="101"/>
  <c r="BP7" i="101"/>
  <c r="BN12" i="99"/>
  <c r="BN36" i="99"/>
  <c r="BN24" i="99"/>
  <c r="BN70" i="99"/>
  <c r="BN83" i="99"/>
  <c r="BN91" i="99"/>
  <c r="BN85" i="99"/>
  <c r="BN72" i="99"/>
  <c r="BN86" i="99"/>
  <c r="BN16" i="99"/>
  <c r="BN19" i="99"/>
  <c r="BN38" i="99"/>
  <c r="BN63" i="99"/>
  <c r="BN42" i="99"/>
  <c r="BN45" i="99"/>
  <c r="BN56" i="99"/>
  <c r="BN64" i="99"/>
  <c r="BN81" i="99"/>
  <c r="BN95" i="99"/>
  <c r="BN28" i="99"/>
  <c r="BN17" i="99"/>
  <c r="BN40" i="99"/>
  <c r="BN20" i="99"/>
  <c r="BN50" i="99"/>
  <c r="BN74" i="99"/>
  <c r="BN80" i="99"/>
  <c r="BN73" i="99"/>
  <c r="BN69" i="99"/>
  <c r="BN92" i="99"/>
  <c r="BN22" i="99"/>
  <c r="BN27" i="99"/>
  <c r="BN47" i="99"/>
  <c r="BN30" i="99"/>
  <c r="BN33" i="99"/>
  <c r="BN66" i="99"/>
  <c r="BN57" i="99"/>
  <c r="BN49" i="99"/>
  <c r="BN79" i="99"/>
  <c r="BN88" i="99"/>
  <c r="BN97" i="99"/>
  <c r="BN26" i="99"/>
  <c r="BN31" i="99"/>
  <c r="BO95" i="99"/>
  <c r="BO86" i="99"/>
  <c r="BO90" i="99"/>
  <c r="BO81" i="99"/>
  <c r="BO72" i="99"/>
  <c r="BO84" i="99"/>
  <c r="BO82" i="99"/>
  <c r="BO73" i="99"/>
  <c r="BO85" i="99"/>
  <c r="BO77" i="99"/>
  <c r="BO52" i="99"/>
  <c r="BO78" i="99"/>
  <c r="BO64" i="99"/>
  <c r="BO56" i="99"/>
  <c r="BO83" i="99"/>
  <c r="BO57" i="99"/>
  <c r="BO74" i="99"/>
  <c r="BO45" i="99"/>
  <c r="BO36" i="99"/>
  <c r="BO39" i="99"/>
  <c r="BO58" i="99"/>
  <c r="BO42" i="99"/>
  <c r="BO34" i="99"/>
  <c r="BO53" i="99"/>
  <c r="BO44" i="99"/>
  <c r="BO24" i="99"/>
  <c r="BO27" i="99"/>
  <c r="BO60" i="99"/>
  <c r="BO25" i="99"/>
  <c r="BO28" i="99"/>
  <c r="BO31" i="99"/>
  <c r="BO46" i="99"/>
  <c r="BO29" i="99"/>
  <c r="BO23" i="99"/>
  <c r="BO8" i="99"/>
  <c r="BO93" i="99" s="1"/>
  <c r="BO19" i="99"/>
  <c r="BO12" i="99"/>
  <c r="BO41" i="99"/>
  <c r="BO15" i="99"/>
  <c r="BO18" i="99"/>
  <c r="BO26" i="99"/>
  <c r="BO22" i="99"/>
  <c r="BO16" i="99"/>
  <c r="BO30" i="99"/>
  <c r="BO20" i="99"/>
  <c r="BP7" i="99"/>
  <c r="BO13" i="99"/>
  <c r="BN37" i="99"/>
  <c r="BN44" i="99"/>
  <c r="BN39" i="99"/>
  <c r="BN53" i="99"/>
  <c r="BN58" i="99"/>
  <c r="BN67" i="99"/>
  <c r="BN96" i="99"/>
  <c r="BN94" i="99"/>
  <c r="BN18" i="99"/>
  <c r="BN34" i="99"/>
  <c r="BN14" i="99"/>
  <c r="BN46" i="99"/>
  <c r="BN51" i="99"/>
  <c r="BN48" i="99"/>
  <c r="BN62" i="99"/>
  <c r="BN68" i="99"/>
  <c r="BN75" i="99"/>
  <c r="BN16" i="97"/>
  <c r="BN39" i="97"/>
  <c r="BN35" i="97"/>
  <c r="BN20" i="97"/>
  <c r="BN44" i="97"/>
  <c r="BN46" i="97"/>
  <c r="BN68" i="97"/>
  <c r="BN66" i="97"/>
  <c r="BN84" i="97"/>
  <c r="BN86" i="97"/>
  <c r="BN58" i="97"/>
  <c r="BN90" i="97"/>
  <c r="BO92" i="97"/>
  <c r="BO95" i="97"/>
  <c r="BO86" i="97"/>
  <c r="BO96" i="97"/>
  <c r="BO94" i="97"/>
  <c r="BO81" i="97"/>
  <c r="BO72" i="97"/>
  <c r="BO70" i="97"/>
  <c r="BO64" i="97"/>
  <c r="BO66" i="97"/>
  <c r="BO55" i="97"/>
  <c r="BO58" i="97"/>
  <c r="BO67" i="97"/>
  <c r="BO61" i="97"/>
  <c r="BO78" i="97"/>
  <c r="BO57" i="97"/>
  <c r="BO41" i="97"/>
  <c r="BO62" i="97"/>
  <c r="BO45" i="97"/>
  <c r="BO51" i="97"/>
  <c r="BO35" i="97"/>
  <c r="BO60" i="97"/>
  <c r="BO47" i="97"/>
  <c r="BO33" i="97"/>
  <c r="BO40" i="97"/>
  <c r="BO24" i="97"/>
  <c r="BO15" i="97"/>
  <c r="BO31" i="97"/>
  <c r="BO13" i="97"/>
  <c r="BO34" i="97"/>
  <c r="BO39" i="97"/>
  <c r="BO74" i="97"/>
  <c r="BO27" i="97"/>
  <c r="BO20" i="97"/>
  <c r="BO36" i="97"/>
  <c r="BO18" i="97"/>
  <c r="BO63" i="97"/>
  <c r="BO30" i="97"/>
  <c r="BO11" i="97"/>
  <c r="BP7" i="97"/>
  <c r="BO38" i="97"/>
  <c r="BO8" i="97"/>
  <c r="BO90" i="97" s="1"/>
  <c r="BN59" i="97"/>
  <c r="BN49" i="97"/>
  <c r="BN27" i="97"/>
  <c r="BN55" i="97"/>
  <c r="BN73" i="97"/>
  <c r="BN80" i="97"/>
  <c r="BN60" i="97"/>
  <c r="BN81" i="97"/>
  <c r="BN95" i="97"/>
  <c r="BN11" i="97"/>
  <c r="BN13" i="97"/>
  <c r="BN24" i="97"/>
  <c r="BN93" i="97"/>
  <c r="BN14" i="97"/>
  <c r="BN12" i="97"/>
  <c r="BN71" i="97"/>
  <c r="BN33" i="97"/>
  <c r="BN19" i="97"/>
  <c r="BN51" i="97"/>
  <c r="BN30" i="97"/>
  <c r="BN38" i="97"/>
  <c r="BN48" i="97"/>
  <c r="BN47" i="97"/>
  <c r="BN74" i="97"/>
  <c r="BN69" i="97"/>
  <c r="BN92" i="97"/>
  <c r="BN18" i="97"/>
  <c r="BN75" i="97"/>
  <c r="BN36" i="97"/>
  <c r="BN28" i="97"/>
  <c r="BN52" i="97"/>
  <c r="BN34" i="97"/>
  <c r="BN61" i="97"/>
  <c r="BN91" i="97"/>
  <c r="BN63" i="97"/>
  <c r="BN82" i="97"/>
  <c r="BN78" i="97"/>
  <c r="BN89" i="97"/>
  <c r="BN64" i="97"/>
  <c r="BN15" i="97"/>
  <c r="BN17" i="97"/>
  <c r="BN23" i="97"/>
  <c r="BN56" i="97"/>
  <c r="BN85" i="97"/>
  <c r="BN62" i="97"/>
  <c r="BN50" i="97"/>
  <c r="BN77" i="97"/>
  <c r="BN70" i="97"/>
  <c r="BN88" i="97"/>
  <c r="BN97" i="97"/>
  <c r="BN72" i="97"/>
  <c r="BN67" i="97"/>
  <c r="BN25" i="97"/>
  <c r="BN42" i="97"/>
  <c r="BN41" i="97"/>
  <c r="BN26" i="97"/>
  <c r="BN22" i="97"/>
  <c r="BN29" i="97"/>
  <c r="BN45" i="97"/>
  <c r="BN37" i="97"/>
  <c r="BN31" i="97"/>
  <c r="BN53" i="97"/>
  <c r="BN83" i="97"/>
  <c r="BN79" i="97"/>
  <c r="BN96" i="97"/>
  <c r="BP20" i="95"/>
  <c r="BP36" i="95"/>
  <c r="BP38" i="95"/>
  <c r="BP96" i="95"/>
  <c r="BP18" i="95"/>
  <c r="BP73" i="95"/>
  <c r="BP45" i="95"/>
  <c r="BP57" i="95"/>
  <c r="BP15" i="95"/>
  <c r="BP30" i="95"/>
  <c r="BP60" i="95"/>
  <c r="BP89" i="95"/>
  <c r="BP59" i="95"/>
  <c r="BP58" i="95"/>
  <c r="BP47" i="95"/>
  <c r="BP69" i="95"/>
  <c r="BP12" i="95"/>
  <c r="BP68" i="95"/>
  <c r="BP81" i="95"/>
  <c r="BP80" i="95"/>
  <c r="BP28" i="95"/>
  <c r="BP50" i="95"/>
  <c r="BP39" i="95"/>
  <c r="BP31" i="95"/>
  <c r="BP77" i="95"/>
  <c r="BP71" i="95"/>
  <c r="BP40" i="95"/>
  <c r="BP51" i="95"/>
  <c r="BP46" i="95"/>
  <c r="BP63" i="95"/>
  <c r="BP83" i="95"/>
  <c r="BP25" i="95"/>
  <c r="BP33" i="95"/>
  <c r="BP34" i="95"/>
  <c r="BP16" i="95"/>
  <c r="BP53" i="95"/>
  <c r="BP78" i="95"/>
  <c r="BP52" i="95"/>
  <c r="BP70" i="95"/>
  <c r="BP85" i="95"/>
  <c r="BP27" i="95"/>
  <c r="BP37" i="95"/>
  <c r="BP17" i="95"/>
  <c r="BP23" i="95"/>
  <c r="BP41" i="95"/>
  <c r="BP82" i="95"/>
  <c r="BP91" i="95"/>
  <c r="BP72" i="95"/>
  <c r="BP88" i="95"/>
  <c r="BP11" i="95"/>
  <c r="BP24" i="95"/>
  <c r="BP19" i="95"/>
  <c r="BP29" i="95"/>
  <c r="BP35" i="95"/>
  <c r="BP61" i="95"/>
  <c r="BP94" i="95"/>
  <c r="BP86" i="95"/>
  <c r="BP92" i="95"/>
  <c r="BP13" i="95"/>
  <c r="BP26" i="95"/>
  <c r="BP22" i="95"/>
  <c r="BP48" i="95"/>
  <c r="BP44" i="95"/>
  <c r="BP64" i="95"/>
  <c r="BP66" i="95"/>
  <c r="BP97" i="95"/>
  <c r="BP93" i="95"/>
  <c r="BQ8" i="95"/>
  <c r="BQ92" i="95" s="1"/>
  <c r="BR7" i="95"/>
  <c r="BP74" i="95"/>
  <c r="BP75" i="95"/>
  <c r="BP84" i="95"/>
  <c r="BP56" i="95"/>
  <c r="BP42" i="95"/>
  <c r="BP49" i="95"/>
  <c r="BP67" i="95"/>
  <c r="BP55" i="95"/>
  <c r="BP62" i="95"/>
  <c r="BP95" i="95"/>
  <c r="BP79" i="95"/>
  <c r="BO12" i="59" l="1"/>
  <c r="BO23" i="59"/>
  <c r="BO31" i="59"/>
  <c r="BO50" i="59"/>
  <c r="BO86" i="59"/>
  <c r="BO14" i="59"/>
  <c r="BO37" i="59"/>
  <c r="BO30" i="59"/>
  <c r="BO70" i="59"/>
  <c r="BO88" i="59"/>
  <c r="BO36" i="59"/>
  <c r="BO28" i="59"/>
  <c r="BO62" i="59"/>
  <c r="BO90" i="59"/>
  <c r="BO41" i="59"/>
  <c r="BO69" i="59"/>
  <c r="BO40" i="59"/>
  <c r="BO78" i="59"/>
  <c r="BO16" i="59"/>
  <c r="BO27" i="59"/>
  <c r="BO35" i="59"/>
  <c r="BO75" i="59"/>
  <c r="BO34" i="59"/>
  <c r="BO57" i="59"/>
  <c r="BO80" i="59"/>
  <c r="BP92" i="59"/>
  <c r="BP88" i="59"/>
  <c r="BP97" i="59"/>
  <c r="BP70" i="59"/>
  <c r="BP67" i="59"/>
  <c r="BP58" i="59"/>
  <c r="BP72" i="59"/>
  <c r="BP57" i="59"/>
  <c r="BP38" i="59"/>
  <c r="BP29" i="59"/>
  <c r="BP47" i="59"/>
  <c r="BP48" i="59"/>
  <c r="BP22" i="59"/>
  <c r="BP37" i="59"/>
  <c r="BP8" i="59"/>
  <c r="BP90" i="59" s="1"/>
  <c r="BQ7" i="59"/>
  <c r="BP66" i="59"/>
  <c r="BP17" i="59"/>
  <c r="BP14" i="59"/>
  <c r="BP34" i="59"/>
  <c r="BP16" i="59"/>
  <c r="BP20" i="59"/>
  <c r="BP51" i="59"/>
  <c r="BO25" i="59"/>
  <c r="BO18" i="59"/>
  <c r="BO33" i="59"/>
  <c r="BO42" i="59"/>
  <c r="BO55" i="59"/>
  <c r="BO66" i="59"/>
  <c r="BO74" i="59"/>
  <c r="BO77" i="59"/>
  <c r="BO93" i="59"/>
  <c r="BO53" i="59"/>
  <c r="BO44" i="59"/>
  <c r="BO60" i="59"/>
  <c r="BO48" i="59"/>
  <c r="BO71" i="59"/>
  <c r="BO85" i="59"/>
  <c r="BO83" i="59"/>
  <c r="BO95" i="59"/>
  <c r="BO24" i="59"/>
  <c r="BO45" i="59"/>
  <c r="BO63" i="59"/>
  <c r="BO67" i="59"/>
  <c r="BO81" i="59"/>
  <c r="BO59" i="59"/>
  <c r="BO82" i="59"/>
  <c r="BO92" i="59"/>
  <c r="BO51" i="59"/>
  <c r="BO11" i="59"/>
  <c r="BO22" i="59"/>
  <c r="BO39" i="59"/>
  <c r="BO29" i="59"/>
  <c r="BO73" i="59"/>
  <c r="BO58" i="59"/>
  <c r="BO56" i="59"/>
  <c r="BO68" i="59"/>
  <c r="BO94" i="59"/>
  <c r="BO89" i="59"/>
  <c r="BO15" i="59"/>
  <c r="BO13" i="59"/>
  <c r="BO19" i="59"/>
  <c r="BO20" i="59"/>
  <c r="BO38" i="59"/>
  <c r="BO49" i="59"/>
  <c r="BO61" i="59"/>
  <c r="BO52" i="59"/>
  <c r="BO79" i="59"/>
  <c r="BO91" i="59"/>
  <c r="BO97" i="59"/>
  <c r="BO46" i="59"/>
  <c r="BO64" i="59"/>
  <c r="BO72" i="59"/>
  <c r="BO84" i="59"/>
  <c r="BO79" i="113"/>
  <c r="BO85" i="113"/>
  <c r="BO89" i="113"/>
  <c r="BO24" i="113"/>
  <c r="BO33" i="113"/>
  <c r="BO19" i="113"/>
  <c r="BO60" i="113"/>
  <c r="BO36" i="113"/>
  <c r="BO73" i="113"/>
  <c r="BO59" i="113"/>
  <c r="BO84" i="113"/>
  <c r="BO88" i="113"/>
  <c r="BO97" i="113"/>
  <c r="BP86" i="113"/>
  <c r="BP90" i="113"/>
  <c r="BP96" i="113"/>
  <c r="BP91" i="113"/>
  <c r="BP83" i="113"/>
  <c r="BP74" i="113"/>
  <c r="BP97" i="113"/>
  <c r="BP89" i="113"/>
  <c r="BP75" i="113"/>
  <c r="BP70" i="113"/>
  <c r="BP85" i="113"/>
  <c r="BP71" i="113"/>
  <c r="BP69" i="113"/>
  <c r="BP53" i="113"/>
  <c r="BP73" i="113"/>
  <c r="BP58" i="113"/>
  <c r="BP64" i="113"/>
  <c r="BP63" i="113"/>
  <c r="BP55" i="113"/>
  <c r="BP45" i="113"/>
  <c r="BP30" i="113"/>
  <c r="BP56" i="113"/>
  <c r="BP42" i="113"/>
  <c r="BP60" i="113"/>
  <c r="BP49" i="113"/>
  <c r="BP40" i="113"/>
  <c r="BP47" i="113"/>
  <c r="BP35" i="113"/>
  <c r="BP20" i="113"/>
  <c r="BP37" i="113"/>
  <c r="BP33" i="113"/>
  <c r="BP22" i="113"/>
  <c r="BP18" i="113"/>
  <c r="BP17" i="113"/>
  <c r="BP29" i="113"/>
  <c r="BP36" i="113"/>
  <c r="BP12" i="113"/>
  <c r="BP15" i="113"/>
  <c r="BP34" i="113"/>
  <c r="BQ7" i="113"/>
  <c r="BP13" i="113"/>
  <c r="BP8" i="113"/>
  <c r="BP93" i="113" s="1"/>
  <c r="BO74" i="113"/>
  <c r="BO93" i="113"/>
  <c r="BO50" i="113"/>
  <c r="BO69" i="113"/>
  <c r="BO58" i="113"/>
  <c r="BO83" i="113"/>
  <c r="BO90" i="113"/>
  <c r="BO15" i="113"/>
  <c r="BO23" i="113"/>
  <c r="BO31" i="113"/>
  <c r="BO28" i="113"/>
  <c r="BO39" i="113"/>
  <c r="BO55" i="113"/>
  <c r="BO57" i="113"/>
  <c r="BO67" i="113"/>
  <c r="BO80" i="113"/>
  <c r="BO86" i="113"/>
  <c r="BO17" i="113"/>
  <c r="BO38" i="113"/>
  <c r="BO35" i="113"/>
  <c r="BO37" i="113"/>
  <c r="BO48" i="113"/>
  <c r="BO63" i="113"/>
  <c r="BO64" i="113"/>
  <c r="BO91" i="113"/>
  <c r="BO94" i="113"/>
  <c r="BP11" i="111"/>
  <c r="BP28" i="111"/>
  <c r="BP45" i="111"/>
  <c r="BP40" i="111"/>
  <c r="BP73" i="111"/>
  <c r="BP93" i="111"/>
  <c r="BP57" i="111"/>
  <c r="BP88" i="111"/>
  <c r="BP59" i="111"/>
  <c r="BP30" i="111"/>
  <c r="BP47" i="111"/>
  <c r="BP51" i="111"/>
  <c r="BP35" i="111"/>
  <c r="BP71" i="111"/>
  <c r="BP80" i="111"/>
  <c r="BP64" i="111"/>
  <c r="BP77" i="111"/>
  <c r="BP86" i="111"/>
  <c r="BP24" i="111"/>
  <c r="BP15" i="111"/>
  <c r="BQ90" i="111"/>
  <c r="BQ93" i="111"/>
  <c r="BQ71" i="111"/>
  <c r="BQ97" i="111"/>
  <c r="BQ62" i="111"/>
  <c r="BQ59" i="111"/>
  <c r="BQ61" i="111"/>
  <c r="BQ55" i="111"/>
  <c r="BQ48" i="111"/>
  <c r="BQ47" i="111"/>
  <c r="BQ44" i="111"/>
  <c r="BQ40" i="111"/>
  <c r="BQ31" i="111"/>
  <c r="BQ23" i="111"/>
  <c r="BQ88" i="111"/>
  <c r="BQ25" i="111"/>
  <c r="BQ14" i="111"/>
  <c r="BR7" i="111"/>
  <c r="BQ82" i="111"/>
  <c r="BQ12" i="111"/>
  <c r="BQ58" i="111"/>
  <c r="BQ17" i="111"/>
  <c r="BQ15" i="111"/>
  <c r="BQ18" i="111"/>
  <c r="BQ20" i="111"/>
  <c r="BQ11" i="111"/>
  <c r="BQ19" i="111"/>
  <c r="BQ29" i="111"/>
  <c r="BQ28" i="111"/>
  <c r="BQ13" i="111"/>
  <c r="BQ27" i="111"/>
  <c r="BQ46" i="111"/>
  <c r="BQ34" i="111"/>
  <c r="BQ8" i="111"/>
  <c r="BQ96" i="111" s="1"/>
  <c r="BP55" i="111"/>
  <c r="BP78" i="111"/>
  <c r="BP52" i="111"/>
  <c r="BP79" i="111"/>
  <c r="BP62" i="111"/>
  <c r="BP69" i="111"/>
  <c r="BP85" i="111"/>
  <c r="BP95" i="111"/>
  <c r="BP12" i="111"/>
  <c r="BP13" i="111"/>
  <c r="BP25" i="111"/>
  <c r="BP31" i="111"/>
  <c r="BP41" i="111"/>
  <c r="BP72" i="111"/>
  <c r="BP74" i="111"/>
  <c r="BP94" i="111"/>
  <c r="BP39" i="111"/>
  <c r="BP89" i="111"/>
  <c r="BP22" i="111"/>
  <c r="BP16" i="111"/>
  <c r="BP17" i="111"/>
  <c r="BP19" i="111"/>
  <c r="BP42" i="111"/>
  <c r="BP37" i="111"/>
  <c r="BP84" i="111"/>
  <c r="BP70" i="111"/>
  <c r="BP48" i="111"/>
  <c r="BP97" i="109"/>
  <c r="BP79" i="109"/>
  <c r="BP66" i="109"/>
  <c r="BP64" i="109"/>
  <c r="BP63" i="109"/>
  <c r="BP52" i="109"/>
  <c r="BP33" i="109"/>
  <c r="BP29" i="109"/>
  <c r="BP24" i="109"/>
  <c r="BP35" i="109"/>
  <c r="BP44" i="109"/>
  <c r="BQ7" i="109"/>
  <c r="BP8" i="109"/>
  <c r="BP92" i="109" s="1"/>
  <c r="BP23" i="109"/>
  <c r="BP77" i="109"/>
  <c r="BO49" i="109"/>
  <c r="BO41" i="109"/>
  <c r="BO78" i="109"/>
  <c r="BO61" i="109"/>
  <c r="BO82" i="109"/>
  <c r="BO93" i="109"/>
  <c r="BO58" i="109"/>
  <c r="BO64" i="109"/>
  <c r="BO91" i="109"/>
  <c r="BO90" i="109"/>
  <c r="BO17" i="109"/>
  <c r="BO20" i="109"/>
  <c r="BO50" i="109"/>
  <c r="BO31" i="109"/>
  <c r="BO18" i="109"/>
  <c r="BO51" i="109"/>
  <c r="BO59" i="109"/>
  <c r="BO68" i="109"/>
  <c r="BO85" i="109"/>
  <c r="BO86" i="109"/>
  <c r="BO55" i="109"/>
  <c r="BO16" i="109"/>
  <c r="BO27" i="109"/>
  <c r="BO77" i="109"/>
  <c r="BO81" i="109"/>
  <c r="BO71" i="109"/>
  <c r="BO88" i="109"/>
  <c r="BO95" i="109"/>
  <c r="BO19" i="109"/>
  <c r="BO14" i="109"/>
  <c r="BO75" i="109"/>
  <c r="BO25" i="109"/>
  <c r="BO36" i="109"/>
  <c r="BO45" i="109"/>
  <c r="BO57" i="109"/>
  <c r="BO73" i="109"/>
  <c r="BO83" i="109"/>
  <c r="BO92" i="109"/>
  <c r="BO30" i="109"/>
  <c r="BO35" i="109"/>
  <c r="BO11" i="109"/>
  <c r="BO60" i="109"/>
  <c r="BO34" i="109"/>
  <c r="BO15" i="109"/>
  <c r="BO52" i="109"/>
  <c r="BO70" i="109"/>
  <c r="BO79" i="109"/>
  <c r="BO96" i="109"/>
  <c r="BP25" i="107"/>
  <c r="BP24" i="107"/>
  <c r="BP55" i="107"/>
  <c r="BP56" i="107"/>
  <c r="BP34" i="107"/>
  <c r="BP78" i="107"/>
  <c r="BP83" i="107"/>
  <c r="BP90" i="107"/>
  <c r="BP38" i="107"/>
  <c r="BP26" i="107"/>
  <c r="BP22" i="107"/>
  <c r="BP52" i="107"/>
  <c r="BP68" i="107"/>
  <c r="BP37" i="107"/>
  <c r="BP57" i="107"/>
  <c r="BP81" i="107"/>
  <c r="BP94" i="107"/>
  <c r="BP92" i="107"/>
  <c r="BP91" i="107"/>
  <c r="BQ86" i="107"/>
  <c r="BQ90" i="107"/>
  <c r="BQ93" i="107"/>
  <c r="BQ96" i="107"/>
  <c r="BQ88" i="107"/>
  <c r="BQ97" i="107"/>
  <c r="BQ89" i="107"/>
  <c r="BQ85" i="107"/>
  <c r="BQ77" i="107"/>
  <c r="BQ78" i="107"/>
  <c r="BQ79" i="107"/>
  <c r="BQ67" i="107"/>
  <c r="BQ73" i="107"/>
  <c r="BQ84" i="107"/>
  <c r="BQ71" i="107"/>
  <c r="BQ92" i="107"/>
  <c r="BQ82" i="107"/>
  <c r="BQ64" i="107"/>
  <c r="BQ61" i="107"/>
  <c r="BQ74" i="107"/>
  <c r="BQ70" i="107"/>
  <c r="BQ69" i="107"/>
  <c r="BQ51" i="107"/>
  <c r="BQ75" i="107"/>
  <c r="BQ59" i="107"/>
  <c r="BQ46" i="107"/>
  <c r="BQ28" i="107"/>
  <c r="BQ83" i="107"/>
  <c r="BQ72" i="107"/>
  <c r="BQ56" i="107"/>
  <c r="BQ49" i="107"/>
  <c r="BQ40" i="107"/>
  <c r="BQ31" i="107"/>
  <c r="BQ66" i="107"/>
  <c r="BQ62" i="107"/>
  <c r="BQ68" i="107"/>
  <c r="BQ45" i="107"/>
  <c r="BQ60" i="107"/>
  <c r="BQ55" i="107"/>
  <c r="BQ50" i="107"/>
  <c r="BQ52" i="107"/>
  <c r="BQ38" i="107"/>
  <c r="BQ34" i="107"/>
  <c r="BQ58" i="107"/>
  <c r="BQ44" i="107"/>
  <c r="BQ39" i="107"/>
  <c r="BQ63" i="107"/>
  <c r="BQ18" i="107"/>
  <c r="BQ27" i="107"/>
  <c r="BQ22" i="107"/>
  <c r="BQ47" i="107"/>
  <c r="BQ35" i="107"/>
  <c r="BQ25" i="107"/>
  <c r="BQ16" i="107"/>
  <c r="BQ19" i="107"/>
  <c r="BQ26" i="107"/>
  <c r="BQ17" i="107"/>
  <c r="BQ53" i="107"/>
  <c r="BQ30" i="107"/>
  <c r="BQ11" i="107"/>
  <c r="BQ33" i="107"/>
  <c r="BQ14" i="107"/>
  <c r="BR7" i="107"/>
  <c r="BQ15" i="107"/>
  <c r="BQ29" i="107"/>
  <c r="BQ13" i="107"/>
  <c r="BQ36" i="107"/>
  <c r="BQ24" i="107"/>
  <c r="BQ8" i="107"/>
  <c r="BQ91" i="107" s="1"/>
  <c r="BQ23" i="107"/>
  <c r="BQ12" i="107"/>
  <c r="BP44" i="107"/>
  <c r="BP23" i="107"/>
  <c r="BP18" i="107"/>
  <c r="BP73" i="107"/>
  <c r="BP77" i="107"/>
  <c r="BP51" i="107"/>
  <c r="BP64" i="107"/>
  <c r="BP75" i="107"/>
  <c r="BP74" i="105"/>
  <c r="BP58" i="105"/>
  <c r="BP57" i="105"/>
  <c r="BP85" i="105"/>
  <c r="BP93" i="105"/>
  <c r="BP55" i="105"/>
  <c r="BP19" i="105"/>
  <c r="BP13" i="105"/>
  <c r="BP34" i="105"/>
  <c r="BP50" i="105"/>
  <c r="BP59" i="105"/>
  <c r="BP81" i="105"/>
  <c r="BP71" i="105"/>
  <c r="BP82" i="105"/>
  <c r="BP86" i="105"/>
  <c r="BP78" i="105"/>
  <c r="BP79" i="105"/>
  <c r="BP95" i="105"/>
  <c r="BP20" i="105"/>
  <c r="BP48" i="105"/>
  <c r="BP28" i="105"/>
  <c r="BP42" i="105"/>
  <c r="BP47" i="105"/>
  <c r="BP62" i="105"/>
  <c r="BP84" i="105"/>
  <c r="BP89" i="105"/>
  <c r="BP94" i="105"/>
  <c r="BP92" i="105"/>
  <c r="BP18" i="105"/>
  <c r="BP30" i="105"/>
  <c r="BP16" i="105"/>
  <c r="BP40" i="105"/>
  <c r="BP26" i="105"/>
  <c r="BP52" i="105"/>
  <c r="BP75" i="105"/>
  <c r="BP60" i="105"/>
  <c r="BP83" i="105"/>
  <c r="BP91" i="105"/>
  <c r="BQ95" i="105"/>
  <c r="BQ90" i="105"/>
  <c r="BQ93" i="105"/>
  <c r="BQ82" i="105"/>
  <c r="BQ85" i="105"/>
  <c r="BQ77" i="105"/>
  <c r="BQ81" i="105"/>
  <c r="BQ69" i="105"/>
  <c r="BQ60" i="105"/>
  <c r="BQ92" i="105"/>
  <c r="BQ67" i="105"/>
  <c r="BQ70" i="105"/>
  <c r="BQ75" i="105"/>
  <c r="BQ59" i="105"/>
  <c r="BQ71" i="105"/>
  <c r="BQ45" i="105"/>
  <c r="BQ48" i="105"/>
  <c r="BQ39" i="105"/>
  <c r="BQ57" i="105"/>
  <c r="BQ47" i="105"/>
  <c r="BQ27" i="105"/>
  <c r="BQ16" i="105"/>
  <c r="BQ28" i="105"/>
  <c r="BQ19" i="105"/>
  <c r="BQ23" i="105"/>
  <c r="BR7" i="105"/>
  <c r="BQ51" i="105"/>
  <c r="BQ42" i="105"/>
  <c r="BQ18" i="105"/>
  <c r="BQ44" i="105"/>
  <c r="BQ13" i="105"/>
  <c r="BQ49" i="105"/>
  <c r="BQ20" i="105"/>
  <c r="BQ8" i="105"/>
  <c r="BQ96" i="105" s="1"/>
  <c r="BP23" i="105"/>
  <c r="BP25" i="105"/>
  <c r="BP35" i="105"/>
  <c r="BP46" i="105"/>
  <c r="BP56" i="105"/>
  <c r="BP61" i="105"/>
  <c r="BP69" i="105"/>
  <c r="BP80" i="105"/>
  <c r="BP88" i="105"/>
  <c r="BP27" i="105"/>
  <c r="BP29" i="105"/>
  <c r="BP31" i="105"/>
  <c r="BP44" i="105"/>
  <c r="BP51" i="105"/>
  <c r="BP68" i="105"/>
  <c r="BP70" i="105"/>
  <c r="BP72" i="105"/>
  <c r="BP97" i="105"/>
  <c r="BQ82" i="103"/>
  <c r="BQ8" i="103"/>
  <c r="BQ95" i="103" s="1"/>
  <c r="BR7" i="103"/>
  <c r="BQ14" i="103"/>
  <c r="BP11" i="103"/>
  <c r="BP31" i="103"/>
  <c r="BP34" i="103"/>
  <c r="BP25" i="103"/>
  <c r="BP49" i="103"/>
  <c r="BP53" i="103"/>
  <c r="BP58" i="103"/>
  <c r="BP63" i="103"/>
  <c r="BP84" i="103"/>
  <c r="BP91" i="103"/>
  <c r="BP29" i="103"/>
  <c r="BP22" i="103"/>
  <c r="BP37" i="103"/>
  <c r="BP35" i="103"/>
  <c r="BP55" i="103"/>
  <c r="BP59" i="103"/>
  <c r="BP61" i="103"/>
  <c r="BP72" i="103"/>
  <c r="BP81" i="103"/>
  <c r="BP88" i="103"/>
  <c r="BP18" i="103"/>
  <c r="BP12" i="103"/>
  <c r="BP17" i="103"/>
  <c r="BP42" i="103"/>
  <c r="BP33" i="103"/>
  <c r="BP50" i="103"/>
  <c r="BP67" i="103"/>
  <c r="BP69" i="103"/>
  <c r="BP83" i="103"/>
  <c r="BP96" i="103"/>
  <c r="BP13" i="103"/>
  <c r="BP30" i="103"/>
  <c r="BP26" i="103"/>
  <c r="BP46" i="103"/>
  <c r="BP60" i="103"/>
  <c r="BP68" i="103"/>
  <c r="BP66" i="103"/>
  <c r="BP74" i="103"/>
  <c r="BP80" i="103"/>
  <c r="BP93" i="103"/>
  <c r="BP20" i="103"/>
  <c r="BP16" i="103"/>
  <c r="BP36" i="103"/>
  <c r="BP52" i="103"/>
  <c r="BP51" i="103"/>
  <c r="BP38" i="103"/>
  <c r="BP79" i="103"/>
  <c r="BP82" i="103"/>
  <c r="BP97" i="103"/>
  <c r="BP90" i="103"/>
  <c r="BP27" i="103"/>
  <c r="BP23" i="103"/>
  <c r="BP19" i="103"/>
  <c r="BP56" i="103"/>
  <c r="BP57" i="103"/>
  <c r="BP47" i="103"/>
  <c r="BP73" i="103"/>
  <c r="BP62" i="103"/>
  <c r="BP77" i="103"/>
  <c r="BP86" i="103"/>
  <c r="BP41" i="103"/>
  <c r="BP28" i="103"/>
  <c r="BP40" i="103"/>
  <c r="BP48" i="103"/>
  <c r="BP64" i="103"/>
  <c r="BP70" i="103"/>
  <c r="BP71" i="103"/>
  <c r="BP85" i="103"/>
  <c r="BO16" i="101"/>
  <c r="BO25" i="101"/>
  <c r="BO38" i="101"/>
  <c r="BO37" i="101"/>
  <c r="BO57" i="101"/>
  <c r="BO60" i="101"/>
  <c r="BO78" i="101"/>
  <c r="BO64" i="101"/>
  <c r="BO83" i="101"/>
  <c r="BO90" i="101"/>
  <c r="BO19" i="101"/>
  <c r="BO28" i="101"/>
  <c r="BO24" i="101"/>
  <c r="BO31" i="101"/>
  <c r="BO71" i="101"/>
  <c r="BO45" i="101"/>
  <c r="BO66" i="101"/>
  <c r="BO61" i="101"/>
  <c r="BO77" i="101"/>
  <c r="BO95" i="101"/>
  <c r="BO34" i="101"/>
  <c r="BO44" i="101"/>
  <c r="BO35" i="101"/>
  <c r="BO51" i="101"/>
  <c r="BO63" i="101"/>
  <c r="BO62" i="101"/>
  <c r="BO91" i="101"/>
  <c r="BO85" i="101"/>
  <c r="BO92" i="101"/>
  <c r="BO11" i="101"/>
  <c r="BO15" i="101"/>
  <c r="BO42" i="101"/>
  <c r="BO46" i="101"/>
  <c r="BO47" i="101"/>
  <c r="BO75" i="101"/>
  <c r="BO41" i="101"/>
  <c r="BO70" i="101"/>
  <c r="BO84" i="101"/>
  <c r="BO94" i="101"/>
  <c r="BO89" i="101"/>
  <c r="BP90" i="101"/>
  <c r="BP93" i="101"/>
  <c r="BP96" i="101"/>
  <c r="BP88" i="101"/>
  <c r="BP91" i="101"/>
  <c r="BP80" i="101"/>
  <c r="BP83" i="101"/>
  <c r="BP78" i="101"/>
  <c r="BP81" i="101"/>
  <c r="BP82" i="101"/>
  <c r="BP84" i="101"/>
  <c r="BP85" i="101"/>
  <c r="BP64" i="101"/>
  <c r="BP56" i="101"/>
  <c r="BP68" i="101"/>
  <c r="BP53" i="101"/>
  <c r="BP66" i="101"/>
  <c r="BP57" i="101"/>
  <c r="BP75" i="101"/>
  <c r="BP69" i="101"/>
  <c r="BP60" i="101"/>
  <c r="BP59" i="101"/>
  <c r="BP48" i="101"/>
  <c r="BP39" i="101"/>
  <c r="BP51" i="101"/>
  <c r="BP44" i="101"/>
  <c r="BP58" i="101"/>
  <c r="BP55" i="101"/>
  <c r="BP37" i="101"/>
  <c r="BP26" i="101"/>
  <c r="BP29" i="101"/>
  <c r="BP67" i="101"/>
  <c r="BP61" i="101"/>
  <c r="BP36" i="101"/>
  <c r="BP33" i="101"/>
  <c r="BP50" i="101"/>
  <c r="BP34" i="101"/>
  <c r="BP30" i="101"/>
  <c r="BP47" i="101"/>
  <c r="BP38" i="101"/>
  <c r="BP35" i="101"/>
  <c r="BP22" i="101"/>
  <c r="BP27" i="101"/>
  <c r="BP25" i="101"/>
  <c r="BP28" i="101"/>
  <c r="BP18" i="101"/>
  <c r="BP15" i="101"/>
  <c r="BQ7" i="101"/>
  <c r="BP8" i="101"/>
  <c r="BP92" i="101" s="1"/>
  <c r="BP11" i="101"/>
  <c r="BP19" i="101"/>
  <c r="BP13" i="101"/>
  <c r="BP14" i="101"/>
  <c r="BP23" i="101"/>
  <c r="BP16" i="101"/>
  <c r="BP20" i="101"/>
  <c r="BP17" i="101"/>
  <c r="BP12" i="101"/>
  <c r="BO20" i="101"/>
  <c r="BO27" i="101"/>
  <c r="BO30" i="101"/>
  <c r="BO40" i="101"/>
  <c r="BO39" i="101"/>
  <c r="BO50" i="101"/>
  <c r="BO72" i="101"/>
  <c r="BO79" i="101"/>
  <c r="BO88" i="101"/>
  <c r="BO97" i="101"/>
  <c r="BO14" i="101"/>
  <c r="BO12" i="101"/>
  <c r="BO22" i="101"/>
  <c r="BO29" i="101"/>
  <c r="BO49" i="101"/>
  <c r="BO48" i="101"/>
  <c r="BO55" i="101"/>
  <c r="BO59" i="101"/>
  <c r="BO74" i="101"/>
  <c r="BO96" i="101"/>
  <c r="BO33" i="101"/>
  <c r="BO26" i="101"/>
  <c r="BO53" i="101"/>
  <c r="BO56" i="101"/>
  <c r="BO58" i="101"/>
  <c r="BO68" i="101"/>
  <c r="BO82" i="101"/>
  <c r="BO94" i="99"/>
  <c r="BO92" i="99"/>
  <c r="BO14" i="99"/>
  <c r="BO51" i="99"/>
  <c r="BO33" i="99"/>
  <c r="BO35" i="99"/>
  <c r="BO38" i="99"/>
  <c r="BO48" i="99"/>
  <c r="BO50" i="99"/>
  <c r="BO61" i="99"/>
  <c r="BO70" i="99"/>
  <c r="BO91" i="99"/>
  <c r="BO89" i="99"/>
  <c r="BO40" i="99"/>
  <c r="BO47" i="99"/>
  <c r="BO49" i="99"/>
  <c r="BO59" i="99"/>
  <c r="BO71" i="99"/>
  <c r="BO79" i="99"/>
  <c r="BO88" i="99"/>
  <c r="BO97" i="99"/>
  <c r="BO11" i="99"/>
  <c r="BO62" i="99"/>
  <c r="BO17" i="99"/>
  <c r="BO55" i="99"/>
  <c r="BO37" i="99"/>
  <c r="BO69" i="99"/>
  <c r="BO63" i="99"/>
  <c r="BO80" i="99"/>
  <c r="BO67" i="99"/>
  <c r="BO96" i="99"/>
  <c r="BP92" i="99"/>
  <c r="BP96" i="99"/>
  <c r="BP88" i="99"/>
  <c r="BP91" i="99"/>
  <c r="BP94" i="99"/>
  <c r="BP79" i="99"/>
  <c r="BP70" i="99"/>
  <c r="BP82" i="99"/>
  <c r="BP73" i="99"/>
  <c r="BP80" i="99"/>
  <c r="BP71" i="99"/>
  <c r="BP83" i="99"/>
  <c r="BP74" i="99"/>
  <c r="BP66" i="99"/>
  <c r="BP63" i="99"/>
  <c r="BP59" i="99"/>
  <c r="BP62" i="99"/>
  <c r="BP53" i="99"/>
  <c r="BP81" i="99"/>
  <c r="BP49" i="99"/>
  <c r="BP48" i="99"/>
  <c r="BP39" i="99"/>
  <c r="BP58" i="99"/>
  <c r="BP52" i="99"/>
  <c r="BP46" i="99"/>
  <c r="BP40" i="99"/>
  <c r="BP61" i="99"/>
  <c r="BP41" i="99"/>
  <c r="BP89" i="99"/>
  <c r="BP30" i="99"/>
  <c r="BP22" i="99"/>
  <c r="BP72" i="99"/>
  <c r="BP55" i="99"/>
  <c r="BP35" i="99"/>
  <c r="BP31" i="99"/>
  <c r="BP57" i="99"/>
  <c r="BP51" i="99"/>
  <c r="BP33" i="99"/>
  <c r="BP19" i="99"/>
  <c r="BP15" i="99"/>
  <c r="BP13" i="99"/>
  <c r="BP26" i="99"/>
  <c r="BP24" i="99"/>
  <c r="BP18" i="99"/>
  <c r="BP8" i="99"/>
  <c r="BP95" i="99" s="1"/>
  <c r="BP29" i="99"/>
  <c r="BP23" i="99"/>
  <c r="BP16" i="99"/>
  <c r="BQ7" i="99"/>
  <c r="BP17" i="99"/>
  <c r="BP14" i="99"/>
  <c r="BO66" i="99"/>
  <c r="BO68" i="99"/>
  <c r="BO75" i="99"/>
  <c r="BO23" i="97"/>
  <c r="BO37" i="97"/>
  <c r="BO22" i="97"/>
  <c r="BO48" i="97"/>
  <c r="BO56" i="97"/>
  <c r="BO50" i="97"/>
  <c r="BO77" i="97"/>
  <c r="BO73" i="97"/>
  <c r="BO91" i="97"/>
  <c r="BO89" i="97"/>
  <c r="BO17" i="97"/>
  <c r="BO29" i="97"/>
  <c r="BO25" i="97"/>
  <c r="BO28" i="97"/>
  <c r="BO52" i="97"/>
  <c r="BO69" i="97"/>
  <c r="BO53" i="97"/>
  <c r="BO83" i="97"/>
  <c r="BO82" i="97"/>
  <c r="BO88" i="97"/>
  <c r="BO97" i="97"/>
  <c r="BO19" i="97"/>
  <c r="BO14" i="97"/>
  <c r="BO12" i="97"/>
  <c r="BO46" i="97"/>
  <c r="BO42" i="97"/>
  <c r="BO59" i="97"/>
  <c r="BO68" i="97"/>
  <c r="BO71" i="97"/>
  <c r="BO79" i="97"/>
  <c r="BO93" i="97"/>
  <c r="BP92" i="97"/>
  <c r="BP94" i="97"/>
  <c r="BP64" i="97"/>
  <c r="BP78" i="97"/>
  <c r="BP81" i="97"/>
  <c r="BP55" i="97"/>
  <c r="BP8" i="97"/>
  <c r="BP95" i="97" s="1"/>
  <c r="BP31" i="97"/>
  <c r="BP16" i="97"/>
  <c r="BP33" i="97"/>
  <c r="BP17" i="97"/>
  <c r="BP12" i="97"/>
  <c r="BP15" i="97"/>
  <c r="BP34" i="97"/>
  <c r="BP23" i="97"/>
  <c r="BQ7" i="97"/>
  <c r="BO26" i="97"/>
  <c r="BO16" i="97"/>
  <c r="BO49" i="97"/>
  <c r="BO44" i="97"/>
  <c r="BO85" i="97"/>
  <c r="BO80" i="97"/>
  <c r="BO75" i="97"/>
  <c r="BO84" i="97"/>
  <c r="BQ29" i="95"/>
  <c r="BQ50" i="95"/>
  <c r="BQ55" i="95"/>
  <c r="BQ19" i="95"/>
  <c r="BQ48" i="95"/>
  <c r="BQ52" i="95"/>
  <c r="BQ46" i="95"/>
  <c r="BQ53" i="95"/>
  <c r="BQ80" i="95"/>
  <c r="BQ38" i="95"/>
  <c r="BQ66" i="95"/>
  <c r="BQ81" i="95"/>
  <c r="BQ74" i="95"/>
  <c r="BQ96" i="95"/>
  <c r="BR8" i="95"/>
  <c r="BR97" i="95" s="1"/>
  <c r="BS7" i="95"/>
  <c r="BQ49" i="95"/>
  <c r="BQ78" i="95"/>
  <c r="BQ24" i="95"/>
  <c r="BQ22" i="95"/>
  <c r="BQ58" i="95"/>
  <c r="BQ41" i="95"/>
  <c r="BQ72" i="95"/>
  <c r="BQ51" i="95"/>
  <c r="BQ89" i="95"/>
  <c r="BQ95" i="95"/>
  <c r="BQ90" i="95"/>
  <c r="BQ88" i="95"/>
  <c r="BQ26" i="95"/>
  <c r="BQ28" i="95"/>
  <c r="BQ79" i="95"/>
  <c r="BQ42" i="95"/>
  <c r="BQ73" i="95"/>
  <c r="BQ57" i="95"/>
  <c r="BQ67" i="95"/>
  <c r="BQ56" i="95"/>
  <c r="BQ86" i="95"/>
  <c r="BQ97" i="95"/>
  <c r="BQ23" i="95"/>
  <c r="BQ25" i="95"/>
  <c r="BQ27" i="95"/>
  <c r="BQ12" i="95"/>
  <c r="BQ31" i="95"/>
  <c r="BQ35" i="95"/>
  <c r="BQ39" i="95"/>
  <c r="BQ75" i="95"/>
  <c r="BQ60" i="95"/>
  <c r="BQ59" i="95"/>
  <c r="BQ69" i="95"/>
  <c r="BQ62" i="95"/>
  <c r="BQ93" i="95"/>
  <c r="BQ83" i="95"/>
  <c r="BQ13" i="95"/>
  <c r="BQ17" i="95"/>
  <c r="BQ16" i="95"/>
  <c r="BQ33" i="95"/>
  <c r="BQ36" i="95"/>
  <c r="BQ44" i="95"/>
  <c r="BQ40" i="95"/>
  <c r="BQ37" i="95"/>
  <c r="BQ63" i="95"/>
  <c r="BQ61" i="95"/>
  <c r="BQ70" i="95"/>
  <c r="BQ77" i="95"/>
  <c r="BQ68" i="95"/>
  <c r="BQ94" i="95"/>
  <c r="BQ18" i="95"/>
  <c r="BQ82" i="95"/>
  <c r="BQ11" i="95"/>
  <c r="BQ30" i="95"/>
  <c r="BQ20" i="95"/>
  <c r="BQ14" i="95"/>
  <c r="BQ15" i="95"/>
  <c r="BQ47" i="95"/>
  <c r="BQ34" i="95"/>
  <c r="BQ91" i="95"/>
  <c r="BQ45" i="95"/>
  <c r="BQ71" i="95"/>
  <c r="BQ64" i="95"/>
  <c r="BQ84" i="95"/>
  <c r="BQ85" i="95"/>
  <c r="BP12" i="59" l="1"/>
  <c r="BP28" i="59"/>
  <c r="BP31" i="59"/>
  <c r="BP23" i="59"/>
  <c r="BP39" i="59"/>
  <c r="BP41" i="59"/>
  <c r="BP52" i="59"/>
  <c r="BP84" i="59"/>
  <c r="BP86" i="59"/>
  <c r="BP18" i="59"/>
  <c r="BP64" i="59"/>
  <c r="BP53" i="59"/>
  <c r="BP55" i="59"/>
  <c r="BP79" i="59"/>
  <c r="BP95" i="59"/>
  <c r="BP25" i="59"/>
  <c r="BP19" i="59"/>
  <c r="BP26" i="59"/>
  <c r="BP15" i="59"/>
  <c r="BP36" i="59"/>
  <c r="BP61" i="59"/>
  <c r="BP78" i="59"/>
  <c r="BP11" i="59"/>
  <c r="BP13" i="59"/>
  <c r="BP40" i="59"/>
  <c r="BP24" i="59"/>
  <c r="BP33" i="59"/>
  <c r="BP46" i="59"/>
  <c r="BP80" i="59"/>
  <c r="BP75" i="59"/>
  <c r="BP83" i="59"/>
  <c r="BP96" i="59"/>
  <c r="BP35" i="59"/>
  <c r="BP74" i="59"/>
  <c r="BP44" i="59"/>
  <c r="BP49" i="59"/>
  <c r="BP89" i="59"/>
  <c r="BP60" i="59"/>
  <c r="BP62" i="59"/>
  <c r="BP94" i="59"/>
  <c r="BP45" i="59"/>
  <c r="BP69" i="59"/>
  <c r="BP82" i="59"/>
  <c r="BP63" i="59"/>
  <c r="BP71" i="59"/>
  <c r="BP91" i="59"/>
  <c r="BQ70" i="59"/>
  <c r="BQ49" i="59"/>
  <c r="BQ59" i="59"/>
  <c r="BQ16" i="59"/>
  <c r="BQ34" i="59"/>
  <c r="BQ11" i="59"/>
  <c r="BR7" i="59"/>
  <c r="BQ8" i="59"/>
  <c r="BQ95" i="59" s="1"/>
  <c r="BQ20" i="59"/>
  <c r="BQ12" i="59"/>
  <c r="BP68" i="59"/>
  <c r="BP81" i="59"/>
  <c r="BP73" i="59"/>
  <c r="BP77" i="59"/>
  <c r="BP93" i="59"/>
  <c r="BP30" i="59"/>
  <c r="BP27" i="59"/>
  <c r="BP50" i="59"/>
  <c r="BP42" i="59"/>
  <c r="BP59" i="59"/>
  <c r="BP56" i="59"/>
  <c r="BP85" i="59"/>
  <c r="BP19" i="113"/>
  <c r="BP26" i="113"/>
  <c r="BP27" i="113"/>
  <c r="BP46" i="113"/>
  <c r="BP39" i="113"/>
  <c r="BP59" i="113"/>
  <c r="BP77" i="113"/>
  <c r="BP84" i="113"/>
  <c r="BP80" i="113"/>
  <c r="BP95" i="113"/>
  <c r="BP16" i="113"/>
  <c r="BP28" i="113"/>
  <c r="BP14" i="113"/>
  <c r="BP41" i="113"/>
  <c r="BP52" i="113"/>
  <c r="BP48" i="113"/>
  <c r="BP67" i="113"/>
  <c r="BP62" i="113"/>
  <c r="BP79" i="113"/>
  <c r="BP94" i="113"/>
  <c r="BP92" i="113"/>
  <c r="BQ90" i="113"/>
  <c r="BQ94" i="113"/>
  <c r="BQ78" i="113"/>
  <c r="BQ70" i="113"/>
  <c r="BQ85" i="113"/>
  <c r="BQ66" i="113"/>
  <c r="BQ61" i="113"/>
  <c r="BQ59" i="113"/>
  <c r="BQ48" i="113"/>
  <c r="BQ42" i="113"/>
  <c r="BQ34" i="113"/>
  <c r="BQ68" i="113"/>
  <c r="BQ37" i="113"/>
  <c r="BQ49" i="113"/>
  <c r="BQ44" i="113"/>
  <c r="BQ17" i="113"/>
  <c r="BQ41" i="113"/>
  <c r="BQ36" i="113"/>
  <c r="BQ14" i="113"/>
  <c r="BQ38" i="113"/>
  <c r="BQ47" i="113"/>
  <c r="BQ19" i="113"/>
  <c r="BQ20" i="113"/>
  <c r="BQ11" i="113"/>
  <c r="BR7" i="113"/>
  <c r="BQ22" i="113"/>
  <c r="BQ53" i="113"/>
  <c r="BQ8" i="113"/>
  <c r="BQ93" i="113" s="1"/>
  <c r="BP24" i="113"/>
  <c r="BP25" i="113"/>
  <c r="BP23" i="113"/>
  <c r="BP68" i="113"/>
  <c r="BP50" i="113"/>
  <c r="BP72" i="113"/>
  <c r="BP82" i="113"/>
  <c r="BP81" i="113"/>
  <c r="BP88" i="113"/>
  <c r="BP11" i="113"/>
  <c r="BP44" i="113"/>
  <c r="BP38" i="113"/>
  <c r="BP31" i="113"/>
  <c r="BP51" i="113"/>
  <c r="BP57" i="113"/>
  <c r="BP66" i="113"/>
  <c r="BP61" i="113"/>
  <c r="BP78" i="113"/>
  <c r="BQ68" i="111"/>
  <c r="BQ30" i="111"/>
  <c r="BQ24" i="111"/>
  <c r="BQ35" i="111"/>
  <c r="BQ38" i="111"/>
  <c r="BQ50" i="111"/>
  <c r="BQ78" i="111"/>
  <c r="BQ70" i="111"/>
  <c r="BQ80" i="111"/>
  <c r="BQ86" i="111"/>
  <c r="BQ33" i="111"/>
  <c r="BQ74" i="111"/>
  <c r="BQ41" i="111"/>
  <c r="BQ49" i="111"/>
  <c r="BQ79" i="111"/>
  <c r="BQ42" i="111"/>
  <c r="BQ77" i="111"/>
  <c r="BQ95" i="111"/>
  <c r="BQ36" i="111"/>
  <c r="BQ75" i="111"/>
  <c r="BQ45" i="111"/>
  <c r="BQ52" i="111"/>
  <c r="BQ57" i="111"/>
  <c r="BQ51" i="111"/>
  <c r="BQ85" i="111"/>
  <c r="BQ16" i="111"/>
  <c r="BQ89" i="111"/>
  <c r="BQ22" i="111"/>
  <c r="BQ37" i="111"/>
  <c r="BQ81" i="111"/>
  <c r="BQ63" i="111"/>
  <c r="BQ56" i="111"/>
  <c r="BQ73" i="111"/>
  <c r="BQ60" i="111"/>
  <c r="BQ94" i="111"/>
  <c r="BQ69" i="111"/>
  <c r="BQ64" i="111"/>
  <c r="BQ72" i="111"/>
  <c r="BQ53" i="111"/>
  <c r="BQ84" i="111"/>
  <c r="BQ91" i="111"/>
  <c r="BR90" i="111"/>
  <c r="BR96" i="111"/>
  <c r="BR94" i="111"/>
  <c r="BR97" i="111"/>
  <c r="BR89" i="111"/>
  <c r="BR95" i="111"/>
  <c r="BR83" i="111"/>
  <c r="BR66" i="111"/>
  <c r="BR81" i="111"/>
  <c r="BR77" i="111"/>
  <c r="BR72" i="111"/>
  <c r="BR63" i="111"/>
  <c r="BR46" i="111"/>
  <c r="BR37" i="111"/>
  <c r="BR70" i="111"/>
  <c r="BR59" i="111"/>
  <c r="BR86" i="111"/>
  <c r="BR57" i="111"/>
  <c r="BR79" i="111"/>
  <c r="BR78" i="111"/>
  <c r="BR92" i="111"/>
  <c r="BR51" i="111"/>
  <c r="BR64" i="111"/>
  <c r="BR58" i="111"/>
  <c r="BR35" i="111"/>
  <c r="BR82" i="111"/>
  <c r="BR56" i="111"/>
  <c r="BR45" i="111"/>
  <c r="BR40" i="111"/>
  <c r="BR26" i="111"/>
  <c r="BR50" i="111"/>
  <c r="BR29" i="111"/>
  <c r="BR41" i="111"/>
  <c r="BR27" i="111"/>
  <c r="BR30" i="111"/>
  <c r="BR39" i="111"/>
  <c r="BR49" i="111"/>
  <c r="BR22" i="111"/>
  <c r="BR12" i="111"/>
  <c r="BR15" i="111"/>
  <c r="BR13" i="111"/>
  <c r="BR33" i="111"/>
  <c r="BR42" i="111"/>
  <c r="BR16" i="111"/>
  <c r="BR38" i="111"/>
  <c r="BR8" i="111"/>
  <c r="BR80" i="111" s="1"/>
  <c r="BS7" i="111"/>
  <c r="BR34" i="111"/>
  <c r="BR24" i="111"/>
  <c r="BR23" i="111"/>
  <c r="BR19" i="111"/>
  <c r="BR31" i="111"/>
  <c r="BR28" i="111"/>
  <c r="BR25" i="111"/>
  <c r="BQ26" i="111"/>
  <c r="BQ39" i="111"/>
  <c r="BQ66" i="111"/>
  <c r="BQ83" i="111"/>
  <c r="BQ67" i="111"/>
  <c r="BQ92" i="111"/>
  <c r="BP81" i="109"/>
  <c r="BP37" i="109"/>
  <c r="BP59" i="109"/>
  <c r="BP61" i="109"/>
  <c r="BP57" i="109"/>
  <c r="BP69" i="109"/>
  <c r="BP94" i="109"/>
  <c r="BP16" i="109"/>
  <c r="BP31" i="109"/>
  <c r="BP42" i="109"/>
  <c r="BP53" i="109"/>
  <c r="BP18" i="109"/>
  <c r="BP58" i="109"/>
  <c r="BP70" i="109"/>
  <c r="BP82" i="109"/>
  <c r="BP88" i="109"/>
  <c r="BP14" i="109"/>
  <c r="BP20" i="109"/>
  <c r="BP49" i="109"/>
  <c r="BP41" i="109"/>
  <c r="BP55" i="109"/>
  <c r="BP27" i="109"/>
  <c r="BP68" i="109"/>
  <c r="BP72" i="109"/>
  <c r="BP89" i="109"/>
  <c r="BP96" i="109"/>
  <c r="BP17" i="109"/>
  <c r="BP34" i="109"/>
  <c r="BP25" i="109"/>
  <c r="BP46" i="109"/>
  <c r="BP62" i="109"/>
  <c r="BP36" i="109"/>
  <c r="BP73" i="109"/>
  <c r="BP75" i="109"/>
  <c r="BP91" i="109"/>
  <c r="BP93" i="109"/>
  <c r="BP56" i="109"/>
  <c r="BP11" i="109"/>
  <c r="BP26" i="109"/>
  <c r="BP47" i="109"/>
  <c r="BP22" i="109"/>
  <c r="BP45" i="109"/>
  <c r="BP67" i="109"/>
  <c r="BP84" i="109"/>
  <c r="BP78" i="109"/>
  <c r="BP90" i="109"/>
  <c r="BP38" i="109"/>
  <c r="BP40" i="109"/>
  <c r="BP13" i="109"/>
  <c r="BP50" i="109"/>
  <c r="BP19" i="109"/>
  <c r="BP30" i="109"/>
  <c r="BP48" i="109"/>
  <c r="BP71" i="109"/>
  <c r="BP80" i="109"/>
  <c r="BP86" i="109"/>
  <c r="BP95" i="109"/>
  <c r="BP12" i="109"/>
  <c r="BQ96" i="109"/>
  <c r="BQ91" i="109"/>
  <c r="BQ92" i="109"/>
  <c r="BQ63" i="109"/>
  <c r="BQ75" i="109"/>
  <c r="BQ60" i="109"/>
  <c r="BQ67" i="109"/>
  <c r="BQ84" i="109"/>
  <c r="BQ80" i="109"/>
  <c r="BQ59" i="109"/>
  <c r="BQ68" i="109"/>
  <c r="BQ64" i="109"/>
  <c r="BQ52" i="109"/>
  <c r="BQ66" i="109"/>
  <c r="BQ13" i="109"/>
  <c r="BQ57" i="109"/>
  <c r="BQ49" i="109"/>
  <c r="BQ46" i="109"/>
  <c r="BQ40" i="109"/>
  <c r="BQ31" i="109"/>
  <c r="BQ23" i="109"/>
  <c r="BQ14" i="109"/>
  <c r="BQ37" i="109"/>
  <c r="BQ27" i="109"/>
  <c r="BQ58" i="109"/>
  <c r="BQ38" i="109"/>
  <c r="BQ55" i="109"/>
  <c r="BQ29" i="109"/>
  <c r="BQ20" i="109"/>
  <c r="BQ73" i="109"/>
  <c r="BQ33" i="109"/>
  <c r="BQ19" i="109"/>
  <c r="BQ17" i="109"/>
  <c r="BQ61" i="109"/>
  <c r="BQ8" i="109"/>
  <c r="BQ95" i="109" s="1"/>
  <c r="BQ36" i="109"/>
  <c r="BQ15" i="109"/>
  <c r="BR7" i="109"/>
  <c r="BQ53" i="109"/>
  <c r="BQ26" i="109"/>
  <c r="BP15" i="109"/>
  <c r="BP51" i="109"/>
  <c r="BP28" i="109"/>
  <c r="BP39" i="109"/>
  <c r="BP60" i="109"/>
  <c r="BP74" i="109"/>
  <c r="BP85" i="109"/>
  <c r="BP83" i="109"/>
  <c r="BR90" i="107"/>
  <c r="BR93" i="107"/>
  <c r="BR94" i="107"/>
  <c r="BR97" i="107"/>
  <c r="BR92" i="107"/>
  <c r="BR80" i="107"/>
  <c r="BR75" i="107"/>
  <c r="BR70" i="107"/>
  <c r="BR84" i="107"/>
  <c r="BR85" i="107"/>
  <c r="BR72" i="107"/>
  <c r="BR74" i="107"/>
  <c r="BR77" i="107"/>
  <c r="BR55" i="107"/>
  <c r="BR49" i="107"/>
  <c r="BR40" i="107"/>
  <c r="BR82" i="107"/>
  <c r="BR78" i="107"/>
  <c r="BR47" i="107"/>
  <c r="BR67" i="107"/>
  <c r="BR63" i="107"/>
  <c r="BR60" i="107"/>
  <c r="BR38" i="107"/>
  <c r="BR34" i="107"/>
  <c r="BR62" i="107"/>
  <c r="BR58" i="107"/>
  <c r="BR53" i="107"/>
  <c r="BR48" i="107"/>
  <c r="BR27" i="107"/>
  <c r="BR22" i="107"/>
  <c r="BR42" i="107"/>
  <c r="BR28" i="107"/>
  <c r="BR23" i="107"/>
  <c r="BR45" i="107"/>
  <c r="BR18" i="107"/>
  <c r="BR11" i="107"/>
  <c r="BR14" i="107"/>
  <c r="BS7" i="107"/>
  <c r="BR39" i="107"/>
  <c r="BR8" i="107"/>
  <c r="BR96" i="107" s="1"/>
  <c r="BR13" i="107"/>
  <c r="BR26" i="107"/>
  <c r="BR12" i="107"/>
  <c r="BR15" i="107"/>
  <c r="BR57" i="107"/>
  <c r="BQ95" i="107"/>
  <c r="BQ20" i="107"/>
  <c r="BQ42" i="107"/>
  <c r="BQ48" i="107"/>
  <c r="BQ41" i="107"/>
  <c r="BQ81" i="107"/>
  <c r="BQ37" i="107"/>
  <c r="BQ57" i="107"/>
  <c r="BQ80" i="107"/>
  <c r="BQ94" i="107"/>
  <c r="BQ35" i="105"/>
  <c r="BQ14" i="105"/>
  <c r="BQ17" i="105"/>
  <c r="BQ52" i="105"/>
  <c r="BQ36" i="105"/>
  <c r="BQ62" i="105"/>
  <c r="BQ80" i="105"/>
  <c r="BQ72" i="105"/>
  <c r="BQ73" i="105"/>
  <c r="BQ86" i="105"/>
  <c r="BQ30" i="105"/>
  <c r="BQ34" i="105"/>
  <c r="BQ33" i="105"/>
  <c r="BQ25" i="105"/>
  <c r="BQ29" i="105"/>
  <c r="BQ50" i="105"/>
  <c r="BQ56" i="105"/>
  <c r="BQ55" i="105"/>
  <c r="BQ78" i="105"/>
  <c r="BQ94" i="105"/>
  <c r="BQ38" i="105"/>
  <c r="BQ31" i="105"/>
  <c r="BQ41" i="105"/>
  <c r="BQ66" i="105"/>
  <c r="BQ64" i="105"/>
  <c r="BQ63" i="105"/>
  <c r="BQ89" i="105"/>
  <c r="BQ91" i="105"/>
  <c r="BQ12" i="105"/>
  <c r="BQ15" i="105"/>
  <c r="BQ26" i="105"/>
  <c r="BQ37" i="105"/>
  <c r="BQ58" i="105"/>
  <c r="BQ53" i="105"/>
  <c r="BQ74" i="105"/>
  <c r="BQ79" i="105"/>
  <c r="BQ83" i="105"/>
  <c r="BQ88" i="105"/>
  <c r="BQ22" i="105"/>
  <c r="BQ24" i="105"/>
  <c r="BQ11" i="105"/>
  <c r="BQ40" i="105"/>
  <c r="BQ46" i="105"/>
  <c r="BQ68" i="105"/>
  <c r="BQ61" i="105"/>
  <c r="BQ84" i="105"/>
  <c r="BQ97" i="105"/>
  <c r="BR90" i="105"/>
  <c r="BR94" i="105"/>
  <c r="BR85" i="105"/>
  <c r="BR83" i="105"/>
  <c r="BR78" i="105"/>
  <c r="BR81" i="105"/>
  <c r="BR63" i="105"/>
  <c r="BR67" i="105"/>
  <c r="BR58" i="105"/>
  <c r="BR56" i="105"/>
  <c r="BR68" i="105"/>
  <c r="BR59" i="105"/>
  <c r="BR62" i="105"/>
  <c r="BR39" i="105"/>
  <c r="BR51" i="105"/>
  <c r="BR38" i="105"/>
  <c r="BR34" i="105"/>
  <c r="BR24" i="105"/>
  <c r="BR52" i="105"/>
  <c r="BR69" i="105"/>
  <c r="BR37" i="105"/>
  <c r="BR50" i="105"/>
  <c r="BR36" i="105"/>
  <c r="BR46" i="105"/>
  <c r="BR23" i="105"/>
  <c r="BS7" i="105"/>
  <c r="BR44" i="105"/>
  <c r="BR26" i="105"/>
  <c r="BR17" i="105"/>
  <c r="BR12" i="105"/>
  <c r="BR41" i="105"/>
  <c r="BR8" i="105"/>
  <c r="BR93" i="105" s="1"/>
  <c r="BR22" i="105"/>
  <c r="BR13" i="105"/>
  <c r="BR25" i="105"/>
  <c r="BR15" i="105"/>
  <c r="BQ30" i="103"/>
  <c r="BQ52" i="103"/>
  <c r="BQ36" i="103"/>
  <c r="BQ48" i="103"/>
  <c r="BQ69" i="103"/>
  <c r="BQ77" i="103"/>
  <c r="BR60" i="103"/>
  <c r="BR74" i="103"/>
  <c r="BR53" i="103"/>
  <c r="BR8" i="103"/>
  <c r="BR96" i="103" s="1"/>
  <c r="BR11" i="103"/>
  <c r="BS7" i="103"/>
  <c r="BR16" i="103"/>
  <c r="BQ17" i="103"/>
  <c r="BQ27" i="103"/>
  <c r="BQ28" i="103"/>
  <c r="BQ47" i="103"/>
  <c r="BQ45" i="103"/>
  <c r="BQ62" i="103"/>
  <c r="BQ85" i="103"/>
  <c r="BQ75" i="103"/>
  <c r="BQ97" i="103"/>
  <c r="BQ94" i="103"/>
  <c r="BQ22" i="103"/>
  <c r="BQ15" i="103"/>
  <c r="BQ29" i="103"/>
  <c r="BQ34" i="103"/>
  <c r="BQ55" i="103"/>
  <c r="BQ59" i="103"/>
  <c r="BQ61" i="103"/>
  <c r="BQ72" i="103"/>
  <c r="BQ86" i="103"/>
  <c r="BQ91" i="103"/>
  <c r="BQ84" i="103"/>
  <c r="BQ35" i="103"/>
  <c r="BQ24" i="103"/>
  <c r="BQ42" i="103"/>
  <c r="BQ37" i="103"/>
  <c r="BQ56" i="103"/>
  <c r="BQ41" i="103"/>
  <c r="BQ70" i="103"/>
  <c r="BQ92" i="103"/>
  <c r="BQ81" i="103"/>
  <c r="BQ88" i="103"/>
  <c r="BQ53" i="103"/>
  <c r="BQ18" i="103"/>
  <c r="BQ25" i="103"/>
  <c r="BQ23" i="103"/>
  <c r="BQ40" i="103"/>
  <c r="BQ51" i="103"/>
  <c r="BQ50" i="103"/>
  <c r="BQ73" i="103"/>
  <c r="BQ57" i="103"/>
  <c r="BQ78" i="103"/>
  <c r="BQ96" i="103"/>
  <c r="BQ20" i="103"/>
  <c r="BQ46" i="103"/>
  <c r="BQ58" i="103"/>
  <c r="BQ13" i="103"/>
  <c r="BQ64" i="103"/>
  <c r="BQ31" i="103"/>
  <c r="BQ44" i="103"/>
  <c r="BQ71" i="103"/>
  <c r="BQ68" i="103"/>
  <c r="BQ79" i="103"/>
  <c r="BQ66" i="103"/>
  <c r="BQ83" i="103"/>
  <c r="BQ93" i="103"/>
  <c r="BQ11" i="103"/>
  <c r="BQ26" i="103"/>
  <c r="BQ33" i="103"/>
  <c r="BQ63" i="103"/>
  <c r="BQ16" i="103"/>
  <c r="BQ19" i="103"/>
  <c r="BQ12" i="103"/>
  <c r="BQ38" i="103"/>
  <c r="BQ49" i="103"/>
  <c r="BQ39" i="103"/>
  <c r="BQ60" i="103"/>
  <c r="BQ67" i="103"/>
  <c r="BQ74" i="103"/>
  <c r="BQ80" i="103"/>
  <c r="BQ90" i="103"/>
  <c r="BQ89" i="103"/>
  <c r="BQ8" i="101"/>
  <c r="BQ95" i="101" s="1"/>
  <c r="BR7" i="101"/>
  <c r="BP41" i="101"/>
  <c r="BP40" i="101"/>
  <c r="BP46" i="101"/>
  <c r="BP73" i="101"/>
  <c r="BP62" i="101"/>
  <c r="BP79" i="101"/>
  <c r="BP94" i="101"/>
  <c r="BP86" i="101"/>
  <c r="BP49" i="101"/>
  <c r="BP52" i="101"/>
  <c r="BP45" i="101"/>
  <c r="BP70" i="101"/>
  <c r="BP74" i="101"/>
  <c r="BP89" i="101"/>
  <c r="BP95" i="101"/>
  <c r="BP31" i="101"/>
  <c r="BP24" i="101"/>
  <c r="BP71" i="101"/>
  <c r="BP42" i="101"/>
  <c r="BP63" i="101"/>
  <c r="BP72" i="101"/>
  <c r="BP77" i="101"/>
  <c r="BP97" i="101"/>
  <c r="BQ90" i="99"/>
  <c r="BQ96" i="99"/>
  <c r="BQ88" i="99"/>
  <c r="BQ91" i="99"/>
  <c r="BQ94" i="99"/>
  <c r="BQ79" i="99"/>
  <c r="BQ82" i="99"/>
  <c r="BQ73" i="99"/>
  <c r="BQ64" i="99"/>
  <c r="BQ85" i="99"/>
  <c r="BQ80" i="99"/>
  <c r="BQ83" i="99"/>
  <c r="BQ74" i="99"/>
  <c r="BQ66" i="99"/>
  <c r="BQ78" i="99"/>
  <c r="BQ59" i="99"/>
  <c r="BQ92" i="99"/>
  <c r="BQ62" i="99"/>
  <c r="BQ53" i="99"/>
  <c r="BQ81" i="99"/>
  <c r="BQ55" i="99"/>
  <c r="BQ52" i="99"/>
  <c r="BQ42" i="99"/>
  <c r="BQ34" i="99"/>
  <c r="BQ46" i="99"/>
  <c r="BQ60" i="99"/>
  <c r="BQ44" i="99"/>
  <c r="BQ56" i="99"/>
  <c r="BQ45" i="99"/>
  <c r="BQ49" i="99"/>
  <c r="BQ25" i="99"/>
  <c r="BQ39" i="99"/>
  <c r="BQ38" i="99"/>
  <c r="BQ36" i="99"/>
  <c r="BQ31" i="99"/>
  <c r="BQ33" i="99"/>
  <c r="BQ37" i="99"/>
  <c r="BQ15" i="99"/>
  <c r="BQ48" i="99"/>
  <c r="BQ24" i="99"/>
  <c r="BQ8" i="99"/>
  <c r="BQ95" i="99" s="1"/>
  <c r="BQ20" i="99"/>
  <c r="BQ16" i="99"/>
  <c r="BQ35" i="99"/>
  <c r="BQ61" i="99"/>
  <c r="BQ28" i="99"/>
  <c r="BR7" i="99"/>
  <c r="BQ29" i="99"/>
  <c r="BQ19" i="99"/>
  <c r="BQ17" i="99"/>
  <c r="BQ23" i="99"/>
  <c r="BQ11" i="99"/>
  <c r="BQ27" i="99"/>
  <c r="BP97" i="99"/>
  <c r="BP93" i="99"/>
  <c r="BP11" i="99"/>
  <c r="BP25" i="99"/>
  <c r="BP36" i="99"/>
  <c r="BP34" i="99"/>
  <c r="BP37" i="99"/>
  <c r="BP69" i="99"/>
  <c r="BP47" i="99"/>
  <c r="BP77" i="99"/>
  <c r="BP67" i="99"/>
  <c r="BP90" i="99"/>
  <c r="BP20" i="99"/>
  <c r="BP44" i="99"/>
  <c r="BP38" i="99"/>
  <c r="BP45" i="99"/>
  <c r="BP50" i="99"/>
  <c r="BP60" i="99"/>
  <c r="BP56" i="99"/>
  <c r="BP85" i="99"/>
  <c r="BP75" i="99"/>
  <c r="BP86" i="99"/>
  <c r="BP12" i="99"/>
  <c r="BP28" i="99"/>
  <c r="BP27" i="99"/>
  <c r="BP42" i="99"/>
  <c r="BP68" i="99"/>
  <c r="BP78" i="99"/>
  <c r="BP64" i="99"/>
  <c r="BP84" i="99"/>
  <c r="BP19" i="97"/>
  <c r="BP30" i="97"/>
  <c r="BP60" i="97"/>
  <c r="BP42" i="97"/>
  <c r="BP18" i="97"/>
  <c r="BP38" i="97"/>
  <c r="BP66" i="97"/>
  <c r="BP83" i="97"/>
  <c r="BP82" i="97"/>
  <c r="BP88" i="97"/>
  <c r="BP26" i="97"/>
  <c r="BP70" i="97"/>
  <c r="BP27" i="97"/>
  <c r="BP50" i="97"/>
  <c r="BP49" i="97"/>
  <c r="BP51" i="97"/>
  <c r="BP69" i="97"/>
  <c r="BP58" i="97"/>
  <c r="BP79" i="97"/>
  <c r="BP96" i="97"/>
  <c r="BP20" i="97"/>
  <c r="BP40" i="97"/>
  <c r="BP37" i="97"/>
  <c r="BP63" i="97"/>
  <c r="BP39" i="97"/>
  <c r="BP59" i="97"/>
  <c r="BP72" i="97"/>
  <c r="BP71" i="97"/>
  <c r="BP97" i="97"/>
  <c r="BP93" i="97"/>
  <c r="BP14" i="97"/>
  <c r="BP11" i="97"/>
  <c r="BP53" i="97"/>
  <c r="BP35" i="97"/>
  <c r="BP80" i="97"/>
  <c r="BP74" i="97"/>
  <c r="BP45" i="97"/>
  <c r="BP68" i="97"/>
  <c r="BP67" i="97"/>
  <c r="BP90" i="97"/>
  <c r="BP25" i="97"/>
  <c r="BP73" i="97"/>
  <c r="BP22" i="97"/>
  <c r="BP41" i="97"/>
  <c r="BP24" i="97"/>
  <c r="BP47" i="97"/>
  <c r="BP36" i="97"/>
  <c r="BP89" i="97"/>
  <c r="BP62" i="97"/>
  <c r="BP77" i="97"/>
  <c r="BP75" i="97"/>
  <c r="BP86" i="97"/>
  <c r="BP29" i="97"/>
  <c r="BP48" i="97"/>
  <c r="BP61" i="97"/>
  <c r="BP91" i="97"/>
  <c r="BQ95" i="97"/>
  <c r="BQ86" i="97"/>
  <c r="BQ93" i="97"/>
  <c r="BQ91" i="97"/>
  <c r="BQ94" i="97"/>
  <c r="BQ97" i="97"/>
  <c r="BQ89" i="97"/>
  <c r="BQ70" i="97"/>
  <c r="BQ77" i="97"/>
  <c r="BQ68" i="97"/>
  <c r="BQ80" i="97"/>
  <c r="BQ71" i="97"/>
  <c r="BQ75" i="97"/>
  <c r="BQ67" i="97"/>
  <c r="BQ56" i="97"/>
  <c r="BQ72" i="97"/>
  <c r="BQ59" i="97"/>
  <c r="BQ84" i="97"/>
  <c r="BQ64" i="97"/>
  <c r="BQ48" i="97"/>
  <c r="BQ81" i="97"/>
  <c r="BQ73" i="97"/>
  <c r="BQ51" i="97"/>
  <c r="BQ57" i="97"/>
  <c r="BQ53" i="97"/>
  <c r="BQ47" i="97"/>
  <c r="BQ44" i="97"/>
  <c r="BQ33" i="97"/>
  <c r="BQ62" i="97"/>
  <c r="BQ46" i="97"/>
  <c r="BQ45" i="97"/>
  <c r="BQ35" i="97"/>
  <c r="BQ28" i="97"/>
  <c r="BQ25" i="97"/>
  <c r="BQ55" i="97"/>
  <c r="BQ52" i="97"/>
  <c r="BQ50" i="97"/>
  <c r="BQ36" i="97"/>
  <c r="BQ24" i="97"/>
  <c r="BQ74" i="97"/>
  <c r="BQ37" i="97"/>
  <c r="BQ27" i="97"/>
  <c r="BQ26" i="97"/>
  <c r="BQ8" i="97"/>
  <c r="BQ90" i="97" s="1"/>
  <c r="BQ30" i="97"/>
  <c r="BQ23" i="97"/>
  <c r="BQ18" i="97"/>
  <c r="BQ41" i="97"/>
  <c r="BQ17" i="97"/>
  <c r="BR7" i="97"/>
  <c r="BQ12" i="97"/>
  <c r="BQ40" i="97"/>
  <c r="BQ34" i="97"/>
  <c r="BQ29" i="97"/>
  <c r="BQ15" i="97"/>
  <c r="BP13" i="97"/>
  <c r="BP44" i="97"/>
  <c r="BP57" i="97"/>
  <c r="BP28" i="97"/>
  <c r="BP52" i="97"/>
  <c r="BP46" i="97"/>
  <c r="BP56" i="97"/>
  <c r="BP85" i="97"/>
  <c r="BP84" i="97"/>
  <c r="BR11" i="95"/>
  <c r="BR23" i="95"/>
  <c r="BR56" i="95"/>
  <c r="BR15" i="95"/>
  <c r="BR49" i="95"/>
  <c r="BR26" i="95"/>
  <c r="BR31" i="95"/>
  <c r="BR19" i="95"/>
  <c r="BR24" i="95"/>
  <c r="BR47" i="95"/>
  <c r="BR18" i="95"/>
  <c r="BR14" i="95"/>
  <c r="BR52" i="95"/>
  <c r="BR53" i="95"/>
  <c r="BR63" i="95"/>
  <c r="BR58" i="95"/>
  <c r="BR75" i="95"/>
  <c r="BR84" i="95"/>
  <c r="BR85" i="95"/>
  <c r="BR73" i="95"/>
  <c r="BT7" i="95"/>
  <c r="BS8" i="95"/>
  <c r="BS94" i="95" s="1"/>
  <c r="BR20" i="95"/>
  <c r="BR74" i="95"/>
  <c r="BR57" i="95"/>
  <c r="BR64" i="95"/>
  <c r="BR59" i="95"/>
  <c r="BR68" i="95"/>
  <c r="BR55" i="95"/>
  <c r="BR89" i="95"/>
  <c r="BR95" i="95"/>
  <c r="BR27" i="95"/>
  <c r="BR38" i="95"/>
  <c r="BR39" i="95"/>
  <c r="BR88" i="95"/>
  <c r="BR69" i="95"/>
  <c r="BR86" i="95"/>
  <c r="BR61" i="95"/>
  <c r="BR92" i="95"/>
  <c r="BR96" i="95"/>
  <c r="BR17" i="95"/>
  <c r="BR30" i="95"/>
  <c r="BR36" i="95"/>
  <c r="BR25" i="95"/>
  <c r="BR12" i="95"/>
  <c r="BR34" i="95"/>
  <c r="BR51" i="95"/>
  <c r="BR41" i="95"/>
  <c r="BR70" i="95"/>
  <c r="BR37" i="95"/>
  <c r="BR93" i="95"/>
  <c r="BR80" i="95"/>
  <c r="BR94" i="95"/>
  <c r="BR82" i="95"/>
  <c r="BR35" i="95"/>
  <c r="BR16" i="95"/>
  <c r="BR46" i="95"/>
  <c r="BR29" i="95"/>
  <c r="BR28" i="95"/>
  <c r="BR42" i="95"/>
  <c r="BR33" i="95"/>
  <c r="BR60" i="95"/>
  <c r="BR71" i="95"/>
  <c r="BR44" i="95"/>
  <c r="BR78" i="95"/>
  <c r="BR81" i="95"/>
  <c r="BR90" i="95"/>
  <c r="BR91" i="95"/>
  <c r="BR13" i="95"/>
  <c r="BR22" i="95"/>
  <c r="BR77" i="95"/>
  <c r="BR66" i="95"/>
  <c r="BR48" i="95"/>
  <c r="BR45" i="95"/>
  <c r="BR40" i="95"/>
  <c r="BR62" i="95"/>
  <c r="BR72" i="95"/>
  <c r="BR50" i="95"/>
  <c r="BR79" i="95"/>
  <c r="BR83" i="95"/>
  <c r="BR67" i="95"/>
  <c r="BQ26" i="59" l="1"/>
  <c r="BQ79" i="59"/>
  <c r="BQ72" i="59"/>
  <c r="BQ39" i="59"/>
  <c r="BQ86" i="59"/>
  <c r="BQ56" i="59"/>
  <c r="BQ93" i="59"/>
  <c r="BQ27" i="59"/>
  <c r="BQ40" i="59"/>
  <c r="BQ41" i="59"/>
  <c r="BQ52" i="59"/>
  <c r="BQ92" i="59"/>
  <c r="BQ62" i="59"/>
  <c r="BQ35" i="59"/>
  <c r="BQ51" i="59"/>
  <c r="BQ82" i="59"/>
  <c r="BQ84" i="59"/>
  <c r="BQ19" i="59"/>
  <c r="BQ29" i="59"/>
  <c r="BQ64" i="59"/>
  <c r="BQ77" i="59"/>
  <c r="BQ89" i="59"/>
  <c r="BQ48" i="59"/>
  <c r="BQ24" i="59"/>
  <c r="BQ31" i="59"/>
  <c r="BQ30" i="59"/>
  <c r="BQ47" i="59"/>
  <c r="BQ60" i="59"/>
  <c r="BQ91" i="59"/>
  <c r="BQ38" i="59"/>
  <c r="BQ28" i="59"/>
  <c r="BQ13" i="59"/>
  <c r="BQ22" i="59"/>
  <c r="BQ36" i="59"/>
  <c r="BQ74" i="59"/>
  <c r="BQ46" i="59"/>
  <c r="BQ50" i="59"/>
  <c r="BQ85" i="59"/>
  <c r="BQ94" i="59"/>
  <c r="BQ14" i="59"/>
  <c r="BQ17" i="59"/>
  <c r="BQ57" i="59"/>
  <c r="BQ71" i="59"/>
  <c r="BQ44" i="59"/>
  <c r="BQ68" i="59"/>
  <c r="BQ63" i="59"/>
  <c r="BQ78" i="59"/>
  <c r="BQ88" i="59"/>
  <c r="BQ15" i="59"/>
  <c r="BQ23" i="59"/>
  <c r="BQ42" i="59"/>
  <c r="BQ18" i="59"/>
  <c r="BQ33" i="59"/>
  <c r="BQ53" i="59"/>
  <c r="BQ75" i="59"/>
  <c r="BQ67" i="59"/>
  <c r="BQ81" i="59"/>
  <c r="BQ96" i="59"/>
  <c r="BS7" i="59"/>
  <c r="BR8" i="59"/>
  <c r="BR88" i="59" s="1"/>
  <c r="BQ37" i="59"/>
  <c r="BQ25" i="59"/>
  <c r="BQ83" i="59"/>
  <c r="BQ45" i="59"/>
  <c r="BQ61" i="59"/>
  <c r="BQ55" i="59"/>
  <c r="BQ73" i="59"/>
  <c r="BQ80" i="59"/>
  <c r="BQ90" i="59"/>
  <c r="BQ69" i="59"/>
  <c r="BQ58" i="59"/>
  <c r="BQ66" i="59"/>
  <c r="BQ97" i="59"/>
  <c r="BQ15" i="113"/>
  <c r="BQ18" i="113"/>
  <c r="BQ24" i="113"/>
  <c r="BQ58" i="113"/>
  <c r="BQ69" i="113"/>
  <c r="BQ63" i="113"/>
  <c r="BQ73" i="113"/>
  <c r="BQ64" i="113"/>
  <c r="BQ74" i="113"/>
  <c r="BQ86" i="113"/>
  <c r="BQ33" i="113"/>
  <c r="BQ27" i="113"/>
  <c r="BQ23" i="113"/>
  <c r="BQ31" i="113"/>
  <c r="BQ71" i="113"/>
  <c r="BQ25" i="113"/>
  <c r="BQ79" i="113"/>
  <c r="BQ57" i="113"/>
  <c r="BQ80" i="113"/>
  <c r="BQ83" i="113"/>
  <c r="BQ95" i="113"/>
  <c r="BQ67" i="113"/>
  <c r="BQ77" i="113"/>
  <c r="BQ75" i="113"/>
  <c r="BQ91" i="113"/>
  <c r="BQ16" i="113"/>
  <c r="BQ40" i="113"/>
  <c r="BQ29" i="113"/>
  <c r="BQ30" i="113"/>
  <c r="BQ46" i="113"/>
  <c r="BQ51" i="113"/>
  <c r="BQ55" i="113"/>
  <c r="BQ89" i="113"/>
  <c r="BQ84" i="113"/>
  <c r="BQ88" i="113"/>
  <c r="BQ13" i="113"/>
  <c r="BQ45" i="113"/>
  <c r="BQ50" i="113"/>
  <c r="BQ26" i="113"/>
  <c r="BQ52" i="113"/>
  <c r="BQ56" i="113"/>
  <c r="BQ62" i="113"/>
  <c r="BQ92" i="113"/>
  <c r="BQ81" i="113"/>
  <c r="BQ96" i="113"/>
  <c r="BR96" i="113"/>
  <c r="BR81" i="113"/>
  <c r="BR68" i="113"/>
  <c r="BR66" i="113"/>
  <c r="BR63" i="113"/>
  <c r="BR51" i="113"/>
  <c r="BR37" i="113"/>
  <c r="BR49" i="113"/>
  <c r="BR47" i="113"/>
  <c r="BR41" i="113"/>
  <c r="BR31" i="113"/>
  <c r="BR33" i="113"/>
  <c r="BR26" i="113"/>
  <c r="BR30" i="113"/>
  <c r="BR39" i="113"/>
  <c r="BR22" i="113"/>
  <c r="BS7" i="113"/>
  <c r="BR8" i="113"/>
  <c r="BR88" i="113" s="1"/>
  <c r="BR14" i="113"/>
  <c r="BQ12" i="113"/>
  <c r="BQ28" i="113"/>
  <c r="BQ35" i="113"/>
  <c r="BQ60" i="113"/>
  <c r="BQ39" i="113"/>
  <c r="BQ72" i="113"/>
  <c r="BQ82" i="113"/>
  <c r="BQ97" i="113"/>
  <c r="BR11" i="111"/>
  <c r="BR47" i="111"/>
  <c r="BR20" i="111"/>
  <c r="BR53" i="111"/>
  <c r="BR48" i="111"/>
  <c r="BR73" i="111"/>
  <c r="BR55" i="111"/>
  <c r="BR74" i="111"/>
  <c r="BR88" i="111"/>
  <c r="BR18" i="111"/>
  <c r="BR14" i="111"/>
  <c r="BR36" i="111"/>
  <c r="BR85" i="111"/>
  <c r="BR44" i="111"/>
  <c r="BR68" i="111"/>
  <c r="BR60" i="111"/>
  <c r="BR71" i="111"/>
  <c r="BR69" i="111"/>
  <c r="BR91" i="111"/>
  <c r="BR93" i="111"/>
  <c r="BS96" i="111"/>
  <c r="BS88" i="111"/>
  <c r="BS92" i="111"/>
  <c r="BS83" i="111"/>
  <c r="BS78" i="111"/>
  <c r="BS49" i="111"/>
  <c r="BS59" i="111"/>
  <c r="BS71" i="111"/>
  <c r="BS79" i="111"/>
  <c r="BS60" i="111"/>
  <c r="BS55" i="111"/>
  <c r="BS82" i="111"/>
  <c r="BS77" i="111"/>
  <c r="BS56" i="111"/>
  <c r="BS38" i="111"/>
  <c r="BS57" i="111"/>
  <c r="BS48" i="111"/>
  <c r="BS44" i="111"/>
  <c r="BS94" i="111"/>
  <c r="BS74" i="111"/>
  <c r="BS33" i="111"/>
  <c r="BS30" i="111"/>
  <c r="BS22" i="111"/>
  <c r="BS39" i="111"/>
  <c r="BS31" i="111"/>
  <c r="BS27" i="111"/>
  <c r="BS8" i="111"/>
  <c r="BS97" i="111" s="1"/>
  <c r="BS34" i="111"/>
  <c r="BS37" i="111"/>
  <c r="BS16" i="111"/>
  <c r="BS17" i="111"/>
  <c r="BS28" i="111"/>
  <c r="BT7" i="111"/>
  <c r="BR52" i="111"/>
  <c r="BR17" i="111"/>
  <c r="BR67" i="111"/>
  <c r="BR84" i="111"/>
  <c r="BR61" i="111"/>
  <c r="BR62" i="111"/>
  <c r="BR75" i="111"/>
  <c r="BQ83" i="109"/>
  <c r="BQ88" i="109"/>
  <c r="BQ12" i="109"/>
  <c r="BQ56" i="109"/>
  <c r="BQ44" i="109"/>
  <c r="BQ41" i="109"/>
  <c r="BQ16" i="109"/>
  <c r="BQ22" i="109"/>
  <c r="BQ62" i="109"/>
  <c r="BQ71" i="109"/>
  <c r="BQ72" i="109"/>
  <c r="BQ93" i="109"/>
  <c r="BQ28" i="109"/>
  <c r="BQ35" i="109"/>
  <c r="BQ45" i="109"/>
  <c r="BQ82" i="109"/>
  <c r="BQ25" i="109"/>
  <c r="BQ30" i="109"/>
  <c r="BQ69" i="109"/>
  <c r="BQ74" i="109"/>
  <c r="BQ97" i="109"/>
  <c r="BQ90" i="109"/>
  <c r="BQ47" i="109"/>
  <c r="BQ50" i="109"/>
  <c r="BQ85" i="109"/>
  <c r="BQ34" i="109"/>
  <c r="BQ39" i="109"/>
  <c r="BQ77" i="109"/>
  <c r="BQ70" i="109"/>
  <c r="BQ81" i="109"/>
  <c r="BQ86" i="109"/>
  <c r="BQ18" i="109"/>
  <c r="BQ11" i="109"/>
  <c r="BQ48" i="109"/>
  <c r="BQ24" i="109"/>
  <c r="BQ94" i="109"/>
  <c r="BQ42" i="109"/>
  <c r="BQ51" i="109"/>
  <c r="BQ79" i="109"/>
  <c r="BQ89" i="109"/>
  <c r="BQ78" i="109"/>
  <c r="BR94" i="109"/>
  <c r="BR86" i="109"/>
  <c r="BR67" i="109"/>
  <c r="BR92" i="109"/>
  <c r="BR59" i="109"/>
  <c r="BR73" i="109"/>
  <c r="BR70" i="109"/>
  <c r="BR53" i="109"/>
  <c r="BR42" i="109"/>
  <c r="BR25" i="109"/>
  <c r="BR47" i="109"/>
  <c r="BR35" i="109"/>
  <c r="BR51" i="109"/>
  <c r="BR29" i="109"/>
  <c r="BR78" i="109"/>
  <c r="BR12" i="109"/>
  <c r="BR22" i="109"/>
  <c r="BR77" i="109"/>
  <c r="BS7" i="109"/>
  <c r="BR36" i="109"/>
  <c r="BR30" i="109"/>
  <c r="BR8" i="109"/>
  <c r="BR90" i="109" s="1"/>
  <c r="BR19" i="107"/>
  <c r="BR36" i="107"/>
  <c r="BR73" i="107"/>
  <c r="BR64" i="107"/>
  <c r="BR31" i="107"/>
  <c r="BR69" i="107"/>
  <c r="BR61" i="107"/>
  <c r="BR89" i="107"/>
  <c r="BR20" i="107"/>
  <c r="BR59" i="107"/>
  <c r="BR66" i="107"/>
  <c r="BR37" i="107"/>
  <c r="BR52" i="107"/>
  <c r="BR51" i="107"/>
  <c r="BR68" i="107"/>
  <c r="BR83" i="107"/>
  <c r="BR91" i="107"/>
  <c r="BR17" i="107"/>
  <c r="BR29" i="107"/>
  <c r="BR16" i="107"/>
  <c r="BR30" i="107"/>
  <c r="BR41" i="107"/>
  <c r="BR35" i="107"/>
  <c r="BR56" i="107"/>
  <c r="BR71" i="107"/>
  <c r="BR81" i="107"/>
  <c r="BR88" i="107"/>
  <c r="BR24" i="107"/>
  <c r="BR33" i="107"/>
  <c r="BR25" i="107"/>
  <c r="BR46" i="107"/>
  <c r="BR50" i="107"/>
  <c r="BR44" i="107"/>
  <c r="BR95" i="107"/>
  <c r="BR79" i="107"/>
  <c r="BR86" i="107"/>
  <c r="BS88" i="107"/>
  <c r="BS83" i="107"/>
  <c r="BS72" i="107"/>
  <c r="BS58" i="107"/>
  <c r="BS29" i="107"/>
  <c r="BS46" i="107"/>
  <c r="BS59" i="107"/>
  <c r="BS49" i="107"/>
  <c r="BT7" i="107"/>
  <c r="BS48" i="107"/>
  <c r="BS18" i="107"/>
  <c r="BS8" i="107"/>
  <c r="BS94" i="107" s="1"/>
  <c r="BS91" i="105"/>
  <c r="BS94" i="105"/>
  <c r="BS97" i="105"/>
  <c r="BS89" i="105"/>
  <c r="BS92" i="105"/>
  <c r="BS74" i="105"/>
  <c r="BS86" i="105"/>
  <c r="BS81" i="105"/>
  <c r="BS84" i="105"/>
  <c r="BS90" i="105"/>
  <c r="BS58" i="105"/>
  <c r="BS73" i="105"/>
  <c r="BS70" i="105"/>
  <c r="BS61" i="105"/>
  <c r="BS85" i="105"/>
  <c r="BS59" i="105"/>
  <c r="BS62" i="105"/>
  <c r="BS71" i="105"/>
  <c r="BS63" i="105"/>
  <c r="BS52" i="105"/>
  <c r="BS56" i="105"/>
  <c r="BS55" i="105"/>
  <c r="BS69" i="105"/>
  <c r="BS53" i="105"/>
  <c r="BS48" i="105"/>
  <c r="BS42" i="105"/>
  <c r="BS46" i="105"/>
  <c r="BS37" i="105"/>
  <c r="BS47" i="105"/>
  <c r="BS27" i="105"/>
  <c r="BS75" i="105"/>
  <c r="BS44" i="105"/>
  <c r="BS35" i="105"/>
  <c r="BS50" i="105"/>
  <c r="BS36" i="105"/>
  <c r="BS45" i="105"/>
  <c r="BS41" i="105"/>
  <c r="BS31" i="105"/>
  <c r="BS14" i="105"/>
  <c r="BT7" i="105"/>
  <c r="BS77" i="105"/>
  <c r="BS38" i="105"/>
  <c r="BS33" i="105"/>
  <c r="BS17" i="105"/>
  <c r="BS49" i="105"/>
  <c r="BS40" i="105"/>
  <c r="BS30" i="105"/>
  <c r="BS15" i="105"/>
  <c r="BS20" i="105"/>
  <c r="BS12" i="105"/>
  <c r="BS13" i="105"/>
  <c r="BS25" i="105"/>
  <c r="BS24" i="105"/>
  <c r="BS28" i="105"/>
  <c r="BS18" i="105"/>
  <c r="BS16" i="105"/>
  <c r="BS19" i="105"/>
  <c r="BS8" i="105"/>
  <c r="BS93" i="105" s="1"/>
  <c r="BS11" i="105"/>
  <c r="BR89" i="105"/>
  <c r="BR40" i="105"/>
  <c r="BR20" i="105"/>
  <c r="BR14" i="105"/>
  <c r="BR31" i="105"/>
  <c r="BR33" i="105"/>
  <c r="BR48" i="105"/>
  <c r="BR82" i="105"/>
  <c r="BR92" i="105"/>
  <c r="BR86" i="105"/>
  <c r="BR97" i="105"/>
  <c r="BR45" i="105"/>
  <c r="BR64" i="105"/>
  <c r="BR72" i="105"/>
  <c r="BR71" i="105"/>
  <c r="BR91" i="105"/>
  <c r="BR27" i="105"/>
  <c r="BR29" i="105"/>
  <c r="BR11" i="105"/>
  <c r="BR30" i="105"/>
  <c r="BR49" i="105"/>
  <c r="BR55" i="105"/>
  <c r="BR74" i="105"/>
  <c r="BR79" i="105"/>
  <c r="BR80" i="105"/>
  <c r="BR88" i="105"/>
  <c r="BR47" i="105"/>
  <c r="BR19" i="105"/>
  <c r="BR60" i="105"/>
  <c r="BR61" i="105"/>
  <c r="BR57" i="105"/>
  <c r="BR70" i="105"/>
  <c r="BR75" i="105"/>
  <c r="BR95" i="105"/>
  <c r="BR96" i="105"/>
  <c r="BR16" i="105"/>
  <c r="BR18" i="105"/>
  <c r="BR35" i="105"/>
  <c r="BR28" i="105"/>
  <c r="BR66" i="105"/>
  <c r="BR42" i="105"/>
  <c r="BR53" i="105"/>
  <c r="BR73" i="105"/>
  <c r="BR84" i="105"/>
  <c r="BR77" i="105"/>
  <c r="BR50" i="103"/>
  <c r="BR95" i="103"/>
  <c r="BR35" i="103"/>
  <c r="BR26" i="103"/>
  <c r="BR40" i="103"/>
  <c r="BR90" i="103"/>
  <c r="BR23" i="103"/>
  <c r="BR18" i="103"/>
  <c r="BR15" i="103"/>
  <c r="BR31" i="103"/>
  <c r="BR44" i="103"/>
  <c r="BR51" i="103"/>
  <c r="BR56" i="103"/>
  <c r="BR68" i="103"/>
  <c r="BR82" i="103"/>
  <c r="BR89" i="103"/>
  <c r="BR69" i="103"/>
  <c r="BR29" i="103"/>
  <c r="BR20" i="103"/>
  <c r="BR25" i="103"/>
  <c r="BR38" i="103"/>
  <c r="BR49" i="103"/>
  <c r="BR71" i="103"/>
  <c r="BR59" i="103"/>
  <c r="BR70" i="103"/>
  <c r="BR79" i="103"/>
  <c r="BR97" i="103"/>
  <c r="BR73" i="103"/>
  <c r="BS91" i="103"/>
  <c r="BS81" i="103"/>
  <c r="BS83" i="103"/>
  <c r="BS77" i="103"/>
  <c r="BS90" i="103"/>
  <c r="BS69" i="103"/>
  <c r="BS49" i="103"/>
  <c r="BS47" i="103"/>
  <c r="BS18" i="103"/>
  <c r="BS8" i="103"/>
  <c r="BS94" i="103" s="1"/>
  <c r="BS31" i="103"/>
  <c r="BT7" i="103"/>
  <c r="BR27" i="103"/>
  <c r="BR37" i="103"/>
  <c r="BR52" i="103"/>
  <c r="BR58" i="103"/>
  <c r="BR48" i="103"/>
  <c r="BR63" i="103"/>
  <c r="BR67" i="103"/>
  <c r="BR84" i="103"/>
  <c r="BR94" i="103"/>
  <c r="BR24" i="103"/>
  <c r="BR57" i="103"/>
  <c r="BR93" i="103"/>
  <c r="BR12" i="103"/>
  <c r="BR17" i="103"/>
  <c r="BR42" i="103"/>
  <c r="BR92" i="103"/>
  <c r="BR14" i="103"/>
  <c r="BR34" i="103"/>
  <c r="BR47" i="103"/>
  <c r="BR39" i="103"/>
  <c r="BR61" i="103"/>
  <c r="BR66" i="103"/>
  <c r="BR75" i="103"/>
  <c r="BR77" i="103"/>
  <c r="BR86" i="103"/>
  <c r="BR91" i="103"/>
  <c r="BR80" i="103"/>
  <c r="BR28" i="103"/>
  <c r="BR13" i="103"/>
  <c r="BR22" i="103"/>
  <c r="BR64" i="103"/>
  <c r="BR46" i="103"/>
  <c r="BR36" i="103"/>
  <c r="BR78" i="103"/>
  <c r="BR85" i="103"/>
  <c r="BR81" i="103"/>
  <c r="BR88" i="103"/>
  <c r="BR33" i="103"/>
  <c r="BR19" i="103"/>
  <c r="BR30" i="103"/>
  <c r="BR41" i="103"/>
  <c r="BR55" i="103"/>
  <c r="BR45" i="103"/>
  <c r="BR62" i="103"/>
  <c r="BR72" i="103"/>
  <c r="BR83" i="103"/>
  <c r="BQ11" i="101"/>
  <c r="BQ41" i="101"/>
  <c r="BQ91" i="101"/>
  <c r="BQ30" i="101"/>
  <c r="BQ50" i="101"/>
  <c r="BQ52" i="101"/>
  <c r="BQ14" i="101"/>
  <c r="BQ22" i="101"/>
  <c r="BQ34" i="101"/>
  <c r="BQ38" i="101"/>
  <c r="BQ53" i="101"/>
  <c r="BQ37" i="101"/>
  <c r="BQ48" i="101"/>
  <c r="BQ62" i="101"/>
  <c r="BQ72" i="101"/>
  <c r="BQ94" i="101"/>
  <c r="BQ25" i="101"/>
  <c r="BQ47" i="101"/>
  <c r="BQ78" i="101"/>
  <c r="BQ20" i="101"/>
  <c r="BQ88" i="101"/>
  <c r="BQ16" i="101"/>
  <c r="BQ15" i="101"/>
  <c r="BQ31" i="101"/>
  <c r="BQ24" i="101"/>
  <c r="BQ49" i="101"/>
  <c r="BQ64" i="101"/>
  <c r="BQ71" i="101"/>
  <c r="BQ68" i="101"/>
  <c r="BQ84" i="101"/>
  <c r="BQ96" i="101"/>
  <c r="BQ70" i="101"/>
  <c r="BQ79" i="101"/>
  <c r="BQ23" i="101"/>
  <c r="BQ18" i="101"/>
  <c r="BQ35" i="101"/>
  <c r="BQ33" i="101"/>
  <c r="BQ61" i="101"/>
  <c r="BQ42" i="101"/>
  <c r="BQ60" i="101"/>
  <c r="BQ82" i="101"/>
  <c r="BQ81" i="101"/>
  <c r="BQ93" i="101"/>
  <c r="BQ46" i="101"/>
  <c r="BQ63" i="101"/>
  <c r="BQ17" i="101"/>
  <c r="BQ45" i="101"/>
  <c r="BQ28" i="101"/>
  <c r="BQ36" i="101"/>
  <c r="BQ67" i="101"/>
  <c r="BQ51" i="101"/>
  <c r="BQ69" i="101"/>
  <c r="BQ75" i="101"/>
  <c r="BQ97" i="101"/>
  <c r="BQ90" i="101"/>
  <c r="BQ59" i="101"/>
  <c r="BQ12" i="101"/>
  <c r="BQ13" i="101"/>
  <c r="BQ55" i="101"/>
  <c r="BQ44" i="101"/>
  <c r="BQ29" i="101"/>
  <c r="BQ77" i="101"/>
  <c r="BQ56" i="101"/>
  <c r="BQ57" i="101"/>
  <c r="BQ85" i="101"/>
  <c r="BQ83" i="101"/>
  <c r="BQ86" i="101"/>
  <c r="BQ73" i="101"/>
  <c r="BQ58" i="101"/>
  <c r="BQ74" i="101"/>
  <c r="BR90" i="101"/>
  <c r="BR95" i="101"/>
  <c r="BR85" i="101"/>
  <c r="BR69" i="101"/>
  <c r="BR56" i="101"/>
  <c r="BR49" i="101"/>
  <c r="BR36" i="101"/>
  <c r="BR47" i="101"/>
  <c r="BR39" i="101"/>
  <c r="BR12" i="101"/>
  <c r="BS7" i="101"/>
  <c r="BR15" i="101"/>
  <c r="BR8" i="101"/>
  <c r="BR96" i="101" s="1"/>
  <c r="BQ19" i="101"/>
  <c r="BQ26" i="101"/>
  <c r="BQ27" i="101"/>
  <c r="BQ40" i="101"/>
  <c r="BQ80" i="101"/>
  <c r="BQ39" i="101"/>
  <c r="BQ66" i="101"/>
  <c r="BQ89" i="101"/>
  <c r="BQ92" i="101"/>
  <c r="BQ67" i="99"/>
  <c r="BQ13" i="99"/>
  <c r="BQ47" i="99"/>
  <c r="BQ84" i="99"/>
  <c r="BQ51" i="99"/>
  <c r="BQ58" i="99"/>
  <c r="BQ50" i="99"/>
  <c r="BQ71" i="99"/>
  <c r="BQ70" i="99"/>
  <c r="BQ93" i="99"/>
  <c r="BR93" i="99"/>
  <c r="BR96" i="99"/>
  <c r="BR88" i="99"/>
  <c r="BR91" i="99"/>
  <c r="BR94" i="99"/>
  <c r="BR95" i="99"/>
  <c r="BR82" i="99"/>
  <c r="BR73" i="99"/>
  <c r="BR64" i="99"/>
  <c r="BR85" i="99"/>
  <c r="BR71" i="99"/>
  <c r="BR83" i="99"/>
  <c r="BR74" i="99"/>
  <c r="BR78" i="99"/>
  <c r="BR69" i="99"/>
  <c r="BR63" i="99"/>
  <c r="BR62" i="99"/>
  <c r="BR53" i="99"/>
  <c r="BR79" i="99"/>
  <c r="BR66" i="99"/>
  <c r="BR51" i="99"/>
  <c r="BR84" i="99"/>
  <c r="BR58" i="99"/>
  <c r="BR37" i="99"/>
  <c r="BR50" i="99"/>
  <c r="BR59" i="99"/>
  <c r="BR44" i="99"/>
  <c r="BR35" i="99"/>
  <c r="BR55" i="99"/>
  <c r="BR38" i="99"/>
  <c r="BR39" i="99"/>
  <c r="BR56" i="99"/>
  <c r="BR45" i="99"/>
  <c r="BR34" i="99"/>
  <c r="BR25" i="99"/>
  <c r="BR41" i="99"/>
  <c r="BR33" i="99"/>
  <c r="BR29" i="99"/>
  <c r="BR52" i="99"/>
  <c r="BR47" i="99"/>
  <c r="BR8" i="99"/>
  <c r="BR97" i="99" s="1"/>
  <c r="BR42" i="99"/>
  <c r="BR20" i="99"/>
  <c r="BR13" i="99"/>
  <c r="BR16" i="99"/>
  <c r="BR11" i="99"/>
  <c r="BR61" i="99"/>
  <c r="BR36" i="99"/>
  <c r="BR31" i="99"/>
  <c r="BR23" i="99"/>
  <c r="BR17" i="99"/>
  <c r="BR12" i="99"/>
  <c r="BR22" i="99"/>
  <c r="BS7" i="99"/>
  <c r="BR15" i="99"/>
  <c r="BQ41" i="99"/>
  <c r="BQ22" i="99"/>
  <c r="BQ75" i="99"/>
  <c r="BQ72" i="99"/>
  <c r="BQ63" i="99"/>
  <c r="BQ68" i="99"/>
  <c r="BQ89" i="99"/>
  <c r="BQ86" i="99"/>
  <c r="BQ12" i="99"/>
  <c r="BQ14" i="99"/>
  <c r="BQ18" i="99"/>
  <c r="BQ26" i="99"/>
  <c r="BQ30" i="99"/>
  <c r="BQ40" i="99"/>
  <c r="BQ57" i="99"/>
  <c r="BQ69" i="99"/>
  <c r="BQ77" i="99"/>
  <c r="BQ97" i="99"/>
  <c r="BQ11" i="97"/>
  <c r="BQ13" i="97"/>
  <c r="BQ63" i="97"/>
  <c r="BQ60" i="97"/>
  <c r="BQ66" i="97"/>
  <c r="BQ78" i="97"/>
  <c r="BQ85" i="97"/>
  <c r="BQ88" i="97"/>
  <c r="BR89" i="97"/>
  <c r="BR71" i="97"/>
  <c r="BR72" i="97"/>
  <c r="BR58" i="97"/>
  <c r="BR36" i="97"/>
  <c r="BR45" i="97"/>
  <c r="BR41" i="97"/>
  <c r="BS7" i="97"/>
  <c r="BR53" i="97"/>
  <c r="BR15" i="97"/>
  <c r="BR8" i="97"/>
  <c r="BR90" i="97" s="1"/>
  <c r="BR44" i="97"/>
  <c r="BQ14" i="97"/>
  <c r="BQ19" i="97"/>
  <c r="BQ22" i="97"/>
  <c r="BQ39" i="97"/>
  <c r="BQ49" i="97"/>
  <c r="BQ69" i="97"/>
  <c r="BQ61" i="97"/>
  <c r="BQ82" i="97"/>
  <c r="BQ96" i="97"/>
  <c r="BQ16" i="97"/>
  <c r="BQ20" i="97"/>
  <c r="BQ38" i="97"/>
  <c r="BQ31" i="97"/>
  <c r="BQ42" i="97"/>
  <c r="BQ58" i="97"/>
  <c r="BQ92" i="97"/>
  <c r="BQ83" i="97"/>
  <c r="BQ79" i="97"/>
  <c r="BS71" i="95"/>
  <c r="BS97" i="95"/>
  <c r="BS22" i="95"/>
  <c r="BS34" i="95"/>
  <c r="BS37" i="95"/>
  <c r="BS26" i="95"/>
  <c r="BS62" i="95"/>
  <c r="BS44" i="95"/>
  <c r="BS74" i="95"/>
  <c r="BS56" i="95"/>
  <c r="BS82" i="95"/>
  <c r="BS89" i="95"/>
  <c r="BS30" i="95"/>
  <c r="BS11" i="95"/>
  <c r="BS20" i="95"/>
  <c r="BS18" i="95"/>
  <c r="BS38" i="95"/>
  <c r="BS58" i="95"/>
  <c r="BS85" i="95"/>
  <c r="BS70" i="95"/>
  <c r="BS60" i="95"/>
  <c r="BS72" i="95"/>
  <c r="BS14" i="95"/>
  <c r="BS27" i="95"/>
  <c r="BS23" i="95"/>
  <c r="BS13" i="95"/>
  <c r="BS55" i="95"/>
  <c r="BS39" i="95"/>
  <c r="BS59" i="95"/>
  <c r="BS50" i="95"/>
  <c r="BS36" i="95"/>
  <c r="BS75" i="95"/>
  <c r="BS67" i="95"/>
  <c r="BS80" i="95"/>
  <c r="BS81" i="95"/>
  <c r="BS15" i="95"/>
  <c r="BS16" i="95"/>
  <c r="BS29" i="95"/>
  <c r="BS25" i="95"/>
  <c r="BS19" i="95"/>
  <c r="BS78" i="95"/>
  <c r="BS51" i="95"/>
  <c r="BS61" i="95"/>
  <c r="BS52" i="95"/>
  <c r="BS42" i="95"/>
  <c r="BS77" i="95"/>
  <c r="BS69" i="95"/>
  <c r="BS95" i="95"/>
  <c r="BS88" i="95"/>
  <c r="BS49" i="95"/>
  <c r="BS17" i="95"/>
  <c r="BS12" i="95"/>
  <c r="BS47" i="95"/>
  <c r="BS45" i="95"/>
  <c r="BS33" i="95"/>
  <c r="BS63" i="95"/>
  <c r="BS46" i="95"/>
  <c r="BS84" i="95"/>
  <c r="BS57" i="95"/>
  <c r="BS68" i="95"/>
  <c r="BS92" i="95"/>
  <c r="BS79" i="95"/>
  <c r="BS86" i="95"/>
  <c r="BS90" i="95"/>
  <c r="BS24" i="95"/>
  <c r="BS28" i="95"/>
  <c r="BU7" i="95"/>
  <c r="BT8" i="95"/>
  <c r="BT91" i="95" s="1"/>
  <c r="BS35" i="95"/>
  <c r="BS40" i="95"/>
  <c r="BS31" i="95"/>
  <c r="BS48" i="95"/>
  <c r="BS73" i="95"/>
  <c r="BS66" i="95"/>
  <c r="BS83" i="95"/>
  <c r="BS53" i="95"/>
  <c r="BS91" i="95"/>
  <c r="BS93" i="95"/>
  <c r="BS96" i="95"/>
  <c r="BS41" i="95"/>
  <c r="BS64" i="95"/>
  <c r="BR18" i="59" l="1"/>
  <c r="BR23" i="59"/>
  <c r="BR26" i="59"/>
  <c r="BR39" i="59"/>
  <c r="BR44" i="59"/>
  <c r="BR69" i="59"/>
  <c r="BR93" i="59"/>
  <c r="BR48" i="59"/>
  <c r="BR15" i="59"/>
  <c r="BR37" i="59"/>
  <c r="BR40" i="59"/>
  <c r="BR27" i="59"/>
  <c r="BR49" i="59"/>
  <c r="BR74" i="59"/>
  <c r="BR42" i="59"/>
  <c r="BR30" i="59"/>
  <c r="BR57" i="59"/>
  <c r="BR29" i="59"/>
  <c r="BR20" i="59"/>
  <c r="BR41" i="59"/>
  <c r="BR56" i="59"/>
  <c r="BR61" i="59"/>
  <c r="BR78" i="59"/>
  <c r="BR25" i="59"/>
  <c r="BR71" i="59"/>
  <c r="BR97" i="59"/>
  <c r="BR38" i="59"/>
  <c r="BR24" i="59"/>
  <c r="BR28" i="59"/>
  <c r="BR34" i="59"/>
  <c r="BR58" i="59"/>
  <c r="BR77" i="59"/>
  <c r="BR95" i="59"/>
  <c r="BR13" i="59"/>
  <c r="BR12" i="59"/>
  <c r="BR31" i="59"/>
  <c r="BR46" i="59"/>
  <c r="BR62" i="59"/>
  <c r="BR82" i="59"/>
  <c r="BR89" i="59"/>
  <c r="BR67" i="59"/>
  <c r="BR70" i="59"/>
  <c r="BR55" i="59"/>
  <c r="BR60" i="59"/>
  <c r="BR85" i="59"/>
  <c r="BR96" i="59"/>
  <c r="BS68" i="59"/>
  <c r="BS70" i="59"/>
  <c r="BS52" i="59"/>
  <c r="BT7" i="59"/>
  <c r="BS8" i="59"/>
  <c r="BS88" i="59" s="1"/>
  <c r="BS29" i="59"/>
  <c r="BR59" i="59"/>
  <c r="BR72" i="59"/>
  <c r="BR86" i="59"/>
  <c r="BR92" i="59"/>
  <c r="BR90" i="59"/>
  <c r="BR66" i="59"/>
  <c r="BR33" i="59"/>
  <c r="BR22" i="59"/>
  <c r="BR36" i="59"/>
  <c r="BR79" i="59"/>
  <c r="BR64" i="59"/>
  <c r="BR80" i="59"/>
  <c r="BR81" i="59"/>
  <c r="BR94" i="59"/>
  <c r="BR14" i="59"/>
  <c r="BR11" i="59"/>
  <c r="BR45" i="59"/>
  <c r="BR35" i="59"/>
  <c r="BR52" i="59"/>
  <c r="BR47" i="59"/>
  <c r="BR68" i="59"/>
  <c r="BR53" i="59"/>
  <c r="BR84" i="59"/>
  <c r="BR91" i="59"/>
  <c r="BR16" i="59"/>
  <c r="BR17" i="59"/>
  <c r="BR19" i="59"/>
  <c r="BR51" i="59"/>
  <c r="BR63" i="59"/>
  <c r="BR50" i="59"/>
  <c r="BR75" i="59"/>
  <c r="BR73" i="59"/>
  <c r="BR83" i="59"/>
  <c r="BR11" i="113"/>
  <c r="BR25" i="113"/>
  <c r="BR74" i="113"/>
  <c r="BR18" i="113"/>
  <c r="BR29" i="113"/>
  <c r="BR61" i="113"/>
  <c r="BR56" i="113"/>
  <c r="BR72" i="113"/>
  <c r="BR80" i="113"/>
  <c r="BR95" i="113"/>
  <c r="BR93" i="113"/>
  <c r="BR12" i="113"/>
  <c r="BR34" i="113"/>
  <c r="BR17" i="113"/>
  <c r="BR36" i="113"/>
  <c r="BR38" i="113"/>
  <c r="BR28" i="113"/>
  <c r="BR48" i="113"/>
  <c r="BR60" i="113"/>
  <c r="BR83" i="113"/>
  <c r="BR78" i="113"/>
  <c r="BR90" i="113"/>
  <c r="BR69" i="113"/>
  <c r="BR85" i="113"/>
  <c r="BR89" i="113"/>
  <c r="BR50" i="113"/>
  <c r="BR23" i="113"/>
  <c r="BR55" i="113"/>
  <c r="BR53" i="113"/>
  <c r="BR46" i="113"/>
  <c r="BR67" i="113"/>
  <c r="BR73" i="113"/>
  <c r="BR79" i="113"/>
  <c r="BR97" i="113"/>
  <c r="BR16" i="113"/>
  <c r="BR64" i="113"/>
  <c r="BR19" i="113"/>
  <c r="BR20" i="113"/>
  <c r="BR44" i="113"/>
  <c r="BR52" i="113"/>
  <c r="BR62" i="113"/>
  <c r="BR92" i="113"/>
  <c r="BR86" i="113"/>
  <c r="BR94" i="113"/>
  <c r="BR13" i="113"/>
  <c r="BR15" i="113"/>
  <c r="BR45" i="113"/>
  <c r="BR27" i="113"/>
  <c r="BR71" i="113"/>
  <c r="BR70" i="113"/>
  <c r="BR77" i="113"/>
  <c r="BR82" i="113"/>
  <c r="BR75" i="113"/>
  <c r="BR91" i="113"/>
  <c r="BS96" i="113"/>
  <c r="BS81" i="113"/>
  <c r="BS80" i="113"/>
  <c r="BS55" i="113"/>
  <c r="BS56" i="113"/>
  <c r="BS31" i="113"/>
  <c r="BS24" i="113"/>
  <c r="BS39" i="113"/>
  <c r="BS30" i="113"/>
  <c r="BS35" i="113"/>
  <c r="BS8" i="113"/>
  <c r="BS88" i="113" s="1"/>
  <c r="BT7" i="113"/>
  <c r="BS11" i="113"/>
  <c r="BR24" i="113"/>
  <c r="BR57" i="113"/>
  <c r="BR35" i="113"/>
  <c r="BR40" i="113"/>
  <c r="BR42" i="113"/>
  <c r="BR58" i="113"/>
  <c r="BR59" i="113"/>
  <c r="BR84" i="113"/>
  <c r="BS12" i="111"/>
  <c r="BS47" i="111"/>
  <c r="BS53" i="111"/>
  <c r="BS52" i="111"/>
  <c r="BS51" i="111"/>
  <c r="BS86" i="111"/>
  <c r="BS69" i="111"/>
  <c r="BS91" i="111"/>
  <c r="BS13" i="111"/>
  <c r="BS19" i="111"/>
  <c r="BS15" i="111"/>
  <c r="BS81" i="111"/>
  <c r="BS20" i="111"/>
  <c r="BS67" i="111"/>
  <c r="BS84" i="111"/>
  <c r="BS61" i="111"/>
  <c r="BS62" i="111"/>
  <c r="BS90" i="111"/>
  <c r="BS93" i="111"/>
  <c r="BS25" i="111"/>
  <c r="BS23" i="111"/>
  <c r="BS26" i="111"/>
  <c r="BS24" i="111"/>
  <c r="BS29" i="111"/>
  <c r="BS64" i="111"/>
  <c r="BS63" i="111"/>
  <c r="BS70" i="111"/>
  <c r="BS40" i="111"/>
  <c r="BS95" i="111"/>
  <c r="BS46" i="111"/>
  <c r="BS11" i="111"/>
  <c r="BS18" i="111"/>
  <c r="BS36" i="111"/>
  <c r="BS50" i="111"/>
  <c r="BS41" i="111"/>
  <c r="BS68" i="111"/>
  <c r="BS80" i="111"/>
  <c r="BS58" i="111"/>
  <c r="BS89" i="111"/>
  <c r="BT96" i="111"/>
  <c r="BT97" i="111"/>
  <c r="BT92" i="111"/>
  <c r="BT95" i="111"/>
  <c r="BT86" i="111"/>
  <c r="BT78" i="111"/>
  <c r="BT72" i="111"/>
  <c r="BT61" i="111"/>
  <c r="BT52" i="111"/>
  <c r="BT44" i="111"/>
  <c r="BT93" i="111"/>
  <c r="BT71" i="111"/>
  <c r="BT82" i="111"/>
  <c r="BT73" i="111"/>
  <c r="BT67" i="111"/>
  <c r="BT66" i="111"/>
  <c r="BT63" i="111"/>
  <c r="BT60" i="111"/>
  <c r="BT55" i="111"/>
  <c r="BT68" i="111"/>
  <c r="BT77" i="111"/>
  <c r="BT74" i="111"/>
  <c r="BT56" i="111"/>
  <c r="BT89" i="111"/>
  <c r="BT69" i="111"/>
  <c r="BT50" i="111"/>
  <c r="BT47" i="111"/>
  <c r="BT64" i="111"/>
  <c r="BT90" i="111"/>
  <c r="BT46" i="111"/>
  <c r="BT39" i="111"/>
  <c r="BT70" i="111"/>
  <c r="BT80" i="111"/>
  <c r="BT59" i="111"/>
  <c r="BT49" i="111"/>
  <c r="BT33" i="111"/>
  <c r="BT83" i="111"/>
  <c r="BT27" i="111"/>
  <c r="BT38" i="111"/>
  <c r="BT34" i="111"/>
  <c r="BT25" i="111"/>
  <c r="BT62" i="111"/>
  <c r="BT26" i="111"/>
  <c r="BT15" i="111"/>
  <c r="BT13" i="111"/>
  <c r="BT35" i="111"/>
  <c r="BT31" i="111"/>
  <c r="BT18" i="111"/>
  <c r="BT8" i="111"/>
  <c r="BT88" i="111" s="1"/>
  <c r="BT23" i="111"/>
  <c r="BT16" i="111"/>
  <c r="BU7" i="111"/>
  <c r="BT48" i="111"/>
  <c r="BT41" i="111"/>
  <c r="BT28" i="111"/>
  <c r="BT12" i="111"/>
  <c r="BT45" i="111"/>
  <c r="BT40" i="111"/>
  <c r="BT30" i="111"/>
  <c r="BT29" i="111"/>
  <c r="BT14" i="111"/>
  <c r="BT20" i="111"/>
  <c r="BT11" i="111"/>
  <c r="BS14" i="111"/>
  <c r="BS75" i="111"/>
  <c r="BS35" i="111"/>
  <c r="BS42" i="111"/>
  <c r="BS73" i="111"/>
  <c r="BS45" i="111"/>
  <c r="BS85" i="111"/>
  <c r="BS72" i="111"/>
  <c r="BS66" i="111"/>
  <c r="BR18" i="109"/>
  <c r="BR13" i="109"/>
  <c r="BR27" i="109"/>
  <c r="BR45" i="109"/>
  <c r="BR44" i="109"/>
  <c r="BR34" i="109"/>
  <c r="BR61" i="109"/>
  <c r="BR55" i="109"/>
  <c r="BR80" i="109"/>
  <c r="BR95" i="109"/>
  <c r="BR40" i="109"/>
  <c r="BR23" i="109"/>
  <c r="BR82" i="109"/>
  <c r="BR71" i="109"/>
  <c r="BR50" i="109"/>
  <c r="BR49" i="109"/>
  <c r="BR56" i="109"/>
  <c r="BR62" i="109"/>
  <c r="BR75" i="109"/>
  <c r="BR91" i="109"/>
  <c r="BR64" i="109"/>
  <c r="BR41" i="109"/>
  <c r="BR48" i="109"/>
  <c r="BR38" i="109"/>
  <c r="BR19" i="109"/>
  <c r="BR57" i="109"/>
  <c r="BR60" i="109"/>
  <c r="BR66" i="109"/>
  <c r="BR83" i="109"/>
  <c r="BR88" i="109"/>
  <c r="BR20" i="109"/>
  <c r="BR85" i="109"/>
  <c r="BR52" i="109"/>
  <c r="BR33" i="109"/>
  <c r="BR28" i="109"/>
  <c r="BR63" i="109"/>
  <c r="BR89" i="109"/>
  <c r="BR69" i="109"/>
  <c r="BR84" i="109"/>
  <c r="BR96" i="109"/>
  <c r="BR14" i="109"/>
  <c r="BS97" i="109"/>
  <c r="BT7" i="109"/>
  <c r="BS8" i="109"/>
  <c r="BS95" i="109" s="1"/>
  <c r="BR11" i="109"/>
  <c r="BR24" i="109"/>
  <c r="BR17" i="109"/>
  <c r="BR37" i="109"/>
  <c r="BR79" i="109"/>
  <c r="BR58" i="109"/>
  <c r="BR72" i="109"/>
  <c r="BR97" i="109"/>
  <c r="BR93" i="109"/>
  <c r="BR15" i="109"/>
  <c r="BR39" i="109"/>
  <c r="BR31" i="109"/>
  <c r="BR26" i="109"/>
  <c r="BR16" i="109"/>
  <c r="BR46" i="109"/>
  <c r="BR68" i="109"/>
  <c r="BR74" i="109"/>
  <c r="BR81" i="109"/>
  <c r="BS45" i="107"/>
  <c r="BS37" i="107"/>
  <c r="BS56" i="107"/>
  <c r="BS42" i="107"/>
  <c r="BS80" i="107"/>
  <c r="BS44" i="107"/>
  <c r="BS78" i="107"/>
  <c r="BS84" i="107"/>
  <c r="BS91" i="107"/>
  <c r="BS22" i="107"/>
  <c r="BS53" i="107"/>
  <c r="BT88" i="107"/>
  <c r="BT94" i="107"/>
  <c r="BT89" i="107"/>
  <c r="BT90" i="107"/>
  <c r="BT79" i="107"/>
  <c r="BT68" i="107"/>
  <c r="BT84" i="107"/>
  <c r="BT69" i="107"/>
  <c r="BT66" i="107"/>
  <c r="BT52" i="107"/>
  <c r="BT83" i="107"/>
  <c r="BT47" i="107"/>
  <c r="BT57" i="107"/>
  <c r="BT41" i="107"/>
  <c r="BT53" i="107"/>
  <c r="BT60" i="107"/>
  <c r="BT46" i="107"/>
  <c r="BT61" i="107"/>
  <c r="BT56" i="107"/>
  <c r="BT59" i="107"/>
  <c r="BT40" i="107"/>
  <c r="BT23" i="107"/>
  <c r="BT36" i="107"/>
  <c r="BT17" i="107"/>
  <c r="BT31" i="107"/>
  <c r="BT12" i="107"/>
  <c r="BT48" i="107"/>
  <c r="BT30" i="107"/>
  <c r="BT25" i="107"/>
  <c r="BT13" i="107"/>
  <c r="BU7" i="107"/>
  <c r="BT8" i="107"/>
  <c r="BT92" i="107" s="1"/>
  <c r="BT16" i="107"/>
  <c r="BS26" i="107"/>
  <c r="BS16" i="107"/>
  <c r="BS34" i="107"/>
  <c r="BS38" i="107"/>
  <c r="BS62" i="107"/>
  <c r="BS82" i="107"/>
  <c r="BS86" i="107"/>
  <c r="BS96" i="107"/>
  <c r="BS15" i="107"/>
  <c r="BS13" i="107"/>
  <c r="BS14" i="107"/>
  <c r="BS36" i="107"/>
  <c r="BS25" i="107"/>
  <c r="BS60" i="107"/>
  <c r="BS47" i="107"/>
  <c r="BS66" i="107"/>
  <c r="BS77" i="107"/>
  <c r="BS95" i="107"/>
  <c r="BS93" i="107"/>
  <c r="BS39" i="107"/>
  <c r="BS12" i="107"/>
  <c r="BS51" i="107"/>
  <c r="BS23" i="107"/>
  <c r="BS40" i="107"/>
  <c r="BS61" i="107"/>
  <c r="BS52" i="107"/>
  <c r="BS68" i="107"/>
  <c r="BS64" i="107"/>
  <c r="BS92" i="107"/>
  <c r="BS67" i="107"/>
  <c r="BS20" i="107"/>
  <c r="BS24" i="107"/>
  <c r="BS19" i="107"/>
  <c r="BS69" i="107"/>
  <c r="BS74" i="107"/>
  <c r="BS81" i="107"/>
  <c r="BS55" i="107"/>
  <c r="BS73" i="107"/>
  <c r="BS89" i="107"/>
  <c r="BS11" i="107"/>
  <c r="BS27" i="107"/>
  <c r="BS30" i="107"/>
  <c r="BS28" i="107"/>
  <c r="BS63" i="107"/>
  <c r="BS50" i="107"/>
  <c r="BS85" i="107"/>
  <c r="BS70" i="107"/>
  <c r="BS90" i="107"/>
  <c r="BS97" i="107"/>
  <c r="BS17" i="107"/>
  <c r="BS33" i="107"/>
  <c r="BS31" i="107"/>
  <c r="BS41" i="107"/>
  <c r="BS79" i="107"/>
  <c r="BS57" i="107"/>
  <c r="BS35" i="107"/>
  <c r="BS71" i="107"/>
  <c r="BS75" i="107"/>
  <c r="BS23" i="105"/>
  <c r="BS39" i="105"/>
  <c r="BS34" i="105"/>
  <c r="BS57" i="105"/>
  <c r="BS68" i="105"/>
  <c r="BS67" i="105"/>
  <c r="BS83" i="105"/>
  <c r="BS88" i="105"/>
  <c r="BT92" i="105"/>
  <c r="BT79" i="105"/>
  <c r="BT56" i="105"/>
  <c r="BT63" i="105"/>
  <c r="BT46" i="105"/>
  <c r="BT37" i="105"/>
  <c r="BT77" i="105"/>
  <c r="BT59" i="105"/>
  <c r="BT52" i="105"/>
  <c r="BT30" i="105"/>
  <c r="BT53" i="105"/>
  <c r="BT38" i="105"/>
  <c r="BT33" i="105"/>
  <c r="BT12" i="105"/>
  <c r="BT18" i="105"/>
  <c r="BT44" i="105"/>
  <c r="BT8" i="105"/>
  <c r="BT96" i="105" s="1"/>
  <c r="BT34" i="105"/>
  <c r="BT27" i="105"/>
  <c r="BT25" i="105"/>
  <c r="BU7" i="105"/>
  <c r="BT31" i="105"/>
  <c r="BT23" i="105"/>
  <c r="BT22" i="105"/>
  <c r="BS60" i="105"/>
  <c r="BS82" i="105"/>
  <c r="BS78" i="105"/>
  <c r="BS80" i="105"/>
  <c r="BS96" i="105"/>
  <c r="BS22" i="105"/>
  <c r="BS26" i="105"/>
  <c r="BS29" i="105"/>
  <c r="BS72" i="105"/>
  <c r="BS51" i="105"/>
  <c r="BS66" i="105"/>
  <c r="BS64" i="105"/>
  <c r="BS79" i="105"/>
  <c r="BS95" i="105"/>
  <c r="BS15" i="103"/>
  <c r="BS22" i="103"/>
  <c r="BS17" i="103"/>
  <c r="BS60" i="103"/>
  <c r="BS41" i="103"/>
  <c r="BS61" i="103"/>
  <c r="BS48" i="103"/>
  <c r="BS74" i="103"/>
  <c r="BS63" i="103"/>
  <c r="BS86" i="103"/>
  <c r="BS96" i="103"/>
  <c r="BS12" i="103"/>
  <c r="BS28" i="103"/>
  <c r="BS24" i="103"/>
  <c r="BS42" i="103"/>
  <c r="BS50" i="103"/>
  <c r="BS37" i="103"/>
  <c r="BS66" i="103"/>
  <c r="BS80" i="103"/>
  <c r="BS72" i="103"/>
  <c r="BS95" i="103"/>
  <c r="BS93" i="103"/>
  <c r="BS53" i="103"/>
  <c r="BS39" i="103"/>
  <c r="BS88" i="103"/>
  <c r="BS30" i="103"/>
  <c r="BS33" i="103"/>
  <c r="BS45" i="103"/>
  <c r="BS20" i="103"/>
  <c r="BS34" i="103"/>
  <c r="BS46" i="103"/>
  <c r="BS68" i="103"/>
  <c r="BS71" i="103"/>
  <c r="BS85" i="103"/>
  <c r="BS92" i="103"/>
  <c r="BS14" i="103"/>
  <c r="BS27" i="103"/>
  <c r="BS58" i="103"/>
  <c r="BS67" i="103"/>
  <c r="BS78" i="103"/>
  <c r="BS38" i="103"/>
  <c r="BS11" i="103"/>
  <c r="BS25" i="103"/>
  <c r="BS29" i="103"/>
  <c r="BS44" i="103"/>
  <c r="BS55" i="103"/>
  <c r="BS56" i="103"/>
  <c r="BS64" i="103"/>
  <c r="BS82" i="103"/>
  <c r="BS89" i="103"/>
  <c r="BS23" i="103"/>
  <c r="BS13" i="103"/>
  <c r="BS35" i="103"/>
  <c r="BS36" i="103"/>
  <c r="BS52" i="103"/>
  <c r="BS57" i="103"/>
  <c r="BS59" i="103"/>
  <c r="BS73" i="103"/>
  <c r="BS79" i="103"/>
  <c r="BS97" i="103"/>
  <c r="BT96" i="103"/>
  <c r="BT88" i="103"/>
  <c r="BT91" i="103"/>
  <c r="BT94" i="103"/>
  <c r="BT86" i="103"/>
  <c r="BT90" i="103"/>
  <c r="BT81" i="103"/>
  <c r="BT84" i="103"/>
  <c r="BT85" i="103"/>
  <c r="BT83" i="103"/>
  <c r="BT67" i="103"/>
  <c r="BT58" i="103"/>
  <c r="BT73" i="103"/>
  <c r="BT68" i="103"/>
  <c r="BT75" i="103"/>
  <c r="BT74" i="103"/>
  <c r="BT93" i="103"/>
  <c r="BT59" i="103"/>
  <c r="BT71" i="103"/>
  <c r="BT61" i="103"/>
  <c r="BT69" i="103"/>
  <c r="BT66" i="103"/>
  <c r="BT51" i="103"/>
  <c r="BT57" i="103"/>
  <c r="BT55" i="103"/>
  <c r="BT49" i="103"/>
  <c r="BT40" i="103"/>
  <c r="BT62" i="103"/>
  <c r="BT52" i="103"/>
  <c r="BT48" i="103"/>
  <c r="BT37" i="103"/>
  <c r="BT41" i="103"/>
  <c r="BT38" i="103"/>
  <c r="BT35" i="103"/>
  <c r="BT60" i="103"/>
  <c r="BT36" i="103"/>
  <c r="BT72" i="103"/>
  <c r="BT39" i="103"/>
  <c r="BT29" i="103"/>
  <c r="BT24" i="103"/>
  <c r="BT44" i="103"/>
  <c r="BT30" i="103"/>
  <c r="BT22" i="103"/>
  <c r="BT28" i="103"/>
  <c r="BT31" i="103"/>
  <c r="BT19" i="103"/>
  <c r="BT13" i="103"/>
  <c r="BT27" i="103"/>
  <c r="BT20" i="103"/>
  <c r="BT11" i="103"/>
  <c r="BU7" i="103"/>
  <c r="BT14" i="103"/>
  <c r="BT16" i="103"/>
  <c r="BT12" i="103"/>
  <c r="BT25" i="103"/>
  <c r="BT8" i="103"/>
  <c r="BT97" i="103" s="1"/>
  <c r="BT17" i="103"/>
  <c r="BT15" i="103"/>
  <c r="BS16" i="103"/>
  <c r="BS19" i="103"/>
  <c r="BS40" i="103"/>
  <c r="BS26" i="103"/>
  <c r="BS62" i="103"/>
  <c r="BS51" i="103"/>
  <c r="BS75" i="103"/>
  <c r="BS70" i="103"/>
  <c r="BS84" i="103"/>
  <c r="BR20" i="101"/>
  <c r="BR28" i="101"/>
  <c r="BR45" i="101"/>
  <c r="BR33" i="101"/>
  <c r="BR40" i="101"/>
  <c r="BR51" i="101"/>
  <c r="BR60" i="101"/>
  <c r="BR73" i="101"/>
  <c r="BR86" i="101"/>
  <c r="BR93" i="101"/>
  <c r="BR18" i="101"/>
  <c r="BR16" i="101"/>
  <c r="BR23" i="101"/>
  <c r="BR31" i="101"/>
  <c r="BR48" i="101"/>
  <c r="BR61" i="101"/>
  <c r="BR59" i="101"/>
  <c r="BR66" i="101"/>
  <c r="BR83" i="101"/>
  <c r="BR89" i="101"/>
  <c r="BR17" i="101"/>
  <c r="BR13" i="101"/>
  <c r="BR26" i="101"/>
  <c r="BR35" i="101"/>
  <c r="BR41" i="101"/>
  <c r="BR77" i="101"/>
  <c r="BR82" i="101"/>
  <c r="BR53" i="101"/>
  <c r="BR72" i="101"/>
  <c r="BR97" i="101"/>
  <c r="BS89" i="101"/>
  <c r="BS83" i="101"/>
  <c r="BS57" i="101"/>
  <c r="BS58" i="101"/>
  <c r="BS61" i="101"/>
  <c r="BS38" i="101"/>
  <c r="BS25" i="101"/>
  <c r="BS26" i="101"/>
  <c r="BS19" i="101"/>
  <c r="BT7" i="101"/>
  <c r="BS17" i="101"/>
  <c r="BS8" i="101"/>
  <c r="BS88" i="101" s="1"/>
  <c r="BR22" i="101"/>
  <c r="BR34" i="101"/>
  <c r="BR57" i="101"/>
  <c r="BR50" i="101"/>
  <c r="BR46" i="101"/>
  <c r="BR67" i="101"/>
  <c r="BR62" i="101"/>
  <c r="BR75" i="101"/>
  <c r="BR94" i="101"/>
  <c r="BR14" i="101"/>
  <c r="BR29" i="101"/>
  <c r="BR19" i="101"/>
  <c r="BR30" i="101"/>
  <c r="BR55" i="101"/>
  <c r="BR52" i="101"/>
  <c r="BR79" i="101"/>
  <c r="BR70" i="101"/>
  <c r="BR84" i="101"/>
  <c r="BR91" i="101"/>
  <c r="BR24" i="101"/>
  <c r="BR37" i="101"/>
  <c r="BR25" i="101"/>
  <c r="BR27" i="101"/>
  <c r="BR58" i="101"/>
  <c r="BR64" i="101"/>
  <c r="BR63" i="101"/>
  <c r="BR80" i="101"/>
  <c r="BR81" i="101"/>
  <c r="BR88" i="101"/>
  <c r="BR11" i="101"/>
  <c r="BR44" i="101"/>
  <c r="BR74" i="101"/>
  <c r="BR38" i="101"/>
  <c r="BR68" i="101"/>
  <c r="BR42" i="101"/>
  <c r="BR71" i="101"/>
  <c r="BR92" i="101"/>
  <c r="BR78" i="101"/>
  <c r="BS91" i="99"/>
  <c r="BS94" i="99"/>
  <c r="BS89" i="99"/>
  <c r="BS92" i="99"/>
  <c r="BS77" i="99"/>
  <c r="BS68" i="99"/>
  <c r="BS71" i="99"/>
  <c r="BS83" i="99"/>
  <c r="BS81" i="99"/>
  <c r="BS72" i="99"/>
  <c r="BS84" i="99"/>
  <c r="BS75" i="99"/>
  <c r="BS67" i="99"/>
  <c r="BS48" i="99"/>
  <c r="BS60" i="99"/>
  <c r="BS55" i="99"/>
  <c r="BS82" i="99"/>
  <c r="BS90" i="99"/>
  <c r="BS50" i="99"/>
  <c r="BS46" i="99"/>
  <c r="BS40" i="99"/>
  <c r="BS59" i="99"/>
  <c r="BS44" i="99"/>
  <c r="BS47" i="99"/>
  <c r="BS41" i="99"/>
  <c r="BS73" i="99"/>
  <c r="BS63" i="99"/>
  <c r="BS62" i="99"/>
  <c r="BS58" i="99"/>
  <c r="BS37" i="99"/>
  <c r="BS36" i="99"/>
  <c r="BS35" i="99"/>
  <c r="BS31" i="99"/>
  <c r="BS45" i="99"/>
  <c r="BS25" i="99"/>
  <c r="BS20" i="99"/>
  <c r="BS13" i="99"/>
  <c r="BT7" i="99"/>
  <c r="BS30" i="99"/>
  <c r="BS27" i="99"/>
  <c r="BS11" i="99"/>
  <c r="BS14" i="99"/>
  <c r="BS56" i="99"/>
  <c r="BS34" i="99"/>
  <c r="BS12" i="99"/>
  <c r="BS24" i="99"/>
  <c r="BS18" i="99"/>
  <c r="BS17" i="99"/>
  <c r="BS8" i="99"/>
  <c r="BS93" i="99" s="1"/>
  <c r="BR26" i="99"/>
  <c r="BR48" i="99"/>
  <c r="BR75" i="99"/>
  <c r="BR60" i="99"/>
  <c r="BR72" i="99"/>
  <c r="BR80" i="99"/>
  <c r="BR92" i="99"/>
  <c r="BR90" i="99"/>
  <c r="BR14" i="99"/>
  <c r="BR27" i="99"/>
  <c r="BR18" i="99"/>
  <c r="BR19" i="99"/>
  <c r="BR49" i="99"/>
  <c r="BR40" i="99"/>
  <c r="BR67" i="99"/>
  <c r="BR81" i="99"/>
  <c r="BR68" i="99"/>
  <c r="BR89" i="99"/>
  <c r="BR30" i="99"/>
  <c r="BR24" i="99"/>
  <c r="BR28" i="99"/>
  <c r="BR70" i="99"/>
  <c r="BR46" i="99"/>
  <c r="BR57" i="99"/>
  <c r="BR86" i="99"/>
  <c r="BR77" i="99"/>
  <c r="BR18" i="97"/>
  <c r="BR40" i="97"/>
  <c r="BR28" i="97"/>
  <c r="BR57" i="97"/>
  <c r="BR61" i="97"/>
  <c r="BR55" i="97"/>
  <c r="BR81" i="97"/>
  <c r="BR77" i="97"/>
  <c r="BR80" i="97"/>
  <c r="BR97" i="97"/>
  <c r="BR12" i="97"/>
  <c r="BR22" i="97"/>
  <c r="BR37" i="97"/>
  <c r="BR69" i="97"/>
  <c r="BR75" i="97"/>
  <c r="BR52" i="97"/>
  <c r="BR86" i="97"/>
  <c r="BR56" i="97"/>
  <c r="BR85" i="97"/>
  <c r="BR94" i="97"/>
  <c r="BR19" i="97"/>
  <c r="BR26" i="97"/>
  <c r="BR39" i="97"/>
  <c r="BR38" i="97"/>
  <c r="BR49" i="97"/>
  <c r="BR60" i="97"/>
  <c r="BR79" i="97"/>
  <c r="BR67" i="97"/>
  <c r="BR64" i="97"/>
  <c r="BR91" i="97"/>
  <c r="BR33" i="97"/>
  <c r="BS93" i="97"/>
  <c r="BS88" i="97"/>
  <c r="BS94" i="97"/>
  <c r="BS95" i="97"/>
  <c r="BS85" i="97"/>
  <c r="BS68" i="97"/>
  <c r="BS66" i="97"/>
  <c r="BS69" i="97"/>
  <c r="BS59" i="97"/>
  <c r="BS79" i="97"/>
  <c r="BS57" i="97"/>
  <c r="BS70" i="97"/>
  <c r="BS71" i="97"/>
  <c r="BS82" i="97"/>
  <c r="BS47" i="97"/>
  <c r="BS39" i="97"/>
  <c r="BS37" i="97"/>
  <c r="BS40" i="97"/>
  <c r="BS38" i="97"/>
  <c r="BS11" i="97"/>
  <c r="BS23" i="97"/>
  <c r="BS41" i="97"/>
  <c r="BS44" i="97"/>
  <c r="BS26" i="97"/>
  <c r="BS35" i="97"/>
  <c r="BS60" i="97"/>
  <c r="BS18" i="97"/>
  <c r="BS16" i="97"/>
  <c r="BS14" i="97"/>
  <c r="BS15" i="97"/>
  <c r="BS8" i="97"/>
  <c r="BS96" i="97" s="1"/>
  <c r="BS20" i="97"/>
  <c r="BT7" i="97"/>
  <c r="BR16" i="97"/>
  <c r="BR34" i="97"/>
  <c r="BR46" i="97"/>
  <c r="BR62" i="97"/>
  <c r="BR78" i="97"/>
  <c r="BR73" i="97"/>
  <c r="BR88" i="97"/>
  <c r="BR11" i="97"/>
  <c r="BR35" i="97"/>
  <c r="BR14" i="97"/>
  <c r="BR25" i="97"/>
  <c r="BR48" i="97"/>
  <c r="BR70" i="97"/>
  <c r="BR68" i="97"/>
  <c r="BR66" i="97"/>
  <c r="BR82" i="97"/>
  <c r="BR96" i="97"/>
  <c r="BR20" i="97"/>
  <c r="BR24" i="97"/>
  <c r="BR13" i="97"/>
  <c r="BR23" i="97"/>
  <c r="BR47" i="97"/>
  <c r="BR63" i="97"/>
  <c r="BR42" i="97"/>
  <c r="BR84" i="97"/>
  <c r="BR74" i="97"/>
  <c r="BR95" i="97"/>
  <c r="BR93" i="97"/>
  <c r="BR31" i="97"/>
  <c r="BR30" i="97"/>
  <c r="BR17" i="97"/>
  <c r="BR29" i="97"/>
  <c r="BR50" i="97"/>
  <c r="BR27" i="97"/>
  <c r="BR51" i="97"/>
  <c r="BR59" i="97"/>
  <c r="BR83" i="97"/>
  <c r="BR92" i="97"/>
  <c r="BT15" i="95"/>
  <c r="BT82" i="95"/>
  <c r="BT33" i="95"/>
  <c r="BT18" i="95"/>
  <c r="BT36" i="95"/>
  <c r="BT24" i="95"/>
  <c r="BT67" i="95"/>
  <c r="BT58" i="95"/>
  <c r="BT16" i="95"/>
  <c r="BT83" i="95"/>
  <c r="BT40" i="95"/>
  <c r="BT70" i="95"/>
  <c r="BT89" i="95"/>
  <c r="BT55" i="95"/>
  <c r="BT28" i="95"/>
  <c r="BT60" i="95"/>
  <c r="BT74" i="95"/>
  <c r="BT49" i="95"/>
  <c r="BT97" i="95"/>
  <c r="BT96" i="95"/>
  <c r="BT42" i="95"/>
  <c r="BT20" i="95"/>
  <c r="BT64" i="95"/>
  <c r="BT68" i="95"/>
  <c r="BT72" i="95"/>
  <c r="BT71" i="95"/>
  <c r="BT95" i="95"/>
  <c r="BT22" i="95"/>
  <c r="BT13" i="95"/>
  <c r="BT23" i="95"/>
  <c r="BT47" i="95"/>
  <c r="BT69" i="95"/>
  <c r="BT81" i="95"/>
  <c r="BT78" i="95"/>
  <c r="BT26" i="95"/>
  <c r="BT11" i="95"/>
  <c r="BT25" i="95"/>
  <c r="BT37" i="95"/>
  <c r="BT85" i="95"/>
  <c r="BT59" i="95"/>
  <c r="BT92" i="95"/>
  <c r="BT19" i="95"/>
  <c r="BT27" i="95"/>
  <c r="BT31" i="95"/>
  <c r="BT62" i="95"/>
  <c r="BT41" i="95"/>
  <c r="BT66" i="95"/>
  <c r="BT80" i="95"/>
  <c r="BT29" i="95"/>
  <c r="BT38" i="95"/>
  <c r="BT50" i="95"/>
  <c r="BT48" i="95"/>
  <c r="BT73" i="95"/>
  <c r="BT86" i="95"/>
  <c r="BT46" i="95"/>
  <c r="BT14" i="95"/>
  <c r="BT35" i="95"/>
  <c r="BT44" i="95"/>
  <c r="BT12" i="95"/>
  <c r="BT51" i="95"/>
  <c r="BT30" i="95"/>
  <c r="BT57" i="95"/>
  <c r="BT79" i="95"/>
  <c r="BT56" i="95"/>
  <c r="BT63" i="95"/>
  <c r="BT88" i="95"/>
  <c r="BT94" i="95"/>
  <c r="BT93" i="95"/>
  <c r="BV7" i="95"/>
  <c r="BU8" i="95"/>
  <c r="BU95" i="95" s="1"/>
  <c r="BT17" i="95"/>
  <c r="BT34" i="95"/>
  <c r="BT45" i="95"/>
  <c r="BT39" i="95"/>
  <c r="BT61" i="95"/>
  <c r="BT52" i="95"/>
  <c r="BT77" i="95"/>
  <c r="BT53" i="95"/>
  <c r="BT90" i="95"/>
  <c r="BT75" i="95"/>
  <c r="BT84" i="95"/>
  <c r="BS33" i="59" l="1"/>
  <c r="BS46" i="59"/>
  <c r="BS92" i="59"/>
  <c r="BS15" i="59"/>
  <c r="BS53" i="59"/>
  <c r="BS93" i="59"/>
  <c r="BS26" i="59"/>
  <c r="BS71" i="59"/>
  <c r="BS34" i="59"/>
  <c r="BS63" i="59"/>
  <c r="BS13" i="59"/>
  <c r="BS38" i="59"/>
  <c r="BS50" i="59"/>
  <c r="BS82" i="59"/>
  <c r="BS25" i="59"/>
  <c r="BS69" i="59"/>
  <c r="BS95" i="59"/>
  <c r="BS35" i="59"/>
  <c r="BS20" i="59"/>
  <c r="BS24" i="59"/>
  <c r="BS16" i="59"/>
  <c r="BS60" i="59"/>
  <c r="BS47" i="59"/>
  <c r="BS67" i="59"/>
  <c r="BS64" i="59"/>
  <c r="BS79" i="59"/>
  <c r="BS86" i="59"/>
  <c r="BS96" i="59"/>
  <c r="BT66" i="59"/>
  <c r="BU7" i="59"/>
  <c r="BT8" i="59"/>
  <c r="BT89" i="59" s="1"/>
  <c r="BT38" i="59"/>
  <c r="BS23" i="59"/>
  <c r="BS40" i="59"/>
  <c r="BS30" i="59"/>
  <c r="BS44" i="59"/>
  <c r="BS73" i="59"/>
  <c r="BS77" i="59"/>
  <c r="BS72" i="59"/>
  <c r="BS89" i="59"/>
  <c r="BS22" i="59"/>
  <c r="BS11" i="59"/>
  <c r="BS36" i="59"/>
  <c r="BS41" i="59"/>
  <c r="BS39" i="59"/>
  <c r="BS55" i="59"/>
  <c r="BS56" i="59"/>
  <c r="BS83" i="59"/>
  <c r="BS85" i="59"/>
  <c r="BS97" i="59"/>
  <c r="BS12" i="59"/>
  <c r="BS17" i="59"/>
  <c r="BS49" i="59"/>
  <c r="BS48" i="59"/>
  <c r="BS45" i="59"/>
  <c r="BS59" i="59"/>
  <c r="BS81" i="59"/>
  <c r="BS84" i="59"/>
  <c r="BS90" i="59"/>
  <c r="BS94" i="59"/>
  <c r="BS14" i="59"/>
  <c r="BS27" i="59"/>
  <c r="BS19" i="59"/>
  <c r="BS28" i="59"/>
  <c r="BS51" i="59"/>
  <c r="BS62" i="59"/>
  <c r="BS75" i="59"/>
  <c r="BS57" i="59"/>
  <c r="BS74" i="59"/>
  <c r="BS91" i="59"/>
  <c r="BS18" i="59"/>
  <c r="BS42" i="59"/>
  <c r="BS31" i="59"/>
  <c r="BS37" i="59"/>
  <c r="BS58" i="59"/>
  <c r="BS66" i="59"/>
  <c r="BS61" i="59"/>
  <c r="BS80" i="59"/>
  <c r="BS78" i="59"/>
  <c r="BS14" i="113"/>
  <c r="BS64" i="113"/>
  <c r="BS74" i="113"/>
  <c r="BS38" i="113"/>
  <c r="BS33" i="113"/>
  <c r="BS40" i="113"/>
  <c r="BS60" i="113"/>
  <c r="BS77" i="113"/>
  <c r="BS83" i="113"/>
  <c r="BS95" i="113"/>
  <c r="BS93" i="113"/>
  <c r="BT96" i="113"/>
  <c r="BT88" i="113"/>
  <c r="BT97" i="113"/>
  <c r="BT86" i="113"/>
  <c r="BT84" i="113"/>
  <c r="BT82" i="113"/>
  <c r="BT83" i="113"/>
  <c r="BT71" i="113"/>
  <c r="BT57" i="113"/>
  <c r="BT74" i="113"/>
  <c r="BT80" i="113"/>
  <c r="BT63" i="113"/>
  <c r="BT60" i="113"/>
  <c r="BT90" i="113"/>
  <c r="BT69" i="113"/>
  <c r="BT40" i="113"/>
  <c r="BT44" i="113"/>
  <c r="BT53" i="113"/>
  <c r="BT45" i="113"/>
  <c r="BT36" i="113"/>
  <c r="BT31" i="113"/>
  <c r="BT72" i="113"/>
  <c r="BT48" i="113"/>
  <c r="BT33" i="113"/>
  <c r="BT30" i="113"/>
  <c r="BT15" i="113"/>
  <c r="BT13" i="113"/>
  <c r="BT22" i="113"/>
  <c r="BT16" i="113"/>
  <c r="BT8" i="113"/>
  <c r="BT89" i="113" s="1"/>
  <c r="BT14" i="113"/>
  <c r="BT12" i="113"/>
  <c r="BU7" i="113"/>
  <c r="BS20" i="113"/>
  <c r="BS12" i="113"/>
  <c r="BS42" i="113"/>
  <c r="BS41" i="113"/>
  <c r="BS49" i="113"/>
  <c r="BS68" i="113"/>
  <c r="BS78" i="113"/>
  <c r="BS90" i="113"/>
  <c r="BS92" i="113"/>
  <c r="BS57" i="113"/>
  <c r="BS17" i="113"/>
  <c r="BS48" i="113"/>
  <c r="BS50" i="113"/>
  <c r="BS61" i="113"/>
  <c r="BS70" i="113"/>
  <c r="BS63" i="113"/>
  <c r="BS82" i="113"/>
  <c r="BS89" i="113"/>
  <c r="BS16" i="113"/>
  <c r="BS19" i="113"/>
  <c r="BS18" i="113"/>
  <c r="BS22" i="113"/>
  <c r="BS47" i="113"/>
  <c r="BS69" i="113"/>
  <c r="BS52" i="113"/>
  <c r="BS72" i="113"/>
  <c r="BS79" i="113"/>
  <c r="BS97" i="113"/>
  <c r="BS13" i="113"/>
  <c r="BS29" i="113"/>
  <c r="BS23" i="113"/>
  <c r="BS28" i="113"/>
  <c r="BS53" i="113"/>
  <c r="BS37" i="113"/>
  <c r="BS59" i="113"/>
  <c r="BS62" i="113"/>
  <c r="BS86" i="113"/>
  <c r="BS94" i="113"/>
  <c r="BS25" i="113"/>
  <c r="BS45" i="113"/>
  <c r="BS26" i="113"/>
  <c r="BS66" i="113"/>
  <c r="BS58" i="113"/>
  <c r="BS46" i="113"/>
  <c r="BS67" i="113"/>
  <c r="BS71" i="113"/>
  <c r="BS75" i="113"/>
  <c r="BS91" i="113"/>
  <c r="BS27" i="113"/>
  <c r="BS15" i="113"/>
  <c r="BS34" i="113"/>
  <c r="BS36" i="113"/>
  <c r="BS44" i="113"/>
  <c r="BS51" i="113"/>
  <c r="BS73" i="113"/>
  <c r="BS85" i="113"/>
  <c r="BS84" i="113"/>
  <c r="BU90" i="111"/>
  <c r="BU81" i="111"/>
  <c r="BU78" i="111"/>
  <c r="BU73" i="111"/>
  <c r="BU72" i="111"/>
  <c r="BU66" i="111"/>
  <c r="BU77" i="111"/>
  <c r="BU93" i="111"/>
  <c r="BU88" i="111"/>
  <c r="BU62" i="111"/>
  <c r="BU50" i="111"/>
  <c r="BU42" i="111"/>
  <c r="BU22" i="111"/>
  <c r="BU28" i="111"/>
  <c r="BU39" i="111"/>
  <c r="BU18" i="111"/>
  <c r="BU8" i="111"/>
  <c r="BU91" i="111" s="1"/>
  <c r="BU33" i="111"/>
  <c r="BU23" i="111"/>
  <c r="BU19" i="111"/>
  <c r="BU46" i="111"/>
  <c r="BU44" i="111"/>
  <c r="BU20" i="111"/>
  <c r="BU12" i="111"/>
  <c r="BU45" i="111"/>
  <c r="BU14" i="111"/>
  <c r="BU11" i="111"/>
  <c r="BU40" i="111"/>
  <c r="BU29" i="111"/>
  <c r="BU26" i="111"/>
  <c r="BV7" i="111"/>
  <c r="BT17" i="111"/>
  <c r="BT19" i="111"/>
  <c r="BT22" i="111"/>
  <c r="BT37" i="111"/>
  <c r="BT36" i="111"/>
  <c r="BT53" i="111"/>
  <c r="BT51" i="111"/>
  <c r="BT79" i="111"/>
  <c r="BT85" i="111"/>
  <c r="BT94" i="111"/>
  <c r="BT91" i="111"/>
  <c r="BT58" i="111"/>
  <c r="BT24" i="111"/>
  <c r="BT42" i="111"/>
  <c r="BT75" i="111"/>
  <c r="BT57" i="111"/>
  <c r="BT84" i="111"/>
  <c r="BT81" i="111"/>
  <c r="BS66" i="109"/>
  <c r="BS41" i="109"/>
  <c r="BS27" i="109"/>
  <c r="BS34" i="109"/>
  <c r="BS72" i="109"/>
  <c r="BS40" i="109"/>
  <c r="BS59" i="109"/>
  <c r="BS63" i="109"/>
  <c r="BS90" i="109"/>
  <c r="BS89" i="109"/>
  <c r="BS35" i="109"/>
  <c r="BS44" i="109"/>
  <c r="BS20" i="109"/>
  <c r="BS52" i="109"/>
  <c r="BS92" i="109"/>
  <c r="BS85" i="109"/>
  <c r="BS73" i="109"/>
  <c r="BS13" i="109"/>
  <c r="BS22" i="109"/>
  <c r="BS47" i="109"/>
  <c r="BS50" i="109"/>
  <c r="BS29" i="109"/>
  <c r="BS53" i="109"/>
  <c r="BS49" i="109"/>
  <c r="BS58" i="109"/>
  <c r="BS70" i="109"/>
  <c r="BS94" i="109"/>
  <c r="BT96" i="109"/>
  <c r="BT88" i="109"/>
  <c r="BT91" i="109"/>
  <c r="BT94" i="109"/>
  <c r="BT97" i="109"/>
  <c r="BT92" i="109"/>
  <c r="BT95" i="109"/>
  <c r="BT79" i="109"/>
  <c r="BT82" i="109"/>
  <c r="BT73" i="109"/>
  <c r="BT64" i="109"/>
  <c r="BT77" i="109"/>
  <c r="BT61" i="109"/>
  <c r="BT71" i="109"/>
  <c r="BT80" i="109"/>
  <c r="BT52" i="109"/>
  <c r="BT81" i="109"/>
  <c r="BT62" i="109"/>
  <c r="BT56" i="109"/>
  <c r="BT90" i="109"/>
  <c r="BT78" i="109"/>
  <c r="BT74" i="109"/>
  <c r="BT66" i="109"/>
  <c r="BT63" i="109"/>
  <c r="BT44" i="109"/>
  <c r="BT68" i="109"/>
  <c r="BT55" i="109"/>
  <c r="BT40" i="109"/>
  <c r="BT31" i="109"/>
  <c r="BT14" i="109"/>
  <c r="BT50" i="109"/>
  <c r="BT47" i="109"/>
  <c r="BT35" i="109"/>
  <c r="BT26" i="109"/>
  <c r="BT17" i="109"/>
  <c r="BT75" i="109"/>
  <c r="BT41" i="109"/>
  <c r="BT33" i="109"/>
  <c r="BT24" i="109"/>
  <c r="BT15" i="109"/>
  <c r="BT51" i="109"/>
  <c r="BT45" i="109"/>
  <c r="BT38" i="109"/>
  <c r="BT28" i="109"/>
  <c r="BT83" i="109"/>
  <c r="BT34" i="109"/>
  <c r="BT57" i="109"/>
  <c r="BT25" i="109"/>
  <c r="BT49" i="109"/>
  <c r="BT48" i="109"/>
  <c r="BT29" i="109"/>
  <c r="BT27" i="109"/>
  <c r="BT36" i="109"/>
  <c r="BT30" i="109"/>
  <c r="BT8" i="109"/>
  <c r="BT89" i="109" s="1"/>
  <c r="BT37" i="109"/>
  <c r="BU7" i="109"/>
  <c r="BT19" i="109"/>
  <c r="BT12" i="109"/>
  <c r="BT16" i="109"/>
  <c r="BT11" i="109"/>
  <c r="BT20" i="109"/>
  <c r="BT18" i="109"/>
  <c r="BT72" i="109"/>
  <c r="BT13" i="109"/>
  <c r="BS33" i="109"/>
  <c r="BS48" i="109"/>
  <c r="BS86" i="109"/>
  <c r="BS38" i="109"/>
  <c r="BS55" i="109"/>
  <c r="BS56" i="109"/>
  <c r="BS68" i="109"/>
  <c r="BS80" i="109"/>
  <c r="BS91" i="109"/>
  <c r="BS17" i="109"/>
  <c r="BS15" i="109"/>
  <c r="BS36" i="109"/>
  <c r="BS24" i="109"/>
  <c r="BS42" i="109"/>
  <c r="BS60" i="109"/>
  <c r="BS19" i="109"/>
  <c r="BS75" i="109"/>
  <c r="BS77" i="109"/>
  <c r="BS83" i="109"/>
  <c r="BS88" i="109"/>
  <c r="BS11" i="109"/>
  <c r="BS69" i="109"/>
  <c r="BS39" i="109"/>
  <c r="BS67" i="109"/>
  <c r="BS45" i="109"/>
  <c r="BS14" i="109"/>
  <c r="BS28" i="109"/>
  <c r="BS62" i="109"/>
  <c r="BS78" i="109"/>
  <c r="BS79" i="109"/>
  <c r="BS96" i="109"/>
  <c r="BS26" i="109"/>
  <c r="BS25" i="109"/>
  <c r="BS12" i="109"/>
  <c r="BS57" i="109"/>
  <c r="BS51" i="109"/>
  <c r="BS23" i="109"/>
  <c r="BS37" i="109"/>
  <c r="BS74" i="109"/>
  <c r="BS82" i="109"/>
  <c r="BS84" i="109"/>
  <c r="BS93" i="109"/>
  <c r="BS18" i="109"/>
  <c r="BS30" i="109"/>
  <c r="BS16" i="109"/>
  <c r="BS64" i="109"/>
  <c r="BS71" i="109"/>
  <c r="BS31" i="109"/>
  <c r="BS46" i="109"/>
  <c r="BS61" i="109"/>
  <c r="BS81" i="109"/>
  <c r="BT11" i="107"/>
  <c r="BT49" i="107"/>
  <c r="BT26" i="107"/>
  <c r="BT45" i="107"/>
  <c r="BT75" i="107"/>
  <c r="BT33" i="107"/>
  <c r="BT72" i="107"/>
  <c r="BT77" i="107"/>
  <c r="BT80" i="107"/>
  <c r="BT97" i="107"/>
  <c r="BT14" i="107"/>
  <c r="BT27" i="107"/>
  <c r="BT64" i="107"/>
  <c r="BT51" i="107"/>
  <c r="BT55" i="107"/>
  <c r="BT50" i="107"/>
  <c r="BT85" i="107"/>
  <c r="BT82" i="107"/>
  <c r="BT78" i="107"/>
  <c r="BT91" i="107"/>
  <c r="BT37" i="107"/>
  <c r="BT18" i="107"/>
  <c r="BT34" i="107"/>
  <c r="BT35" i="107"/>
  <c r="BT63" i="107"/>
  <c r="BT70" i="107"/>
  <c r="BT73" i="107"/>
  <c r="BT74" i="107"/>
  <c r="BT86" i="107"/>
  <c r="BT96" i="107"/>
  <c r="BU91" i="107"/>
  <c r="BU93" i="107"/>
  <c r="BU85" i="107"/>
  <c r="BU70" i="107"/>
  <c r="BU45" i="107"/>
  <c r="BU61" i="107"/>
  <c r="BU35" i="107"/>
  <c r="BU23" i="107"/>
  <c r="BU46" i="107"/>
  <c r="BU8" i="107"/>
  <c r="BU97" i="107" s="1"/>
  <c r="BU55" i="107"/>
  <c r="BV7" i="107"/>
  <c r="BU13" i="107"/>
  <c r="BT15" i="107"/>
  <c r="BT20" i="107"/>
  <c r="BT19" i="107"/>
  <c r="BT39" i="107"/>
  <c r="BT67" i="107"/>
  <c r="BT29" i="107"/>
  <c r="BT58" i="107"/>
  <c r="BT81" i="107"/>
  <c r="BT95" i="107"/>
  <c r="BT24" i="107"/>
  <c r="BT22" i="107"/>
  <c r="BT44" i="107"/>
  <c r="BT28" i="107"/>
  <c r="BT42" i="107"/>
  <c r="BT71" i="107"/>
  <c r="BT38" i="107"/>
  <c r="BT62" i="107"/>
  <c r="BT93" i="107"/>
  <c r="BT60" i="105"/>
  <c r="BT81" i="105"/>
  <c r="BT82" i="105"/>
  <c r="BT95" i="105"/>
  <c r="BT71" i="105"/>
  <c r="BT64" i="105"/>
  <c r="BT90" i="105"/>
  <c r="BT89" i="105"/>
  <c r="BU86" i="105"/>
  <c r="BU79" i="105"/>
  <c r="BU68" i="105"/>
  <c r="BU69" i="105"/>
  <c r="BU49" i="105"/>
  <c r="BU35" i="105"/>
  <c r="BU34" i="105"/>
  <c r="BU15" i="105"/>
  <c r="BU8" i="105"/>
  <c r="BU91" i="105" s="1"/>
  <c r="BU13" i="105"/>
  <c r="BU14" i="105"/>
  <c r="BV7" i="105"/>
  <c r="BU41" i="105"/>
  <c r="BU16" i="105"/>
  <c r="BT20" i="105"/>
  <c r="BT67" i="105"/>
  <c r="BT47" i="105"/>
  <c r="BT42" i="105"/>
  <c r="BT57" i="105"/>
  <c r="BT80" i="105"/>
  <c r="BT84" i="105"/>
  <c r="BT97" i="105"/>
  <c r="BT14" i="105"/>
  <c r="BT24" i="105"/>
  <c r="BT29" i="105"/>
  <c r="BT41" i="105"/>
  <c r="BT58" i="105"/>
  <c r="BT51" i="105"/>
  <c r="BT66" i="105"/>
  <c r="BT85" i="105"/>
  <c r="BT78" i="105"/>
  <c r="BT94" i="105"/>
  <c r="BT50" i="105"/>
  <c r="BT15" i="105"/>
  <c r="BT17" i="105"/>
  <c r="BT45" i="105"/>
  <c r="BT40" i="105"/>
  <c r="BT69" i="105"/>
  <c r="BT75" i="105"/>
  <c r="BT61" i="105"/>
  <c r="BT74" i="105"/>
  <c r="BT91" i="105"/>
  <c r="BT13" i="105"/>
  <c r="BT19" i="105"/>
  <c r="BT35" i="105"/>
  <c r="BT26" i="105"/>
  <c r="BT28" i="105"/>
  <c r="BT49" i="105"/>
  <c r="BT72" i="105"/>
  <c r="BT62" i="105"/>
  <c r="BT70" i="105"/>
  <c r="BT83" i="105"/>
  <c r="BT88" i="105"/>
  <c r="BT11" i="105"/>
  <c r="BT16" i="105"/>
  <c r="BT39" i="105"/>
  <c r="BT36" i="105"/>
  <c r="BT48" i="105"/>
  <c r="BT55" i="105"/>
  <c r="BT93" i="105"/>
  <c r="BT68" i="105"/>
  <c r="BT73" i="105"/>
  <c r="BT86" i="105"/>
  <c r="BU91" i="103"/>
  <c r="BU89" i="103"/>
  <c r="BU90" i="103"/>
  <c r="BU93" i="103"/>
  <c r="BU96" i="103"/>
  <c r="BU79" i="103"/>
  <c r="BU82" i="103"/>
  <c r="BU85" i="103"/>
  <c r="BU80" i="103"/>
  <c r="BU88" i="103"/>
  <c r="BU70" i="103"/>
  <c r="BU73" i="103"/>
  <c r="BU78" i="103"/>
  <c r="BU68" i="103"/>
  <c r="BU71" i="103"/>
  <c r="BU81" i="103"/>
  <c r="BU64" i="103"/>
  <c r="BU60" i="103"/>
  <c r="BU57" i="103"/>
  <c r="BU55" i="103"/>
  <c r="BU59" i="103"/>
  <c r="BU37" i="103"/>
  <c r="BU49" i="103"/>
  <c r="BU67" i="103"/>
  <c r="BU52" i="103"/>
  <c r="BU47" i="103"/>
  <c r="BU50" i="103"/>
  <c r="BU41" i="103"/>
  <c r="BU66" i="103"/>
  <c r="BU51" i="103"/>
  <c r="BU36" i="103"/>
  <c r="BU48" i="103"/>
  <c r="BU25" i="103"/>
  <c r="BU16" i="103"/>
  <c r="BU45" i="103"/>
  <c r="BU38" i="103"/>
  <c r="BU26" i="103"/>
  <c r="BU30" i="103"/>
  <c r="BU39" i="103"/>
  <c r="BU20" i="103"/>
  <c r="BU18" i="103"/>
  <c r="BU34" i="103"/>
  <c r="BU14" i="103"/>
  <c r="BV7" i="103"/>
  <c r="BU53" i="103"/>
  <c r="BU35" i="103"/>
  <c r="BU33" i="103"/>
  <c r="BU12" i="103"/>
  <c r="BU29" i="103"/>
  <c r="BU15" i="103"/>
  <c r="BU24" i="103"/>
  <c r="BU19" i="103"/>
  <c r="BU13" i="103"/>
  <c r="BU8" i="103"/>
  <c r="BU94" i="103" s="1"/>
  <c r="BT18" i="103"/>
  <c r="BT33" i="103"/>
  <c r="BT53" i="103"/>
  <c r="BT50" i="103"/>
  <c r="BT46" i="103"/>
  <c r="BT70" i="103"/>
  <c r="BT80" i="103"/>
  <c r="BT77" i="103"/>
  <c r="BT95" i="103"/>
  <c r="BT92" i="103"/>
  <c r="BT63" i="103"/>
  <c r="BT78" i="103"/>
  <c r="BT82" i="103"/>
  <c r="BT89" i="103"/>
  <c r="BT23" i="103"/>
  <c r="BT26" i="103"/>
  <c r="BT34" i="103"/>
  <c r="BT45" i="103"/>
  <c r="BT47" i="103"/>
  <c r="BT42" i="103"/>
  <c r="BT56" i="103"/>
  <c r="BT64" i="103"/>
  <c r="BT79" i="103"/>
  <c r="BS48" i="101"/>
  <c r="BS59" i="101"/>
  <c r="BS73" i="101"/>
  <c r="BS60" i="101"/>
  <c r="BS95" i="101"/>
  <c r="BS96" i="101"/>
  <c r="BS12" i="101"/>
  <c r="BS20" i="101"/>
  <c r="BS28" i="101"/>
  <c r="BS42" i="101"/>
  <c r="BS68" i="101"/>
  <c r="BS40" i="101"/>
  <c r="BS74" i="101"/>
  <c r="BS69" i="101"/>
  <c r="BS70" i="101"/>
  <c r="BS90" i="101"/>
  <c r="BS93" i="101"/>
  <c r="BS11" i="101"/>
  <c r="BS62" i="101"/>
  <c r="BS44" i="101"/>
  <c r="BS85" i="101"/>
  <c r="BS15" i="101"/>
  <c r="BS16" i="101"/>
  <c r="BS23" i="101"/>
  <c r="BS51" i="101"/>
  <c r="BS27" i="101"/>
  <c r="BS49" i="101"/>
  <c r="BS77" i="101"/>
  <c r="BS72" i="101"/>
  <c r="BS78" i="101"/>
  <c r="BS92" i="101"/>
  <c r="BS18" i="101"/>
  <c r="BS13" i="101"/>
  <c r="BS33" i="101"/>
  <c r="BS34" i="101"/>
  <c r="BS45" i="101"/>
  <c r="BS37" i="101"/>
  <c r="BS67" i="101"/>
  <c r="BS66" i="101"/>
  <c r="BS82" i="101"/>
  <c r="BS97" i="101"/>
  <c r="BT91" i="101"/>
  <c r="BT94" i="101"/>
  <c r="BT92" i="101"/>
  <c r="BT95" i="101"/>
  <c r="BT84" i="101"/>
  <c r="BT75" i="101"/>
  <c r="BT85" i="101"/>
  <c r="BT90" i="101"/>
  <c r="BT77" i="101"/>
  <c r="BT74" i="101"/>
  <c r="BT69" i="101"/>
  <c r="BT60" i="101"/>
  <c r="BT67" i="101"/>
  <c r="BT58" i="101"/>
  <c r="BT70" i="101"/>
  <c r="BT49" i="101"/>
  <c r="BT44" i="101"/>
  <c r="BT66" i="101"/>
  <c r="BT38" i="101"/>
  <c r="BT78" i="101"/>
  <c r="BT57" i="101"/>
  <c r="BT50" i="101"/>
  <c r="BT59" i="101"/>
  <c r="BT41" i="101"/>
  <c r="BT34" i="101"/>
  <c r="BT25" i="101"/>
  <c r="BT28" i="101"/>
  <c r="BT56" i="101"/>
  <c r="BT29" i="101"/>
  <c r="BT55" i="101"/>
  <c r="BT35" i="101"/>
  <c r="BT33" i="101"/>
  <c r="BT26" i="101"/>
  <c r="BT27" i="101"/>
  <c r="BT36" i="101"/>
  <c r="BT22" i="101"/>
  <c r="BT19" i="101"/>
  <c r="BT16" i="101"/>
  <c r="BT11" i="101"/>
  <c r="BT24" i="101"/>
  <c r="BU7" i="101"/>
  <c r="BT17" i="101"/>
  <c r="BT12" i="101"/>
  <c r="BT31" i="101"/>
  <c r="BT18" i="101"/>
  <c r="BT15" i="101"/>
  <c r="BT8" i="101"/>
  <c r="BT96" i="101" s="1"/>
  <c r="BS22" i="101"/>
  <c r="BS31" i="101"/>
  <c r="BS30" i="101"/>
  <c r="BS47" i="101"/>
  <c r="BS46" i="101"/>
  <c r="BS55" i="101"/>
  <c r="BS75" i="101"/>
  <c r="BS79" i="101"/>
  <c r="BS94" i="101"/>
  <c r="BS14" i="101"/>
  <c r="BS36" i="101"/>
  <c r="BS39" i="101"/>
  <c r="BS41" i="101"/>
  <c r="BS53" i="101"/>
  <c r="BS52" i="101"/>
  <c r="BS63" i="101"/>
  <c r="BS80" i="101"/>
  <c r="BS84" i="101"/>
  <c r="BS91" i="101"/>
  <c r="BS24" i="101"/>
  <c r="BS29" i="101"/>
  <c r="BS56" i="101"/>
  <c r="BS50" i="101"/>
  <c r="BS35" i="101"/>
  <c r="BS64" i="101"/>
  <c r="BS71" i="101"/>
  <c r="BS86" i="101"/>
  <c r="BS81" i="101"/>
  <c r="BT95" i="99"/>
  <c r="BT83" i="99"/>
  <c r="BT78" i="99"/>
  <c r="BT75" i="99"/>
  <c r="BT70" i="99"/>
  <c r="BT58" i="99"/>
  <c r="BT56" i="99"/>
  <c r="BT93" i="99"/>
  <c r="BT41" i="99"/>
  <c r="BT33" i="99"/>
  <c r="BT77" i="99"/>
  <c r="BT62" i="99"/>
  <c r="BT85" i="99"/>
  <c r="BT31" i="99"/>
  <c r="BT48" i="99"/>
  <c r="BT46" i="99"/>
  <c r="BT42" i="99"/>
  <c r="BT16" i="99"/>
  <c r="BT11" i="99"/>
  <c r="BU7" i="99"/>
  <c r="BT50" i="99"/>
  <c r="BT38" i="99"/>
  <c r="BT29" i="99"/>
  <c r="BT8" i="99"/>
  <c r="BT96" i="99" s="1"/>
  <c r="BT19" i="99"/>
  <c r="BT18" i="99"/>
  <c r="BT12" i="99"/>
  <c r="BS80" i="99"/>
  <c r="BS97" i="99"/>
  <c r="BS70" i="99"/>
  <c r="BS49" i="99"/>
  <c r="BS29" i="99"/>
  <c r="BS19" i="99"/>
  <c r="BS38" i="99"/>
  <c r="BS52" i="99"/>
  <c r="BS57" i="99"/>
  <c r="BS78" i="99"/>
  <c r="BS85" i="99"/>
  <c r="BS88" i="99"/>
  <c r="BS15" i="99"/>
  <c r="BS22" i="99"/>
  <c r="BS16" i="99"/>
  <c r="BS33" i="99"/>
  <c r="BS28" i="99"/>
  <c r="BS51" i="99"/>
  <c r="BS61" i="99"/>
  <c r="BS64" i="99"/>
  <c r="BS66" i="99"/>
  <c r="BS86" i="99"/>
  <c r="BS96" i="99"/>
  <c r="BS39" i="99"/>
  <c r="BS26" i="99"/>
  <c r="BS23" i="99"/>
  <c r="BS42" i="99"/>
  <c r="BS53" i="99"/>
  <c r="BS69" i="99"/>
  <c r="BS79" i="99"/>
  <c r="BS74" i="99"/>
  <c r="BS95" i="99"/>
  <c r="BS81" i="97"/>
  <c r="BS27" i="97"/>
  <c r="BS42" i="97"/>
  <c r="BS48" i="97"/>
  <c r="BS52" i="97"/>
  <c r="BS75" i="97"/>
  <c r="BS90" i="97"/>
  <c r="BS74" i="97"/>
  <c r="BS92" i="97"/>
  <c r="BS24" i="97"/>
  <c r="BS12" i="97"/>
  <c r="BS53" i="97"/>
  <c r="BS51" i="97"/>
  <c r="BS50" i="97"/>
  <c r="BS58" i="97"/>
  <c r="BS46" i="97"/>
  <c r="BS62" i="97"/>
  <c r="BS83" i="97"/>
  <c r="BS89" i="97"/>
  <c r="BS13" i="97"/>
  <c r="BS34" i="97"/>
  <c r="BS17" i="97"/>
  <c r="BS56" i="97"/>
  <c r="BS64" i="97"/>
  <c r="BS61" i="97"/>
  <c r="BS67" i="97"/>
  <c r="BS84" i="97"/>
  <c r="BS80" i="97"/>
  <c r="BS97" i="97"/>
  <c r="BS28" i="97"/>
  <c r="BS31" i="97"/>
  <c r="BS33" i="97"/>
  <c r="BS29" i="97"/>
  <c r="BS45" i="97"/>
  <c r="BS55" i="97"/>
  <c r="BS73" i="97"/>
  <c r="BS72" i="97"/>
  <c r="BS77" i="97"/>
  <c r="BS91" i="97"/>
  <c r="BT95" i="97"/>
  <c r="BT81" i="97"/>
  <c r="BT63" i="97"/>
  <c r="BT59" i="97"/>
  <c r="BT93" i="97"/>
  <c r="BT48" i="97"/>
  <c r="BT41" i="97"/>
  <c r="BT47" i="97"/>
  <c r="BT36" i="97"/>
  <c r="BT23" i="97"/>
  <c r="BU7" i="97"/>
  <c r="BT37" i="97"/>
  <c r="BT12" i="97"/>
  <c r="BT61" i="97"/>
  <c r="BT15" i="97"/>
  <c r="BT28" i="97"/>
  <c r="BT8" i="97"/>
  <c r="BT88" i="97" s="1"/>
  <c r="BT16" i="97"/>
  <c r="BT13" i="97"/>
  <c r="BT27" i="97"/>
  <c r="BS22" i="97"/>
  <c r="BS25" i="97"/>
  <c r="BS36" i="97"/>
  <c r="BS19" i="97"/>
  <c r="BS30" i="97"/>
  <c r="BS49" i="97"/>
  <c r="BS63" i="97"/>
  <c r="BS78" i="97"/>
  <c r="BS86" i="97"/>
  <c r="BU18" i="95"/>
  <c r="BU62" i="95"/>
  <c r="BU20" i="95"/>
  <c r="BU57" i="95"/>
  <c r="BU69" i="95"/>
  <c r="BU84" i="95"/>
  <c r="BU88" i="95"/>
  <c r="BU60" i="95"/>
  <c r="BU35" i="95"/>
  <c r="BU97" i="95"/>
  <c r="BU41" i="95"/>
  <c r="BU94" i="95"/>
  <c r="BU63" i="95"/>
  <c r="BU36" i="95"/>
  <c r="BU23" i="95"/>
  <c r="BU13" i="95"/>
  <c r="BU67" i="95"/>
  <c r="BU38" i="95"/>
  <c r="BU66" i="95"/>
  <c r="BU70" i="95"/>
  <c r="BU14" i="95"/>
  <c r="BU33" i="95"/>
  <c r="BU15" i="95"/>
  <c r="BU45" i="95"/>
  <c r="BU55" i="95"/>
  <c r="BU72" i="95"/>
  <c r="BU77" i="95"/>
  <c r="BU50" i="95"/>
  <c r="BU19" i="95"/>
  <c r="BU34" i="95"/>
  <c r="BU49" i="95"/>
  <c r="BU81" i="95"/>
  <c r="BU89" i="95"/>
  <c r="BU93" i="95"/>
  <c r="BU31" i="95"/>
  <c r="BU22" i="95"/>
  <c r="BU11" i="95"/>
  <c r="BU52" i="95"/>
  <c r="BU74" i="95"/>
  <c r="BU58" i="95"/>
  <c r="BU90" i="95"/>
  <c r="BU42" i="95"/>
  <c r="BU44" i="95"/>
  <c r="BU17" i="95"/>
  <c r="BU68" i="95"/>
  <c r="BU53" i="95"/>
  <c r="BU64" i="95"/>
  <c r="BU91" i="95"/>
  <c r="BU59" i="95"/>
  <c r="BU24" i="95"/>
  <c r="BU82" i="95"/>
  <c r="BU71" i="95"/>
  <c r="BU78" i="95"/>
  <c r="BU79" i="95"/>
  <c r="BU12" i="95"/>
  <c r="BU39" i="95"/>
  <c r="BU26" i="95"/>
  <c r="BU25" i="95"/>
  <c r="BU30" i="95"/>
  <c r="BU46" i="95"/>
  <c r="BU29" i="95"/>
  <c r="BU56" i="95"/>
  <c r="BU40" i="95"/>
  <c r="BU73" i="95"/>
  <c r="BU96" i="95"/>
  <c r="BU86" i="95"/>
  <c r="BU85" i="95"/>
  <c r="BU16" i="95"/>
  <c r="BV8" i="95"/>
  <c r="BV90" i="95" s="1"/>
  <c r="BW7" i="95"/>
  <c r="BU51" i="95"/>
  <c r="BU28" i="95"/>
  <c r="BU27" i="95"/>
  <c r="BU37" i="95"/>
  <c r="BU48" i="95"/>
  <c r="BU61" i="95"/>
  <c r="BU75" i="95"/>
  <c r="BU47" i="95"/>
  <c r="BU80" i="95"/>
  <c r="BU83" i="95"/>
  <c r="BU92" i="95"/>
  <c r="BT78" i="59" l="1"/>
  <c r="BT24" i="59"/>
  <c r="BT56" i="59"/>
  <c r="BT68" i="59"/>
  <c r="BT22" i="59"/>
  <c r="BT27" i="59"/>
  <c r="BT82" i="59"/>
  <c r="BT41" i="59"/>
  <c r="BT31" i="59"/>
  <c r="BT94" i="59"/>
  <c r="BT35" i="59"/>
  <c r="BT14" i="59"/>
  <c r="BT17" i="59"/>
  <c r="BT49" i="59"/>
  <c r="BT52" i="59"/>
  <c r="BT70" i="59"/>
  <c r="BT73" i="59"/>
  <c r="BT64" i="59"/>
  <c r="BT79" i="59"/>
  <c r="BT97" i="59"/>
  <c r="BT15" i="59"/>
  <c r="BT28" i="59"/>
  <c r="BT42" i="59"/>
  <c r="BT40" i="59"/>
  <c r="BT85" i="59"/>
  <c r="BT47" i="59"/>
  <c r="BT75" i="59"/>
  <c r="BT71" i="59"/>
  <c r="BT93" i="59"/>
  <c r="BT91" i="59"/>
  <c r="BT13" i="59"/>
  <c r="BT25" i="59"/>
  <c r="BT20" i="59"/>
  <c r="BT23" i="59"/>
  <c r="BT59" i="59"/>
  <c r="BT48" i="59"/>
  <c r="BT50" i="59"/>
  <c r="BT86" i="59"/>
  <c r="BT77" i="59"/>
  <c r="BT81" i="59"/>
  <c r="BT88" i="59"/>
  <c r="BT11" i="59"/>
  <c r="BT39" i="59"/>
  <c r="BT33" i="59"/>
  <c r="BT36" i="59"/>
  <c r="BT37" i="59"/>
  <c r="BT60" i="59"/>
  <c r="BT53" i="59"/>
  <c r="BT74" i="59"/>
  <c r="BT80" i="59"/>
  <c r="BT90" i="59"/>
  <c r="BT96" i="59"/>
  <c r="BT26" i="59"/>
  <c r="BT12" i="59"/>
  <c r="BU8" i="59"/>
  <c r="BU92" i="59" s="1"/>
  <c r="BV7" i="59"/>
  <c r="BT19" i="59"/>
  <c r="BT34" i="59"/>
  <c r="BT45" i="59"/>
  <c r="BT69" i="59"/>
  <c r="BT55" i="59"/>
  <c r="BT83" i="59"/>
  <c r="BT95" i="59"/>
  <c r="BT16" i="59"/>
  <c r="BT18" i="59"/>
  <c r="BT30" i="59"/>
  <c r="BT44" i="59"/>
  <c r="BT62" i="59"/>
  <c r="BT63" i="59"/>
  <c r="BT51" i="59"/>
  <c r="BT84" i="59"/>
  <c r="BT92" i="59"/>
  <c r="BT29" i="59"/>
  <c r="BT57" i="59"/>
  <c r="BT46" i="59"/>
  <c r="BT58" i="59"/>
  <c r="BT72" i="59"/>
  <c r="BT61" i="59"/>
  <c r="BT67" i="59"/>
  <c r="BT46" i="113"/>
  <c r="BT37" i="113"/>
  <c r="BT55" i="113"/>
  <c r="BT26" i="113"/>
  <c r="BT59" i="113"/>
  <c r="BT93" i="113"/>
  <c r="BT66" i="113"/>
  <c r="BT79" i="113"/>
  <c r="BT94" i="113"/>
  <c r="BT17" i="113"/>
  <c r="BT19" i="113"/>
  <c r="BT42" i="113"/>
  <c r="BT27" i="113"/>
  <c r="BT35" i="113"/>
  <c r="BT64" i="113"/>
  <c r="BT62" i="113"/>
  <c r="BT81" i="113"/>
  <c r="BT75" i="113"/>
  <c r="BT91" i="113"/>
  <c r="BT23" i="113"/>
  <c r="BT34" i="113"/>
  <c r="BT51" i="113"/>
  <c r="BT28" i="113"/>
  <c r="BT50" i="113"/>
  <c r="BT49" i="113"/>
  <c r="BT68" i="113"/>
  <c r="BT58" i="113"/>
  <c r="BT77" i="113"/>
  <c r="BT95" i="113"/>
  <c r="BT41" i="113"/>
  <c r="BT39" i="113"/>
  <c r="BT29" i="113"/>
  <c r="BT18" i="113"/>
  <c r="BT38" i="113"/>
  <c r="BT52" i="113"/>
  <c r="BT70" i="113"/>
  <c r="BT67" i="113"/>
  <c r="BT85" i="113"/>
  <c r="BT92" i="113"/>
  <c r="BU91" i="113"/>
  <c r="BU95" i="113"/>
  <c r="BU90" i="113"/>
  <c r="BU79" i="113"/>
  <c r="BU85" i="113"/>
  <c r="BU77" i="113"/>
  <c r="BU80" i="113"/>
  <c r="BU84" i="113"/>
  <c r="BU78" i="113"/>
  <c r="BU74" i="113"/>
  <c r="BU61" i="113"/>
  <c r="BU93" i="113"/>
  <c r="BU63" i="113"/>
  <c r="BU68" i="113"/>
  <c r="BU64" i="113"/>
  <c r="BU49" i="113"/>
  <c r="BU53" i="113"/>
  <c r="BU47" i="113"/>
  <c r="BU29" i="113"/>
  <c r="BU71" i="113"/>
  <c r="BU45" i="113"/>
  <c r="BU72" i="113"/>
  <c r="BU57" i="113"/>
  <c r="BU55" i="113"/>
  <c r="BU36" i="113"/>
  <c r="BU28" i="113"/>
  <c r="BU42" i="113"/>
  <c r="BU37" i="113"/>
  <c r="BU56" i="113"/>
  <c r="BU46" i="113"/>
  <c r="BU51" i="113"/>
  <c r="BU31" i="113"/>
  <c r="BU16" i="113"/>
  <c r="BU35" i="113"/>
  <c r="BU25" i="113"/>
  <c r="BU23" i="113"/>
  <c r="BU8" i="113"/>
  <c r="BU94" i="113" s="1"/>
  <c r="BU14" i="113"/>
  <c r="BU11" i="113"/>
  <c r="BU13" i="113"/>
  <c r="BU12" i="113"/>
  <c r="BV7" i="113"/>
  <c r="BT11" i="113"/>
  <c r="BT20" i="113"/>
  <c r="BT25" i="113"/>
  <c r="BT24" i="113"/>
  <c r="BT47" i="113"/>
  <c r="BT61" i="113"/>
  <c r="BT56" i="113"/>
  <c r="BT78" i="113"/>
  <c r="BT73" i="113"/>
  <c r="BV95" i="111"/>
  <c r="BV90" i="111"/>
  <c r="BV93" i="111"/>
  <c r="BV96" i="111"/>
  <c r="BV67" i="111"/>
  <c r="BV59" i="111"/>
  <c r="BV50" i="111"/>
  <c r="BV41" i="111"/>
  <c r="BV86" i="111"/>
  <c r="BV85" i="111"/>
  <c r="BV83" i="111"/>
  <c r="BV82" i="111"/>
  <c r="BV81" i="111"/>
  <c r="BV78" i="111"/>
  <c r="BV74" i="111"/>
  <c r="BV68" i="111"/>
  <c r="BV58" i="111"/>
  <c r="BV62" i="111"/>
  <c r="BV46" i="111"/>
  <c r="BV42" i="111"/>
  <c r="BV51" i="111"/>
  <c r="BV49" i="111"/>
  <c r="BV75" i="111"/>
  <c r="BV47" i="111"/>
  <c r="BV23" i="111"/>
  <c r="BV19" i="111"/>
  <c r="BV13" i="111"/>
  <c r="BV69" i="111"/>
  <c r="BV27" i="111"/>
  <c r="BV33" i="111"/>
  <c r="BV11" i="111"/>
  <c r="BV38" i="111"/>
  <c r="BV12" i="111"/>
  <c r="BV48" i="111"/>
  <c r="BV57" i="111"/>
  <c r="BV44" i="111"/>
  <c r="BV34" i="111"/>
  <c r="BV24" i="111"/>
  <c r="BV17" i="111"/>
  <c r="BV26" i="111"/>
  <c r="BW7" i="111"/>
  <c r="BV14" i="111"/>
  <c r="BV53" i="111"/>
  <c r="BV35" i="111"/>
  <c r="BV20" i="111"/>
  <c r="BV8" i="111"/>
  <c r="BV94" i="111" s="1"/>
  <c r="BV15" i="111"/>
  <c r="BU61" i="111"/>
  <c r="BU49" i="111"/>
  <c r="BU80" i="111"/>
  <c r="BU79" i="111"/>
  <c r="BU82" i="111"/>
  <c r="BU86" i="111"/>
  <c r="BU25" i="111"/>
  <c r="BU16" i="111"/>
  <c r="BU30" i="111"/>
  <c r="BU58" i="111"/>
  <c r="BU52" i="111"/>
  <c r="BU83" i="111"/>
  <c r="BU38" i="111"/>
  <c r="BU67" i="111"/>
  <c r="BU95" i="111"/>
  <c r="BU41" i="111"/>
  <c r="BU51" i="111"/>
  <c r="BU59" i="111"/>
  <c r="BU85" i="111"/>
  <c r="BU47" i="111"/>
  <c r="BU75" i="111"/>
  <c r="BU89" i="111"/>
  <c r="BU27" i="111"/>
  <c r="BU53" i="111"/>
  <c r="BU71" i="111"/>
  <c r="BU57" i="111"/>
  <c r="BU56" i="111"/>
  <c r="BU84" i="111"/>
  <c r="BU97" i="111"/>
  <c r="BU15" i="111"/>
  <c r="BU17" i="111"/>
  <c r="BU55" i="111"/>
  <c r="BU31" i="111"/>
  <c r="BU36" i="111"/>
  <c r="BU69" i="111"/>
  <c r="BU74" i="111"/>
  <c r="BU60" i="111"/>
  <c r="BU64" i="111"/>
  <c r="BU92" i="111"/>
  <c r="BU94" i="111"/>
  <c r="BU48" i="111"/>
  <c r="BU24" i="111"/>
  <c r="BU13" i="111"/>
  <c r="BU35" i="111"/>
  <c r="BU37" i="111"/>
  <c r="BU34" i="111"/>
  <c r="BU68" i="111"/>
  <c r="BU63" i="111"/>
  <c r="BU70" i="111"/>
  <c r="BU96" i="111"/>
  <c r="BU91" i="109"/>
  <c r="BU94" i="109"/>
  <c r="BU86" i="109"/>
  <c r="BU96" i="109"/>
  <c r="BU82" i="109"/>
  <c r="BU85" i="109"/>
  <c r="BU81" i="109"/>
  <c r="BU79" i="109"/>
  <c r="BU75" i="109"/>
  <c r="BU70" i="109"/>
  <c r="BU62" i="109"/>
  <c r="BU60" i="109"/>
  <c r="BU56" i="109"/>
  <c r="BU88" i="109"/>
  <c r="BU83" i="109"/>
  <c r="BU78" i="109"/>
  <c r="BU55" i="109"/>
  <c r="BU47" i="109"/>
  <c r="BU26" i="109"/>
  <c r="BU17" i="109"/>
  <c r="BU74" i="109"/>
  <c r="BU44" i="109"/>
  <c r="BU51" i="109"/>
  <c r="BU48" i="109"/>
  <c r="BU45" i="109"/>
  <c r="BU36" i="109"/>
  <c r="BU58" i="109"/>
  <c r="BU34" i="109"/>
  <c r="BU80" i="109"/>
  <c r="BU39" i="109"/>
  <c r="BU8" i="109"/>
  <c r="BU97" i="109" s="1"/>
  <c r="BU46" i="109"/>
  <c r="BU41" i="109"/>
  <c r="BU40" i="109"/>
  <c r="BU37" i="109"/>
  <c r="BU11" i="109"/>
  <c r="BU42" i="109"/>
  <c r="BU24" i="109"/>
  <c r="BU28" i="109"/>
  <c r="BV7" i="109"/>
  <c r="BU31" i="109"/>
  <c r="BU13" i="109"/>
  <c r="BU14" i="109"/>
  <c r="BU25" i="109"/>
  <c r="BU19" i="109"/>
  <c r="BT70" i="109"/>
  <c r="BT42" i="109"/>
  <c r="BT58" i="109"/>
  <c r="BT67" i="109"/>
  <c r="BT59" i="109"/>
  <c r="BT60" i="109"/>
  <c r="BT86" i="109"/>
  <c r="BT93" i="109"/>
  <c r="BT22" i="109"/>
  <c r="BT39" i="109"/>
  <c r="BT46" i="109"/>
  <c r="BT85" i="109"/>
  <c r="BT23" i="109"/>
  <c r="BT53" i="109"/>
  <c r="BT69" i="109"/>
  <c r="BT84" i="109"/>
  <c r="BU40" i="107"/>
  <c r="BU25" i="107"/>
  <c r="BU27" i="107"/>
  <c r="BU72" i="107"/>
  <c r="BU51" i="107"/>
  <c r="BU79" i="107"/>
  <c r="BU36" i="107"/>
  <c r="BU57" i="107"/>
  <c r="BU78" i="107"/>
  <c r="BU81" i="107"/>
  <c r="BU94" i="107"/>
  <c r="BU14" i="107"/>
  <c r="BU16" i="107"/>
  <c r="BU30" i="107"/>
  <c r="BU59" i="107"/>
  <c r="BU58" i="107"/>
  <c r="BU66" i="107"/>
  <c r="BU80" i="107"/>
  <c r="BU83" i="107"/>
  <c r="BU71" i="107"/>
  <c r="BU86" i="107"/>
  <c r="BU18" i="107"/>
  <c r="BU15" i="107"/>
  <c r="BU20" i="107"/>
  <c r="BU37" i="107"/>
  <c r="BU38" i="107"/>
  <c r="BU48" i="107"/>
  <c r="BU33" i="107"/>
  <c r="BU68" i="107"/>
  <c r="BU77" i="107"/>
  <c r="BU95" i="107"/>
  <c r="BU29" i="107"/>
  <c r="BU12" i="107"/>
  <c r="BU44" i="107"/>
  <c r="BU49" i="107"/>
  <c r="BU42" i="107"/>
  <c r="BU60" i="107"/>
  <c r="BU41" i="107"/>
  <c r="BU73" i="107"/>
  <c r="BU84" i="107"/>
  <c r="BU92" i="107"/>
  <c r="BV95" i="107"/>
  <c r="BV86" i="107"/>
  <c r="BV85" i="107"/>
  <c r="BV77" i="107"/>
  <c r="BV82" i="107"/>
  <c r="BV73" i="107"/>
  <c r="BV80" i="107"/>
  <c r="BV53" i="107"/>
  <c r="BV71" i="107"/>
  <c r="BV64" i="107"/>
  <c r="BV52" i="107"/>
  <c r="BV51" i="107"/>
  <c r="BV17" i="107"/>
  <c r="BV42" i="107"/>
  <c r="BV31" i="107"/>
  <c r="BV29" i="107"/>
  <c r="BV15" i="107"/>
  <c r="BV57" i="107"/>
  <c r="BV8" i="107"/>
  <c r="BV94" i="107" s="1"/>
  <c r="BW7" i="107"/>
  <c r="BV19" i="107"/>
  <c r="BV12" i="107"/>
  <c r="BU34" i="107"/>
  <c r="BU53" i="107"/>
  <c r="BU90" i="107"/>
  <c r="BU28" i="107"/>
  <c r="BU19" i="107"/>
  <c r="BU17" i="107"/>
  <c r="BU31" i="107"/>
  <c r="BU74" i="107"/>
  <c r="BU63" i="107"/>
  <c r="BU50" i="107"/>
  <c r="BU96" i="107"/>
  <c r="BU82" i="107"/>
  <c r="BU89" i="107"/>
  <c r="BU24" i="107"/>
  <c r="BU39" i="107"/>
  <c r="BU64" i="107"/>
  <c r="BU56" i="107"/>
  <c r="BU62" i="107"/>
  <c r="BU11" i="107"/>
  <c r="BU22" i="107"/>
  <c r="BU26" i="107"/>
  <c r="BU47" i="107"/>
  <c r="BU75" i="107"/>
  <c r="BU67" i="107"/>
  <c r="BU52" i="107"/>
  <c r="BU69" i="107"/>
  <c r="BU88" i="107"/>
  <c r="BU19" i="105"/>
  <c r="BU22" i="105"/>
  <c r="BU27" i="105"/>
  <c r="BU25" i="105"/>
  <c r="BU40" i="105"/>
  <c r="BU60" i="105"/>
  <c r="BU59" i="105"/>
  <c r="BU82" i="105"/>
  <c r="BU90" i="105"/>
  <c r="BV86" i="105"/>
  <c r="BV90" i="105"/>
  <c r="BV88" i="105"/>
  <c r="BV82" i="105"/>
  <c r="BV79" i="105"/>
  <c r="BV68" i="105"/>
  <c r="BV63" i="105"/>
  <c r="BV55" i="105"/>
  <c r="BV52" i="105"/>
  <c r="BV78" i="105"/>
  <c r="BV47" i="105"/>
  <c r="BV38" i="105"/>
  <c r="BV45" i="105"/>
  <c r="BV26" i="105"/>
  <c r="BV51" i="105"/>
  <c r="BV34" i="105"/>
  <c r="BV39" i="105"/>
  <c r="BV24" i="105"/>
  <c r="BV18" i="105"/>
  <c r="BV8" i="105"/>
  <c r="BV93" i="105" s="1"/>
  <c r="BV42" i="105"/>
  <c r="BV23" i="105"/>
  <c r="BV14" i="105"/>
  <c r="BW7" i="105"/>
  <c r="BV25" i="105"/>
  <c r="BV17" i="105"/>
  <c r="BV37" i="105"/>
  <c r="BV20" i="105"/>
  <c r="BV11" i="105"/>
  <c r="BU47" i="105"/>
  <c r="BU51" i="105"/>
  <c r="BU39" i="105"/>
  <c r="BU55" i="105"/>
  <c r="BU71" i="105"/>
  <c r="BU64" i="105"/>
  <c r="BU88" i="105"/>
  <c r="BU95" i="105"/>
  <c r="BU18" i="105"/>
  <c r="BU12" i="105"/>
  <c r="BU33" i="105"/>
  <c r="BU42" i="105"/>
  <c r="BU56" i="105"/>
  <c r="BU57" i="105"/>
  <c r="BU73" i="105"/>
  <c r="BU84" i="105"/>
  <c r="BU92" i="105"/>
  <c r="BU36" i="105"/>
  <c r="BU24" i="105"/>
  <c r="BU20" i="105"/>
  <c r="BU38" i="105"/>
  <c r="BU70" i="105"/>
  <c r="BU46" i="105"/>
  <c r="BU66" i="105"/>
  <c r="BU80" i="105"/>
  <c r="BU72" i="105"/>
  <c r="BU89" i="105"/>
  <c r="BU23" i="105"/>
  <c r="BU30" i="105"/>
  <c r="BU29" i="105"/>
  <c r="BU53" i="105"/>
  <c r="BU50" i="105"/>
  <c r="BU63" i="105"/>
  <c r="BU75" i="105"/>
  <c r="BU83" i="105"/>
  <c r="BU81" i="105"/>
  <c r="BU97" i="105"/>
  <c r="BU17" i="105"/>
  <c r="BU28" i="105"/>
  <c r="BU48" i="105"/>
  <c r="BU37" i="105"/>
  <c r="BU67" i="105"/>
  <c r="BU52" i="105"/>
  <c r="BU58" i="105"/>
  <c r="BU62" i="105"/>
  <c r="BU77" i="105"/>
  <c r="BU96" i="105"/>
  <c r="BU94" i="105"/>
  <c r="BU26" i="105"/>
  <c r="BU11" i="105"/>
  <c r="BU61" i="105"/>
  <c r="BU45" i="105"/>
  <c r="BU31" i="105"/>
  <c r="BU44" i="105"/>
  <c r="BU93" i="105"/>
  <c r="BU74" i="105"/>
  <c r="BU85" i="105"/>
  <c r="BU78" i="105"/>
  <c r="BV80" i="103"/>
  <c r="BW7" i="103"/>
  <c r="BV8" i="103"/>
  <c r="BV94" i="103" s="1"/>
  <c r="BU95" i="103"/>
  <c r="BU27" i="103"/>
  <c r="BU72" i="103"/>
  <c r="BU46" i="103"/>
  <c r="BU63" i="103"/>
  <c r="BU61" i="103"/>
  <c r="BU86" i="103"/>
  <c r="BU92" i="103"/>
  <c r="BU22" i="103"/>
  <c r="BU17" i="103"/>
  <c r="BU23" i="103"/>
  <c r="BU40" i="103"/>
  <c r="BU56" i="103"/>
  <c r="BU58" i="103"/>
  <c r="BU69" i="103"/>
  <c r="BU77" i="103"/>
  <c r="BU75" i="103"/>
  <c r="BU97" i="103"/>
  <c r="BU28" i="103"/>
  <c r="BU11" i="103"/>
  <c r="BU31" i="103"/>
  <c r="BU42" i="103"/>
  <c r="BU44" i="103"/>
  <c r="BU74" i="103"/>
  <c r="BU62" i="103"/>
  <c r="BU83" i="103"/>
  <c r="BU84" i="103"/>
  <c r="BT42" i="101"/>
  <c r="BT39" i="101"/>
  <c r="BT47" i="101"/>
  <c r="BT64" i="101"/>
  <c r="BT72" i="101"/>
  <c r="BT82" i="101"/>
  <c r="BT89" i="101"/>
  <c r="BT51" i="101"/>
  <c r="BT48" i="101"/>
  <c r="BT53" i="101"/>
  <c r="BT61" i="101"/>
  <c r="BT83" i="101"/>
  <c r="BT79" i="101"/>
  <c r="BT97" i="101"/>
  <c r="BT14" i="101"/>
  <c r="BT37" i="101"/>
  <c r="BT45" i="101"/>
  <c r="BT52" i="101"/>
  <c r="BT62" i="101"/>
  <c r="BT81" i="101"/>
  <c r="BT63" i="101"/>
  <c r="BT80" i="101"/>
  <c r="BT93" i="101"/>
  <c r="BT88" i="101"/>
  <c r="BU97" i="101"/>
  <c r="BU89" i="101"/>
  <c r="BU92" i="101"/>
  <c r="BU95" i="101"/>
  <c r="BU86" i="101"/>
  <c r="BU90" i="101"/>
  <c r="BU79" i="101"/>
  <c r="BU82" i="101"/>
  <c r="BU85" i="101"/>
  <c r="BU77" i="101"/>
  <c r="BU80" i="101"/>
  <c r="BU73" i="101"/>
  <c r="BU74" i="101"/>
  <c r="BU81" i="101"/>
  <c r="BU71" i="101"/>
  <c r="BU63" i="101"/>
  <c r="BU55" i="101"/>
  <c r="BU67" i="101"/>
  <c r="BU75" i="101"/>
  <c r="BU64" i="101"/>
  <c r="BU68" i="101"/>
  <c r="BU83" i="101"/>
  <c r="BU60" i="101"/>
  <c r="BU44" i="101"/>
  <c r="BU53" i="101"/>
  <c r="BU47" i="101"/>
  <c r="BU78" i="101"/>
  <c r="BU62" i="101"/>
  <c r="BU57" i="101"/>
  <c r="BU50" i="101"/>
  <c r="BU59" i="101"/>
  <c r="BU56" i="101"/>
  <c r="BU51" i="101"/>
  <c r="BU42" i="101"/>
  <c r="BU49" i="101"/>
  <c r="BU34" i="101"/>
  <c r="BU28" i="101"/>
  <c r="BU31" i="101"/>
  <c r="BU23" i="101"/>
  <c r="BU39" i="101"/>
  <c r="BU37" i="101"/>
  <c r="BU36" i="101"/>
  <c r="BU33" i="101"/>
  <c r="BU48" i="101"/>
  <c r="BU38" i="101"/>
  <c r="BU27" i="101"/>
  <c r="BU20" i="101"/>
  <c r="BU40" i="101"/>
  <c r="BU29" i="101"/>
  <c r="BU45" i="101"/>
  <c r="BU24" i="101"/>
  <c r="BU14" i="101"/>
  <c r="BV7" i="101"/>
  <c r="BU13" i="101"/>
  <c r="BU46" i="101"/>
  <c r="BU35" i="101"/>
  <c r="BU17" i="101"/>
  <c r="BU8" i="101"/>
  <c r="BU91" i="101" s="1"/>
  <c r="BU26" i="101"/>
  <c r="BU12" i="101"/>
  <c r="BU18" i="101"/>
  <c r="BU15" i="101"/>
  <c r="BU25" i="101"/>
  <c r="BU22" i="101"/>
  <c r="BU19" i="101"/>
  <c r="BU16" i="101"/>
  <c r="BU11" i="101"/>
  <c r="BT13" i="101"/>
  <c r="BT23" i="101"/>
  <c r="BT20" i="101"/>
  <c r="BT46" i="101"/>
  <c r="BT30" i="101"/>
  <c r="BT68" i="101"/>
  <c r="BT40" i="101"/>
  <c r="BT71" i="101"/>
  <c r="BT73" i="101"/>
  <c r="BT86" i="101"/>
  <c r="BT73" i="99"/>
  <c r="BT79" i="99"/>
  <c r="BT66" i="99"/>
  <c r="BT92" i="99"/>
  <c r="BT13" i="99"/>
  <c r="BT34" i="99"/>
  <c r="BT30" i="99"/>
  <c r="BT23" i="99"/>
  <c r="BT63" i="99"/>
  <c r="BT47" i="99"/>
  <c r="BT49" i="99"/>
  <c r="BT67" i="99"/>
  <c r="BT74" i="99"/>
  <c r="BT89" i="99"/>
  <c r="BT97" i="99"/>
  <c r="BT17" i="99"/>
  <c r="BT27" i="99"/>
  <c r="BT37" i="99"/>
  <c r="BT36" i="99"/>
  <c r="BT53" i="99"/>
  <c r="BT82" i="99"/>
  <c r="BT84" i="99"/>
  <c r="BT71" i="99"/>
  <c r="BT94" i="99"/>
  <c r="BT20" i="99"/>
  <c r="BU97" i="99"/>
  <c r="BU86" i="99"/>
  <c r="BU90" i="99"/>
  <c r="BU83" i="99"/>
  <c r="BU69" i="99"/>
  <c r="BU81" i="99"/>
  <c r="BU84" i="99"/>
  <c r="BU88" i="99"/>
  <c r="BU82" i="99"/>
  <c r="BU55" i="99"/>
  <c r="BU58" i="99"/>
  <c r="BU68" i="99"/>
  <c r="BU85" i="99"/>
  <c r="BU51" i="99"/>
  <c r="BU47" i="99"/>
  <c r="BU45" i="99"/>
  <c r="BU56" i="99"/>
  <c r="BU39" i="99"/>
  <c r="BU50" i="99"/>
  <c r="BU37" i="99"/>
  <c r="BU29" i="99"/>
  <c r="BU20" i="99"/>
  <c r="BU27" i="99"/>
  <c r="BU42" i="99"/>
  <c r="BU44" i="99"/>
  <c r="BU11" i="99"/>
  <c r="BU49" i="99"/>
  <c r="BV7" i="99"/>
  <c r="BU12" i="99"/>
  <c r="BU31" i="99"/>
  <c r="BU28" i="99"/>
  <c r="BU18" i="99"/>
  <c r="BU8" i="99"/>
  <c r="BU91" i="99" s="1"/>
  <c r="BU23" i="99"/>
  <c r="BU13" i="99"/>
  <c r="BU15" i="99"/>
  <c r="BT40" i="99"/>
  <c r="BT52" i="99"/>
  <c r="BT45" i="99"/>
  <c r="BT35" i="99"/>
  <c r="BT55" i="99"/>
  <c r="BT72" i="99"/>
  <c r="BT80" i="99"/>
  <c r="BT91" i="99"/>
  <c r="BT24" i="99"/>
  <c r="BT25" i="99"/>
  <c r="BT14" i="99"/>
  <c r="BT26" i="99"/>
  <c r="BT57" i="99"/>
  <c r="BT61" i="99"/>
  <c r="BT44" i="99"/>
  <c r="BT51" i="99"/>
  <c r="BT81" i="99"/>
  <c r="BT90" i="99"/>
  <c r="BT88" i="99"/>
  <c r="BT28" i="99"/>
  <c r="BT15" i="99"/>
  <c r="BT22" i="99"/>
  <c r="BT39" i="99"/>
  <c r="BT64" i="99"/>
  <c r="BT68" i="99"/>
  <c r="BT59" i="99"/>
  <c r="BT60" i="99"/>
  <c r="BT69" i="99"/>
  <c r="BT86" i="99"/>
  <c r="BT11" i="97"/>
  <c r="BT58" i="97"/>
  <c r="BT14" i="97"/>
  <c r="BT46" i="97"/>
  <c r="BT34" i="97"/>
  <c r="BT52" i="97"/>
  <c r="BT57" i="97"/>
  <c r="BT72" i="97"/>
  <c r="BT86" i="97"/>
  <c r="BT96" i="97"/>
  <c r="BT17" i="97"/>
  <c r="BT30" i="97"/>
  <c r="BT20" i="97"/>
  <c r="BT29" i="97"/>
  <c r="BT67" i="97"/>
  <c r="BT64" i="97"/>
  <c r="BT82" i="97"/>
  <c r="BT68" i="97"/>
  <c r="BT69" i="97"/>
  <c r="BT92" i="97"/>
  <c r="BT49" i="97"/>
  <c r="BT79" i="97"/>
  <c r="BT78" i="97"/>
  <c r="BT89" i="97"/>
  <c r="BT31" i="97"/>
  <c r="BT39" i="97"/>
  <c r="BT42" i="97"/>
  <c r="BT66" i="97"/>
  <c r="BT50" i="97"/>
  <c r="BT75" i="97"/>
  <c r="BT53" i="97"/>
  <c r="BT83" i="97"/>
  <c r="BT97" i="97"/>
  <c r="BT22" i="97"/>
  <c r="BT26" i="97"/>
  <c r="BT51" i="97"/>
  <c r="BT70" i="97"/>
  <c r="BT56" i="97"/>
  <c r="BT85" i="97"/>
  <c r="BT62" i="97"/>
  <c r="BT71" i="97"/>
  <c r="BT94" i="97"/>
  <c r="BT19" i="97"/>
  <c r="BT25" i="97"/>
  <c r="BT33" i="97"/>
  <c r="BT55" i="97"/>
  <c r="BT40" i="97"/>
  <c r="BT74" i="97"/>
  <c r="BT60" i="97"/>
  <c r="BT77" i="97"/>
  <c r="BT80" i="97"/>
  <c r="BT91" i="97"/>
  <c r="BT18" i="97"/>
  <c r="BT24" i="97"/>
  <c r="BT35" i="97"/>
  <c r="BU91" i="97"/>
  <c r="BU90" i="97"/>
  <c r="BU93" i="97"/>
  <c r="BU66" i="97"/>
  <c r="BU72" i="97"/>
  <c r="BU63" i="97"/>
  <c r="BU79" i="97"/>
  <c r="BU88" i="97"/>
  <c r="BU73" i="97"/>
  <c r="BU64" i="97"/>
  <c r="BU82" i="97"/>
  <c r="BU71" i="97"/>
  <c r="BU47" i="97"/>
  <c r="BU45" i="97"/>
  <c r="BU62" i="97"/>
  <c r="BU70" i="97"/>
  <c r="BU35" i="97"/>
  <c r="BU50" i="97"/>
  <c r="BU42" i="97"/>
  <c r="BU26" i="97"/>
  <c r="BU17" i="97"/>
  <c r="BU27" i="97"/>
  <c r="BU31" i="97"/>
  <c r="BU18" i="97"/>
  <c r="BU16" i="97"/>
  <c r="BV7" i="97"/>
  <c r="BU25" i="97"/>
  <c r="BU19" i="97"/>
  <c r="BU8" i="97"/>
  <c r="BU94" i="97" s="1"/>
  <c r="BU34" i="97"/>
  <c r="BU11" i="97"/>
  <c r="BU23" i="97"/>
  <c r="BT38" i="97"/>
  <c r="BT45" i="97"/>
  <c r="BT44" i="97"/>
  <c r="BT73" i="97"/>
  <c r="BT84" i="97"/>
  <c r="BT90" i="97"/>
  <c r="BV18" i="95"/>
  <c r="BV30" i="95"/>
  <c r="BV49" i="95"/>
  <c r="BV97" i="95"/>
  <c r="BV83" i="95"/>
  <c r="BV25" i="95"/>
  <c r="BV29" i="95"/>
  <c r="BV78" i="95"/>
  <c r="BV27" i="95"/>
  <c r="BV31" i="95"/>
  <c r="BV36" i="95"/>
  <c r="BV42" i="95"/>
  <c r="BV79" i="95"/>
  <c r="BV69" i="95"/>
  <c r="BV34" i="95"/>
  <c r="BV17" i="95"/>
  <c r="BV61" i="95"/>
  <c r="BV51" i="95"/>
  <c r="BV88" i="95"/>
  <c r="BV89" i="95"/>
  <c r="BV94" i="95"/>
  <c r="BV60" i="95"/>
  <c r="BV11" i="95"/>
  <c r="BV44" i="95"/>
  <c r="BV72" i="95"/>
  <c r="BV63" i="95"/>
  <c r="BV84" i="95"/>
  <c r="BV38" i="95"/>
  <c r="BV40" i="95"/>
  <c r="BV33" i="95"/>
  <c r="BV24" i="95"/>
  <c r="BV41" i="95"/>
  <c r="BV95" i="95"/>
  <c r="BV73" i="95"/>
  <c r="BV68" i="95"/>
  <c r="BV93" i="95"/>
  <c r="BV14" i="95"/>
  <c r="BV26" i="95"/>
  <c r="BV56" i="95"/>
  <c r="BV47" i="95"/>
  <c r="BV62" i="95"/>
  <c r="BV86" i="95"/>
  <c r="BV20" i="95"/>
  <c r="BV28" i="95"/>
  <c r="BV48" i="95"/>
  <c r="BV96" i="95"/>
  <c r="BV81" i="95"/>
  <c r="BV55" i="95"/>
  <c r="BV45" i="95"/>
  <c r="BV39" i="95"/>
  <c r="BV70" i="95"/>
  <c r="BV46" i="95"/>
  <c r="BV12" i="95"/>
  <c r="BV15" i="95"/>
  <c r="BV67" i="95"/>
  <c r="BV22" i="95"/>
  <c r="BV37" i="95"/>
  <c r="BV23" i="95"/>
  <c r="BV59" i="95"/>
  <c r="BV35" i="95"/>
  <c r="BV66" i="95"/>
  <c r="BV52" i="95"/>
  <c r="BV77" i="95"/>
  <c r="BV57" i="95"/>
  <c r="BV85" i="95"/>
  <c r="BV91" i="95"/>
  <c r="BV92" i="95"/>
  <c r="BV75" i="95"/>
  <c r="BW8" i="95"/>
  <c r="BW89" i="95" s="1"/>
  <c r="BX7" i="95"/>
  <c r="BV80" i="95"/>
  <c r="BV64" i="95"/>
  <c r="BV19" i="95"/>
  <c r="BV13" i="95"/>
  <c r="BV16" i="95"/>
  <c r="BV50" i="95"/>
  <c r="BV58" i="95"/>
  <c r="BV53" i="95"/>
  <c r="BV74" i="95"/>
  <c r="BV71" i="95"/>
  <c r="BV82" i="95"/>
  <c r="BU97" i="59" l="1"/>
  <c r="BU42" i="59"/>
  <c r="BU40" i="59"/>
  <c r="BU48" i="59"/>
  <c r="BU30" i="59"/>
  <c r="BU66" i="59"/>
  <c r="BU52" i="59"/>
  <c r="BU80" i="59"/>
  <c r="BU72" i="59"/>
  <c r="BU84" i="59"/>
  <c r="BU19" i="59"/>
  <c r="BU18" i="59"/>
  <c r="BU33" i="59"/>
  <c r="BU36" i="59"/>
  <c r="BU31" i="59"/>
  <c r="BU63" i="59"/>
  <c r="BU62" i="59"/>
  <c r="BU77" i="59"/>
  <c r="BU88" i="59"/>
  <c r="BU89" i="59"/>
  <c r="BU41" i="59"/>
  <c r="BU15" i="59"/>
  <c r="BU24" i="59"/>
  <c r="BU17" i="59"/>
  <c r="BU53" i="59"/>
  <c r="BU59" i="59"/>
  <c r="BU51" i="59"/>
  <c r="BU69" i="59"/>
  <c r="BU81" i="59"/>
  <c r="BU96" i="59"/>
  <c r="BU94" i="59"/>
  <c r="BU11" i="59"/>
  <c r="BU25" i="59"/>
  <c r="BU22" i="59"/>
  <c r="BU27" i="59"/>
  <c r="BU26" i="59"/>
  <c r="BU28" i="59"/>
  <c r="BU60" i="59"/>
  <c r="BU56" i="59"/>
  <c r="BU61" i="59"/>
  <c r="BU93" i="59"/>
  <c r="BU91" i="59"/>
  <c r="BV79" i="59"/>
  <c r="BV83" i="59"/>
  <c r="BV84" i="59"/>
  <c r="BV62" i="59"/>
  <c r="BV68" i="59"/>
  <c r="BV67" i="59"/>
  <c r="BV48" i="59"/>
  <c r="BV52" i="59"/>
  <c r="BV80" i="59"/>
  <c r="BV35" i="59"/>
  <c r="BV42" i="59"/>
  <c r="BV29" i="59"/>
  <c r="BV33" i="59"/>
  <c r="BV24" i="59"/>
  <c r="BV39" i="59"/>
  <c r="BV14" i="59"/>
  <c r="BV44" i="59"/>
  <c r="BV22" i="59"/>
  <c r="BV8" i="59"/>
  <c r="BV89" i="59" s="1"/>
  <c r="BV74" i="59"/>
  <c r="BV13" i="59"/>
  <c r="BV11" i="59"/>
  <c r="BW7" i="59"/>
  <c r="BU39" i="59"/>
  <c r="BU34" i="59"/>
  <c r="BU50" i="59"/>
  <c r="BU35" i="59"/>
  <c r="BU37" i="59"/>
  <c r="BU45" i="59"/>
  <c r="BU73" i="59"/>
  <c r="BU70" i="59"/>
  <c r="BU90" i="59"/>
  <c r="BU29" i="59"/>
  <c r="BU38" i="59"/>
  <c r="BU44" i="59"/>
  <c r="BU67" i="59"/>
  <c r="BU47" i="59"/>
  <c r="BU85" i="59"/>
  <c r="BU78" i="59"/>
  <c r="BU58" i="59"/>
  <c r="BU75" i="59"/>
  <c r="BU86" i="59"/>
  <c r="BU13" i="59"/>
  <c r="BU12" i="59"/>
  <c r="BU46" i="59"/>
  <c r="BU14" i="59"/>
  <c r="BU64" i="59"/>
  <c r="BU49" i="59"/>
  <c r="BU71" i="59"/>
  <c r="BU55" i="59"/>
  <c r="BU79" i="59"/>
  <c r="BU95" i="59"/>
  <c r="BU16" i="59"/>
  <c r="BU20" i="59"/>
  <c r="BU23" i="59"/>
  <c r="BU68" i="59"/>
  <c r="BU57" i="59"/>
  <c r="BU74" i="59"/>
  <c r="BU83" i="59"/>
  <c r="BU82" i="59"/>
  <c r="BV94" i="113"/>
  <c r="BV97" i="113"/>
  <c r="BV92" i="113"/>
  <c r="BV95" i="113"/>
  <c r="BV93" i="113"/>
  <c r="BV96" i="113"/>
  <c r="BV82" i="113"/>
  <c r="BV85" i="113"/>
  <c r="BV77" i="113"/>
  <c r="BV83" i="113"/>
  <c r="BV91" i="113"/>
  <c r="BV84" i="113"/>
  <c r="BV72" i="113"/>
  <c r="BV63" i="113"/>
  <c r="BV79" i="113"/>
  <c r="BV68" i="113"/>
  <c r="BV75" i="113"/>
  <c r="BV60" i="113"/>
  <c r="BV53" i="113"/>
  <c r="BV71" i="113"/>
  <c r="BV69" i="113"/>
  <c r="BV61" i="113"/>
  <c r="BV62" i="113"/>
  <c r="BV47" i="113"/>
  <c r="BV38" i="113"/>
  <c r="BV50" i="113"/>
  <c r="BV41" i="113"/>
  <c r="BV33" i="113"/>
  <c r="BV24" i="113"/>
  <c r="BV67" i="113"/>
  <c r="BV66" i="113"/>
  <c r="BV55" i="113"/>
  <c r="BV48" i="113"/>
  <c r="BV74" i="113"/>
  <c r="BV51" i="113"/>
  <c r="BV34" i="113"/>
  <c r="BV25" i="113"/>
  <c r="BV29" i="113"/>
  <c r="BV23" i="113"/>
  <c r="BV49" i="113"/>
  <c r="BV44" i="113"/>
  <c r="BV59" i="113"/>
  <c r="BV40" i="113"/>
  <c r="BV27" i="113"/>
  <c r="BV30" i="113"/>
  <c r="BV19" i="113"/>
  <c r="BV13" i="113"/>
  <c r="BV16" i="113"/>
  <c r="BV20" i="113"/>
  <c r="BV28" i="113"/>
  <c r="BV22" i="113"/>
  <c r="BV18" i="113"/>
  <c r="BV17" i="113"/>
  <c r="BV8" i="113"/>
  <c r="BV89" i="113" s="1"/>
  <c r="BV26" i="113"/>
  <c r="BV11" i="113"/>
  <c r="BV14" i="113"/>
  <c r="BV12" i="113"/>
  <c r="BW7" i="113"/>
  <c r="BV31" i="113"/>
  <c r="BV15" i="113"/>
  <c r="BU27" i="113"/>
  <c r="BU20" i="113"/>
  <c r="BU22" i="113"/>
  <c r="BU66" i="113"/>
  <c r="BU38" i="113"/>
  <c r="BU75" i="113"/>
  <c r="BU70" i="113"/>
  <c r="BU88" i="113"/>
  <c r="BU86" i="113"/>
  <c r="BU92" i="113"/>
  <c r="BU40" i="113"/>
  <c r="BU34" i="113"/>
  <c r="BU30" i="113"/>
  <c r="BU41" i="113"/>
  <c r="BU83" i="113"/>
  <c r="BU52" i="113"/>
  <c r="BU60" i="113"/>
  <c r="BU73" i="113"/>
  <c r="BU89" i="113"/>
  <c r="BU18" i="113"/>
  <c r="BU24" i="113"/>
  <c r="BU19" i="113"/>
  <c r="BU39" i="113"/>
  <c r="BU50" i="113"/>
  <c r="BU44" i="113"/>
  <c r="BU59" i="113"/>
  <c r="BU69" i="113"/>
  <c r="BU82" i="113"/>
  <c r="BU97" i="113"/>
  <c r="BU15" i="113"/>
  <c r="BU17" i="113"/>
  <c r="BU26" i="113"/>
  <c r="BU33" i="113"/>
  <c r="BU48" i="113"/>
  <c r="BU58" i="113"/>
  <c r="BU62" i="113"/>
  <c r="BU67" i="113"/>
  <c r="BU81" i="113"/>
  <c r="BU96" i="113"/>
  <c r="BV18" i="111"/>
  <c r="BV45" i="111"/>
  <c r="BV16" i="111"/>
  <c r="BV31" i="111"/>
  <c r="BV55" i="111"/>
  <c r="BV64" i="111"/>
  <c r="BV88" i="111"/>
  <c r="BV60" i="111"/>
  <c r="BV70" i="111"/>
  <c r="BV92" i="111"/>
  <c r="BW61" i="111"/>
  <c r="BX7" i="111"/>
  <c r="BW8" i="111"/>
  <c r="BW96" i="111" s="1"/>
  <c r="BV25" i="111"/>
  <c r="BV61" i="111"/>
  <c r="BV52" i="111"/>
  <c r="BV73" i="111"/>
  <c r="BV63" i="111"/>
  <c r="BV79" i="111"/>
  <c r="BV89" i="111"/>
  <c r="BV37" i="111"/>
  <c r="BV22" i="111"/>
  <c r="BV36" i="111"/>
  <c r="BV56" i="111"/>
  <c r="BV77" i="111"/>
  <c r="BV66" i="111"/>
  <c r="BV84" i="111"/>
  <c r="BV97" i="111"/>
  <c r="BV40" i="111"/>
  <c r="BV29" i="111"/>
  <c r="BV28" i="111"/>
  <c r="BV30" i="111"/>
  <c r="BV39" i="111"/>
  <c r="BV71" i="111"/>
  <c r="BV80" i="111"/>
  <c r="BV72" i="111"/>
  <c r="BV91" i="111"/>
  <c r="BU59" i="109"/>
  <c r="BU90" i="109"/>
  <c r="BU35" i="109"/>
  <c r="BU66" i="109"/>
  <c r="BU69" i="109"/>
  <c r="BU68" i="109"/>
  <c r="BU95" i="109"/>
  <c r="BU22" i="109"/>
  <c r="BU12" i="109"/>
  <c r="BU33" i="109"/>
  <c r="BU71" i="109"/>
  <c r="BU20" i="109"/>
  <c r="BU50" i="109"/>
  <c r="BU57" i="109"/>
  <c r="BU73" i="109"/>
  <c r="BU77" i="109"/>
  <c r="BU92" i="109"/>
  <c r="BU16" i="109"/>
  <c r="BU15" i="109"/>
  <c r="BU49" i="109"/>
  <c r="BU18" i="109"/>
  <c r="BU29" i="109"/>
  <c r="BU52" i="109"/>
  <c r="BU61" i="109"/>
  <c r="BU63" i="109"/>
  <c r="BU84" i="109"/>
  <c r="BU89" i="109"/>
  <c r="BU72" i="109"/>
  <c r="BU23" i="109"/>
  <c r="BU30" i="109"/>
  <c r="BU27" i="109"/>
  <c r="BU38" i="109"/>
  <c r="BU53" i="109"/>
  <c r="BU64" i="109"/>
  <c r="BU67" i="109"/>
  <c r="BU93" i="109"/>
  <c r="BV97" i="109"/>
  <c r="BV89" i="109"/>
  <c r="BV92" i="109"/>
  <c r="BV90" i="109"/>
  <c r="BV96" i="109"/>
  <c r="BV80" i="109"/>
  <c r="BV93" i="109"/>
  <c r="BV84" i="109"/>
  <c r="BV71" i="109"/>
  <c r="BV86" i="109"/>
  <c r="BV74" i="109"/>
  <c r="BV59" i="109"/>
  <c r="BV73" i="109"/>
  <c r="BV77" i="109"/>
  <c r="BV82" i="109"/>
  <c r="BV75" i="109"/>
  <c r="BV66" i="109"/>
  <c r="BV83" i="109"/>
  <c r="BV69" i="109"/>
  <c r="BV72" i="109"/>
  <c r="BV57" i="109"/>
  <c r="BV50" i="109"/>
  <c r="BV47" i="109"/>
  <c r="BV44" i="109"/>
  <c r="BV38" i="109"/>
  <c r="BV20" i="109"/>
  <c r="BV41" i="109"/>
  <c r="BV33" i="109"/>
  <c r="BV24" i="109"/>
  <c r="BV15" i="109"/>
  <c r="BV56" i="109"/>
  <c r="BV30" i="109"/>
  <c r="BV88" i="109"/>
  <c r="BV68" i="109"/>
  <c r="BV70" i="109"/>
  <c r="BV64" i="109"/>
  <c r="BV49" i="109"/>
  <c r="BV55" i="109"/>
  <c r="BV27" i="109"/>
  <c r="BV52" i="109"/>
  <c r="BV36" i="109"/>
  <c r="BV46" i="109"/>
  <c r="BV40" i="109"/>
  <c r="BV34" i="109"/>
  <c r="BV45" i="109"/>
  <c r="BV23" i="109"/>
  <c r="BV18" i="109"/>
  <c r="BV28" i="109"/>
  <c r="BV61" i="109"/>
  <c r="BV26" i="109"/>
  <c r="BV14" i="109"/>
  <c r="BV11" i="109"/>
  <c r="BV19" i="109"/>
  <c r="BW7" i="109"/>
  <c r="BV51" i="109"/>
  <c r="BV13" i="109"/>
  <c r="BV8" i="109"/>
  <c r="BV95" i="109" s="1"/>
  <c r="BV53" i="109"/>
  <c r="BV25" i="109"/>
  <c r="BV31" i="109"/>
  <c r="BV69" i="107"/>
  <c r="BV24" i="107"/>
  <c r="BV79" i="107"/>
  <c r="BV58" i="107"/>
  <c r="BV36" i="107"/>
  <c r="BV67" i="107"/>
  <c r="BV66" i="107"/>
  <c r="BV93" i="107"/>
  <c r="BV28" i="107"/>
  <c r="BV22" i="107"/>
  <c r="BV18" i="107"/>
  <c r="BV20" i="107"/>
  <c r="BV47" i="107"/>
  <c r="BV61" i="107"/>
  <c r="BV45" i="107"/>
  <c r="BV56" i="107"/>
  <c r="BV74" i="107"/>
  <c r="BV90" i="107"/>
  <c r="BV14" i="107"/>
  <c r="BV46" i="107"/>
  <c r="BV33" i="107"/>
  <c r="BV26" i="107"/>
  <c r="BV70" i="107"/>
  <c r="BV30" i="107"/>
  <c r="BV81" i="107"/>
  <c r="BV91" i="107"/>
  <c r="BV75" i="107"/>
  <c r="BV92" i="107"/>
  <c r="BW97" i="107"/>
  <c r="BW92" i="107"/>
  <c r="BW95" i="107"/>
  <c r="BW86" i="107"/>
  <c r="BW96" i="107"/>
  <c r="BW88" i="107"/>
  <c r="BW79" i="107"/>
  <c r="BW80" i="107"/>
  <c r="BW81" i="107"/>
  <c r="BW82" i="107"/>
  <c r="BW94" i="107"/>
  <c r="BW83" i="107"/>
  <c r="BW73" i="107"/>
  <c r="BW67" i="107"/>
  <c r="BW75" i="107"/>
  <c r="BW53" i="107"/>
  <c r="BW84" i="107"/>
  <c r="BW78" i="107"/>
  <c r="BW48" i="107"/>
  <c r="BW39" i="107"/>
  <c r="BW64" i="107"/>
  <c r="BW61" i="107"/>
  <c r="BW58" i="107"/>
  <c r="BW42" i="107"/>
  <c r="BW34" i="107"/>
  <c r="BW66" i="107"/>
  <c r="BW46" i="107"/>
  <c r="BW77" i="107"/>
  <c r="BW74" i="107"/>
  <c r="BW52" i="107"/>
  <c r="BW51" i="107"/>
  <c r="BW47" i="107"/>
  <c r="BW40" i="107"/>
  <c r="BW36" i="107"/>
  <c r="BW72" i="107"/>
  <c r="BW85" i="107"/>
  <c r="BW57" i="107"/>
  <c r="BW41" i="107"/>
  <c r="BW24" i="107"/>
  <c r="BW15" i="107"/>
  <c r="BW68" i="107"/>
  <c r="BW49" i="107"/>
  <c r="BW37" i="107"/>
  <c r="BW33" i="107"/>
  <c r="BW18" i="107"/>
  <c r="BW50" i="107"/>
  <c r="BW45" i="107"/>
  <c r="BW22" i="107"/>
  <c r="BW28" i="107"/>
  <c r="BW19" i="107"/>
  <c r="BW8" i="107"/>
  <c r="BW90" i="107" s="1"/>
  <c r="BW13" i="107"/>
  <c r="BW23" i="107"/>
  <c r="BW27" i="107"/>
  <c r="BW26" i="107"/>
  <c r="BW12" i="107"/>
  <c r="BW25" i="107"/>
  <c r="BW14" i="107"/>
  <c r="BX7" i="107"/>
  <c r="BW38" i="107"/>
  <c r="BW11" i="107"/>
  <c r="BV50" i="107"/>
  <c r="BV16" i="107"/>
  <c r="BV37" i="107"/>
  <c r="BV41" i="107"/>
  <c r="BV35" i="107"/>
  <c r="BV39" i="107"/>
  <c r="BV59" i="107"/>
  <c r="BV83" i="107"/>
  <c r="BV84" i="107"/>
  <c r="BV89" i="107"/>
  <c r="BV11" i="107"/>
  <c r="BV13" i="107"/>
  <c r="BV25" i="107"/>
  <c r="BV49" i="107"/>
  <c r="BV34" i="107"/>
  <c r="BV68" i="107"/>
  <c r="BV48" i="107"/>
  <c r="BV60" i="107"/>
  <c r="BV72" i="107"/>
  <c r="BV88" i="107"/>
  <c r="BV97" i="107"/>
  <c r="BV23" i="107"/>
  <c r="BV40" i="107"/>
  <c r="BV38" i="107"/>
  <c r="BV55" i="107"/>
  <c r="BV44" i="107"/>
  <c r="BV62" i="107"/>
  <c r="BV27" i="107"/>
  <c r="BV63" i="107"/>
  <c r="BV78" i="107"/>
  <c r="BV96" i="107"/>
  <c r="BV70" i="105"/>
  <c r="BV60" i="105"/>
  <c r="BV83" i="105"/>
  <c r="BV75" i="105"/>
  <c r="BV95" i="105"/>
  <c r="BV19" i="105"/>
  <c r="BV13" i="105"/>
  <c r="BV16" i="105"/>
  <c r="BV36" i="105"/>
  <c r="BV73" i="105"/>
  <c r="BV58" i="105"/>
  <c r="BV69" i="105"/>
  <c r="BV71" i="105"/>
  <c r="BV84" i="105"/>
  <c r="BV92" i="105"/>
  <c r="BV22" i="105"/>
  <c r="BV15" i="105"/>
  <c r="BV40" i="105"/>
  <c r="BV35" i="105"/>
  <c r="BV61" i="105"/>
  <c r="BV66" i="105"/>
  <c r="BV80" i="105"/>
  <c r="BV72" i="105"/>
  <c r="BV89" i="105"/>
  <c r="BV29" i="105"/>
  <c r="BV27" i="105"/>
  <c r="BV41" i="105"/>
  <c r="BV33" i="105"/>
  <c r="BV28" i="105"/>
  <c r="BV44" i="105"/>
  <c r="BV67" i="105"/>
  <c r="BV62" i="105"/>
  <c r="BV91" i="105"/>
  <c r="BV81" i="105"/>
  <c r="BV97" i="105"/>
  <c r="BV12" i="105"/>
  <c r="BV31" i="105"/>
  <c r="BV50" i="105"/>
  <c r="BV30" i="105"/>
  <c r="BV48" i="105"/>
  <c r="BV49" i="105"/>
  <c r="BV53" i="105"/>
  <c r="BV74" i="105"/>
  <c r="BV77" i="105"/>
  <c r="BV96" i="105"/>
  <c r="BV94" i="105"/>
  <c r="BW8" i="105"/>
  <c r="BW92" i="105" s="1"/>
  <c r="BX7" i="105"/>
  <c r="BW12" i="105"/>
  <c r="BV46" i="105"/>
  <c r="BV57" i="105"/>
  <c r="BV56" i="105"/>
  <c r="BV64" i="105"/>
  <c r="BV59" i="105"/>
  <c r="BV85" i="105"/>
  <c r="BV25" i="103"/>
  <c r="BV12" i="103"/>
  <c r="BV26" i="103"/>
  <c r="BV34" i="103"/>
  <c r="BV35" i="103"/>
  <c r="BV52" i="103"/>
  <c r="BV69" i="103"/>
  <c r="BV62" i="103"/>
  <c r="BV83" i="103"/>
  <c r="BV93" i="103"/>
  <c r="BV90" i="103"/>
  <c r="BV17" i="103"/>
  <c r="BW95" i="103"/>
  <c r="BW90" i="103"/>
  <c r="BW96" i="103"/>
  <c r="BW85" i="103"/>
  <c r="BW83" i="103"/>
  <c r="BW81" i="103"/>
  <c r="BW71" i="103"/>
  <c r="BW66" i="103"/>
  <c r="BW69" i="103"/>
  <c r="BW60" i="103"/>
  <c r="BW55" i="103"/>
  <c r="BW72" i="103"/>
  <c r="BW52" i="103"/>
  <c r="BW67" i="103"/>
  <c r="BW58" i="103"/>
  <c r="BW41" i="103"/>
  <c r="BW48" i="103"/>
  <c r="BW38" i="103"/>
  <c r="BW37" i="103"/>
  <c r="BW30" i="103"/>
  <c r="BW25" i="103"/>
  <c r="BW23" i="103"/>
  <c r="BW20" i="103"/>
  <c r="BX7" i="103"/>
  <c r="BW33" i="103"/>
  <c r="BW22" i="103"/>
  <c r="BW12" i="103"/>
  <c r="BW17" i="103"/>
  <c r="BW8" i="103"/>
  <c r="BW86" i="103" s="1"/>
  <c r="BW24" i="103"/>
  <c r="BW26" i="103"/>
  <c r="BV28" i="103"/>
  <c r="BV44" i="103"/>
  <c r="BV53" i="103"/>
  <c r="BV40" i="103"/>
  <c r="BV60" i="103"/>
  <c r="BV91" i="103"/>
  <c r="BV77" i="103"/>
  <c r="BV86" i="103"/>
  <c r="BV15" i="103"/>
  <c r="BV14" i="103"/>
  <c r="BV33" i="103"/>
  <c r="BV48" i="103"/>
  <c r="BV50" i="103"/>
  <c r="BV49" i="103"/>
  <c r="BV68" i="103"/>
  <c r="BV78" i="103"/>
  <c r="BV85" i="103"/>
  <c r="BV95" i="103"/>
  <c r="BV71" i="103"/>
  <c r="BV23" i="103"/>
  <c r="BV24" i="103"/>
  <c r="BV37" i="103"/>
  <c r="BV39" i="103"/>
  <c r="BV38" i="103"/>
  <c r="BV55" i="103"/>
  <c r="BV75" i="103"/>
  <c r="BV84" i="103"/>
  <c r="BV82" i="103"/>
  <c r="BV92" i="103"/>
  <c r="BV46" i="103"/>
  <c r="BV70" i="103"/>
  <c r="BV29" i="103"/>
  <c r="BV11" i="103"/>
  <c r="BV41" i="103"/>
  <c r="BV42" i="103"/>
  <c r="BV47" i="103"/>
  <c r="BV63" i="103"/>
  <c r="BV72" i="103"/>
  <c r="BV56" i="103"/>
  <c r="BV79" i="103"/>
  <c r="BV89" i="103"/>
  <c r="BV27" i="103"/>
  <c r="BV57" i="103"/>
  <c r="BV13" i="103"/>
  <c r="BV16" i="103"/>
  <c r="BV18" i="103"/>
  <c r="BV22" i="103"/>
  <c r="BV51" i="103"/>
  <c r="BV58" i="103"/>
  <c r="BV67" i="103"/>
  <c r="BV66" i="103"/>
  <c r="BV64" i="103"/>
  <c r="BV88" i="103"/>
  <c r="BV97" i="103"/>
  <c r="BV19" i="103"/>
  <c r="BV45" i="103"/>
  <c r="BV31" i="103"/>
  <c r="BV36" i="103"/>
  <c r="BV20" i="103"/>
  <c r="BV30" i="103"/>
  <c r="BV59" i="103"/>
  <c r="BV61" i="103"/>
  <c r="BV81" i="103"/>
  <c r="BV74" i="103"/>
  <c r="BV73" i="103"/>
  <c r="BV96" i="103"/>
  <c r="BV97" i="101"/>
  <c r="BV90" i="101"/>
  <c r="BV93" i="101"/>
  <c r="BV96" i="101"/>
  <c r="BV84" i="101"/>
  <c r="BV75" i="101"/>
  <c r="BV81" i="101"/>
  <c r="BV61" i="101"/>
  <c r="BV64" i="101"/>
  <c r="BV79" i="101"/>
  <c r="BV78" i="101"/>
  <c r="BV72" i="101"/>
  <c r="BV53" i="101"/>
  <c r="BV50" i="101"/>
  <c r="BV41" i="101"/>
  <c r="BV36" i="101"/>
  <c r="BV69" i="101"/>
  <c r="BV52" i="101"/>
  <c r="BV51" i="101"/>
  <c r="BV44" i="101"/>
  <c r="BV60" i="101"/>
  <c r="BV40" i="101"/>
  <c r="BV29" i="101"/>
  <c r="BV37" i="101"/>
  <c r="BV49" i="101"/>
  <c r="BV20" i="101"/>
  <c r="BV17" i="101"/>
  <c r="BV12" i="101"/>
  <c r="BV8" i="101"/>
  <c r="BV94" i="101" s="1"/>
  <c r="BV25" i="101"/>
  <c r="BV11" i="101"/>
  <c r="BW7" i="101"/>
  <c r="BV16" i="101"/>
  <c r="BU69" i="101"/>
  <c r="BU66" i="101"/>
  <c r="BU52" i="101"/>
  <c r="BU84" i="101"/>
  <c r="BU88" i="101"/>
  <c r="BU94" i="101"/>
  <c r="BU30" i="101"/>
  <c r="BU58" i="101"/>
  <c r="BU70" i="101"/>
  <c r="BU41" i="101"/>
  <c r="BU72" i="101"/>
  <c r="BU61" i="101"/>
  <c r="BU93" i="101"/>
  <c r="BU96" i="101"/>
  <c r="BU38" i="99"/>
  <c r="BU67" i="99"/>
  <c r="BU70" i="99"/>
  <c r="BU78" i="99"/>
  <c r="BU95" i="99"/>
  <c r="BU33" i="99"/>
  <c r="BU17" i="99"/>
  <c r="BU34" i="99"/>
  <c r="BU26" i="99"/>
  <c r="BU71" i="99"/>
  <c r="BU53" i="99"/>
  <c r="BU80" i="99"/>
  <c r="BU79" i="99"/>
  <c r="BU66" i="99"/>
  <c r="BU92" i="99"/>
  <c r="BU62" i="99"/>
  <c r="BU30" i="99"/>
  <c r="BU35" i="99"/>
  <c r="BU36" i="99"/>
  <c r="BU59" i="99"/>
  <c r="BU46" i="99"/>
  <c r="BU75" i="99"/>
  <c r="BU74" i="99"/>
  <c r="BU89" i="99"/>
  <c r="BV95" i="99"/>
  <c r="BV86" i="99"/>
  <c r="BV90" i="99"/>
  <c r="BV93" i="99"/>
  <c r="BV78" i="99"/>
  <c r="BV81" i="99"/>
  <c r="BV72" i="99"/>
  <c r="BV84" i="99"/>
  <c r="BV75" i="99"/>
  <c r="BV82" i="99"/>
  <c r="BV64" i="99"/>
  <c r="BV85" i="99"/>
  <c r="BV77" i="99"/>
  <c r="BV68" i="99"/>
  <c r="BV66" i="99"/>
  <c r="BV58" i="99"/>
  <c r="BV49" i="99"/>
  <c r="BV61" i="99"/>
  <c r="BV91" i="99"/>
  <c r="BV71" i="99"/>
  <c r="BV56" i="99"/>
  <c r="BV70" i="99"/>
  <c r="BV62" i="99"/>
  <c r="BV53" i="99"/>
  <c r="BV51" i="99"/>
  <c r="BV47" i="99"/>
  <c r="BV41" i="99"/>
  <c r="BV60" i="99"/>
  <c r="BV55" i="99"/>
  <c r="BV39" i="99"/>
  <c r="BV48" i="99"/>
  <c r="BV42" i="99"/>
  <c r="BV46" i="99"/>
  <c r="BV44" i="99"/>
  <c r="BV63" i="99"/>
  <c r="BV29" i="99"/>
  <c r="BV20" i="99"/>
  <c r="BV38" i="99"/>
  <c r="BV33" i="99"/>
  <c r="BV24" i="99"/>
  <c r="BV57" i="99"/>
  <c r="BV30" i="99"/>
  <c r="BV34" i="99"/>
  <c r="BV25" i="99"/>
  <c r="BV59" i="99"/>
  <c r="BV50" i="99"/>
  <c r="BV26" i="99"/>
  <c r="BV22" i="99"/>
  <c r="BV14" i="99"/>
  <c r="BW7" i="99"/>
  <c r="BV27" i="99"/>
  <c r="BV17" i="99"/>
  <c r="BV40" i="99"/>
  <c r="BV35" i="99"/>
  <c r="BV31" i="99"/>
  <c r="BV28" i="99"/>
  <c r="BV12" i="99"/>
  <c r="BV74" i="99"/>
  <c r="BV23" i="99"/>
  <c r="BV13" i="99"/>
  <c r="BV37" i="99"/>
  <c r="BV18" i="99"/>
  <c r="BV11" i="99"/>
  <c r="BV19" i="99"/>
  <c r="BV8" i="99"/>
  <c r="BV94" i="99" s="1"/>
  <c r="BV16" i="99"/>
  <c r="BU25" i="99"/>
  <c r="BU19" i="99"/>
  <c r="BU14" i="99"/>
  <c r="BU57" i="99"/>
  <c r="BU48" i="99"/>
  <c r="BU60" i="99"/>
  <c r="BU52" i="99"/>
  <c r="BU64" i="99"/>
  <c r="BU63" i="99"/>
  <c r="BU96" i="99"/>
  <c r="BU94" i="99"/>
  <c r="BU16" i="99"/>
  <c r="BU24" i="99"/>
  <c r="BU22" i="99"/>
  <c r="BU77" i="99"/>
  <c r="BU40" i="99"/>
  <c r="BU41" i="99"/>
  <c r="BU61" i="99"/>
  <c r="BU73" i="99"/>
  <c r="BU72" i="99"/>
  <c r="BU93" i="99"/>
  <c r="BU36" i="97"/>
  <c r="BU22" i="97"/>
  <c r="BU15" i="97"/>
  <c r="BU33" i="97"/>
  <c r="BU41" i="97"/>
  <c r="BU53" i="97"/>
  <c r="BU80" i="97"/>
  <c r="BU57" i="97"/>
  <c r="BU81" i="97"/>
  <c r="BU86" i="97"/>
  <c r="BU20" i="97"/>
  <c r="BV92" i="97"/>
  <c r="BV69" i="97"/>
  <c r="BV81" i="97"/>
  <c r="BV63" i="97"/>
  <c r="BV60" i="97"/>
  <c r="BV47" i="97"/>
  <c r="BV91" i="97"/>
  <c r="BV48" i="97"/>
  <c r="BV40" i="97"/>
  <c r="BV31" i="97"/>
  <c r="BV62" i="97"/>
  <c r="BV52" i="97"/>
  <c r="BV41" i="97"/>
  <c r="BV27" i="97"/>
  <c r="BV82" i="97"/>
  <c r="BV57" i="97"/>
  <c r="BV18" i="97"/>
  <c r="BV8" i="97"/>
  <c r="BV86" i="97" s="1"/>
  <c r="BV59" i="97"/>
  <c r="BV33" i="97"/>
  <c r="BV71" i="97"/>
  <c r="BV36" i="97"/>
  <c r="BV23" i="97"/>
  <c r="BV19" i="97"/>
  <c r="BV28" i="97"/>
  <c r="BV45" i="97"/>
  <c r="BV25" i="97"/>
  <c r="BV14" i="97"/>
  <c r="BW7" i="97"/>
  <c r="BV35" i="97"/>
  <c r="BV17" i="97"/>
  <c r="BV22" i="97"/>
  <c r="BV29" i="97"/>
  <c r="BV11" i="97"/>
  <c r="BV51" i="97"/>
  <c r="BV16" i="97"/>
  <c r="BU24" i="97"/>
  <c r="BU56" i="97"/>
  <c r="BU49" i="97"/>
  <c r="BU61" i="97"/>
  <c r="BU55" i="97"/>
  <c r="BU68" i="97"/>
  <c r="BU78" i="97"/>
  <c r="BU95" i="97"/>
  <c r="BU92" i="97"/>
  <c r="BU13" i="97"/>
  <c r="BU29" i="97"/>
  <c r="BU30" i="97"/>
  <c r="BU48" i="97"/>
  <c r="BU77" i="97"/>
  <c r="BU44" i="97"/>
  <c r="BU69" i="97"/>
  <c r="BU67" i="97"/>
  <c r="BU74" i="97"/>
  <c r="BU89" i="97"/>
  <c r="BU46" i="97"/>
  <c r="BU58" i="97"/>
  <c r="BU51" i="97"/>
  <c r="BU28" i="97"/>
  <c r="BU52" i="97"/>
  <c r="BU85" i="97"/>
  <c r="BU75" i="97"/>
  <c r="BU83" i="97"/>
  <c r="BU97" i="97"/>
  <c r="BU40" i="97"/>
  <c r="BU12" i="97"/>
  <c r="BU14" i="97"/>
  <c r="BU39" i="97"/>
  <c r="BU38" i="97"/>
  <c r="BU37" i="97"/>
  <c r="BU59" i="97"/>
  <c r="BU60" i="97"/>
  <c r="BU84" i="97"/>
  <c r="BU96" i="97"/>
  <c r="BW14" i="95"/>
  <c r="BW33" i="95"/>
  <c r="BW72" i="95"/>
  <c r="BW22" i="95"/>
  <c r="BW86" i="95"/>
  <c r="BW91" i="95"/>
  <c r="BW36" i="95"/>
  <c r="BW18" i="95"/>
  <c r="BW31" i="95"/>
  <c r="BW64" i="95"/>
  <c r="BW23" i="95"/>
  <c r="BW61" i="95"/>
  <c r="BW80" i="95"/>
  <c r="BW60" i="95"/>
  <c r="BW11" i="95"/>
  <c r="BW28" i="95"/>
  <c r="BW85" i="95"/>
  <c r="BW13" i="95"/>
  <c r="BW46" i="95"/>
  <c r="BW58" i="95"/>
  <c r="BW27" i="95"/>
  <c r="BW39" i="95"/>
  <c r="BW37" i="95"/>
  <c r="BW40" i="95"/>
  <c r="BW17" i="95"/>
  <c r="BW35" i="95"/>
  <c r="BW50" i="95"/>
  <c r="BW47" i="95"/>
  <c r="BW38" i="95"/>
  <c r="BW77" i="95"/>
  <c r="BW67" i="95"/>
  <c r="BW93" i="95"/>
  <c r="BW68" i="95"/>
  <c r="BW88" i="95"/>
  <c r="BX8" i="95"/>
  <c r="BX92" i="95" s="1"/>
  <c r="BY7" i="95"/>
  <c r="BZ7" i="95" s="1"/>
  <c r="CA7" i="95" s="1"/>
  <c r="BW20" i="95"/>
  <c r="BW57" i="95"/>
  <c r="BW24" i="95"/>
  <c r="BW19" i="95"/>
  <c r="BW53" i="95"/>
  <c r="BW59" i="95"/>
  <c r="BW49" i="95"/>
  <c r="BW45" i="95"/>
  <c r="BW94" i="95"/>
  <c r="BW69" i="95"/>
  <c r="BW97" i="95"/>
  <c r="BW74" i="95"/>
  <c r="BW83" i="95"/>
  <c r="BW26" i="95"/>
  <c r="BW29" i="95"/>
  <c r="BW41" i="95"/>
  <c r="BW34" i="95"/>
  <c r="BW71" i="95"/>
  <c r="BW51" i="95"/>
  <c r="BW66" i="95"/>
  <c r="BW56" i="95"/>
  <c r="BW95" i="95"/>
  <c r="BW79" i="95"/>
  <c r="BW90" i="95"/>
  <c r="BW16" i="95"/>
  <c r="BW25" i="95"/>
  <c r="BW12" i="95"/>
  <c r="BW30" i="95"/>
  <c r="BW15" i="95"/>
  <c r="BW42" i="95"/>
  <c r="BW48" i="95"/>
  <c r="BW96" i="95"/>
  <c r="BW55" i="95"/>
  <c r="BW73" i="95"/>
  <c r="BW62" i="95"/>
  <c r="BW82" i="95"/>
  <c r="BW81" i="95"/>
  <c r="BW92" i="95"/>
  <c r="BW44" i="95"/>
  <c r="BW52" i="95"/>
  <c r="BW78" i="95"/>
  <c r="BW63" i="95"/>
  <c r="BW75" i="95"/>
  <c r="BW70" i="95"/>
  <c r="BW84" i="95"/>
  <c r="BV26" i="59" l="1"/>
  <c r="BV19" i="59"/>
  <c r="BV25" i="59"/>
  <c r="BV50" i="59"/>
  <c r="BV31" i="59"/>
  <c r="BV60" i="59"/>
  <c r="BV81" i="59"/>
  <c r="BV36" i="59"/>
  <c r="BV34" i="59"/>
  <c r="BV20" i="59"/>
  <c r="BV49" i="59"/>
  <c r="BV71" i="59"/>
  <c r="BV78" i="59"/>
  <c r="BV64" i="59"/>
  <c r="BV16" i="59"/>
  <c r="BV17" i="59"/>
  <c r="BV77" i="59"/>
  <c r="BV51" i="59"/>
  <c r="BV66" i="59"/>
  <c r="BV92" i="59"/>
  <c r="BV88" i="59"/>
  <c r="BV97" i="59"/>
  <c r="BV70" i="59"/>
  <c r="BV69" i="59"/>
  <c r="BV91" i="59"/>
  <c r="BV96" i="59"/>
  <c r="BV94" i="59"/>
  <c r="BV12" i="59"/>
  <c r="BV15" i="59"/>
  <c r="BV27" i="59"/>
  <c r="BV53" i="59"/>
  <c r="BV46" i="59"/>
  <c r="BV45" i="59"/>
  <c r="BV57" i="59"/>
  <c r="BV72" i="59"/>
  <c r="BV85" i="59"/>
  <c r="BV93" i="59"/>
  <c r="BV90" i="59"/>
  <c r="BV23" i="59"/>
  <c r="BV30" i="59"/>
  <c r="BV28" i="59"/>
  <c r="BV37" i="59"/>
  <c r="BV41" i="59"/>
  <c r="BV47" i="59"/>
  <c r="BV56" i="59"/>
  <c r="BV63" i="59"/>
  <c r="BV59" i="59"/>
  <c r="BV58" i="59"/>
  <c r="BV73" i="59"/>
  <c r="BV95" i="59"/>
  <c r="BV18" i="59"/>
  <c r="BV55" i="59"/>
  <c r="BV38" i="59"/>
  <c r="BV40" i="59"/>
  <c r="BV61" i="59"/>
  <c r="BV82" i="59"/>
  <c r="BV86" i="59"/>
  <c r="BV75" i="59"/>
  <c r="BW70" i="59"/>
  <c r="BW8" i="59"/>
  <c r="BW97" i="59" s="1"/>
  <c r="BX7" i="59"/>
  <c r="BW95" i="113"/>
  <c r="BW86" i="113"/>
  <c r="BW93" i="113"/>
  <c r="BW96" i="113"/>
  <c r="BW80" i="113"/>
  <c r="BW83" i="113"/>
  <c r="BW74" i="113"/>
  <c r="BW78" i="113"/>
  <c r="BW84" i="113"/>
  <c r="BW82" i="113"/>
  <c r="BW67" i="113"/>
  <c r="BW58" i="113"/>
  <c r="BW79" i="113"/>
  <c r="BW68" i="113"/>
  <c r="BW63" i="113"/>
  <c r="BW56" i="113"/>
  <c r="BW70" i="113"/>
  <c r="BW60" i="113"/>
  <c r="BW64" i="113"/>
  <c r="BW61" i="113"/>
  <c r="BW81" i="113"/>
  <c r="BW66" i="113"/>
  <c r="BW53" i="113"/>
  <c r="BW50" i="113"/>
  <c r="BW27" i="113"/>
  <c r="BW55" i="113"/>
  <c r="BW48" i="113"/>
  <c r="BW39" i="113"/>
  <c r="BW51" i="113"/>
  <c r="BW28" i="113"/>
  <c r="BW33" i="113"/>
  <c r="BW25" i="113"/>
  <c r="BW19" i="113"/>
  <c r="BW29" i="113"/>
  <c r="BW34" i="113"/>
  <c r="BW26" i="113"/>
  <c r="BW30" i="113"/>
  <c r="BW31" i="113"/>
  <c r="BW18" i="113"/>
  <c r="BW62" i="113"/>
  <c r="BW47" i="113"/>
  <c r="BW40" i="113"/>
  <c r="BW20" i="113"/>
  <c r="BW14" i="113"/>
  <c r="BW35" i="113"/>
  <c r="BW23" i="113"/>
  <c r="BW11" i="113"/>
  <c r="BW12" i="113"/>
  <c r="BX7" i="113"/>
  <c r="BW15" i="113"/>
  <c r="BW13" i="113"/>
  <c r="BW8" i="113"/>
  <c r="BW97" i="113" s="1"/>
  <c r="BV56" i="113"/>
  <c r="BV80" i="113"/>
  <c r="BV90" i="113"/>
  <c r="BV36" i="113"/>
  <c r="BV35" i="113"/>
  <c r="BV37" i="113"/>
  <c r="BV57" i="113"/>
  <c r="BV58" i="113"/>
  <c r="BV78" i="113"/>
  <c r="BV64" i="113"/>
  <c r="BV88" i="113"/>
  <c r="BV86" i="113"/>
  <c r="BV46" i="113"/>
  <c r="BV39" i="113"/>
  <c r="BV42" i="113"/>
  <c r="BV45" i="113"/>
  <c r="BV52" i="113"/>
  <c r="BV70" i="113"/>
  <c r="BV81" i="113"/>
  <c r="BV73" i="113"/>
  <c r="BW11" i="111"/>
  <c r="BW25" i="111"/>
  <c r="BW63" i="111"/>
  <c r="BW31" i="111"/>
  <c r="BW20" i="111"/>
  <c r="BW27" i="111"/>
  <c r="BW70" i="111"/>
  <c r="BW44" i="111"/>
  <c r="BW55" i="111"/>
  <c r="BW58" i="111"/>
  <c r="BW81" i="111"/>
  <c r="BW53" i="111"/>
  <c r="BW93" i="111"/>
  <c r="BW13" i="111"/>
  <c r="BW33" i="111"/>
  <c r="BW35" i="111"/>
  <c r="BW41" i="111"/>
  <c r="BW72" i="111"/>
  <c r="BW69" i="111"/>
  <c r="BW64" i="111"/>
  <c r="BW77" i="111"/>
  <c r="BW91" i="111"/>
  <c r="BW95" i="111"/>
  <c r="BW86" i="111"/>
  <c r="BW22" i="111"/>
  <c r="BX96" i="111"/>
  <c r="BX88" i="111"/>
  <c r="BX91" i="111"/>
  <c r="BX85" i="111"/>
  <c r="BX77" i="111"/>
  <c r="BX68" i="111"/>
  <c r="BX83" i="111"/>
  <c r="BX79" i="111"/>
  <c r="BX48" i="111"/>
  <c r="BX39" i="111"/>
  <c r="BX84" i="111"/>
  <c r="BX81" i="111"/>
  <c r="BX78" i="111"/>
  <c r="BX64" i="111"/>
  <c r="BX61" i="111"/>
  <c r="BX58" i="111"/>
  <c r="BX75" i="111"/>
  <c r="BX69" i="111"/>
  <c r="BX59" i="111"/>
  <c r="BX50" i="111"/>
  <c r="BX47" i="111"/>
  <c r="BX70" i="111"/>
  <c r="BX72" i="111"/>
  <c r="BX63" i="111"/>
  <c r="BX62" i="111"/>
  <c r="BX56" i="111"/>
  <c r="BX89" i="111"/>
  <c r="BX55" i="111"/>
  <c r="BX46" i="111"/>
  <c r="BX45" i="111"/>
  <c r="BX44" i="111"/>
  <c r="BX51" i="111"/>
  <c r="BX38" i="111"/>
  <c r="BX28" i="111"/>
  <c r="BX19" i="111"/>
  <c r="BX34" i="111"/>
  <c r="BX31" i="111"/>
  <c r="BX29" i="111"/>
  <c r="BX49" i="111"/>
  <c r="BX33" i="111"/>
  <c r="BX11" i="111"/>
  <c r="BX37" i="111"/>
  <c r="BX17" i="111"/>
  <c r="BX20" i="111"/>
  <c r="BX14" i="111"/>
  <c r="BY7" i="111"/>
  <c r="BX30" i="111"/>
  <c r="BX27" i="111"/>
  <c r="BX18" i="111"/>
  <c r="BX16" i="111"/>
  <c r="BX40" i="111"/>
  <c r="BX26" i="111"/>
  <c r="BX25" i="111"/>
  <c r="BX22" i="111"/>
  <c r="BX13" i="111"/>
  <c r="BX8" i="111"/>
  <c r="BX82" i="111" s="1"/>
  <c r="BW39" i="111"/>
  <c r="BW47" i="111"/>
  <c r="BW34" i="111"/>
  <c r="BW59" i="111"/>
  <c r="BW94" i="111"/>
  <c r="BW80" i="111"/>
  <c r="BW73" i="111"/>
  <c r="BW92" i="111"/>
  <c r="BW62" i="111"/>
  <c r="BW12" i="111"/>
  <c r="BW29" i="111"/>
  <c r="BW14" i="111"/>
  <c r="BW49" i="111"/>
  <c r="BW50" i="111"/>
  <c r="BW66" i="111"/>
  <c r="BW52" i="111"/>
  <c r="BW67" i="111"/>
  <c r="BW83" i="111"/>
  <c r="BW82" i="111"/>
  <c r="BW89" i="111"/>
  <c r="BW84" i="111"/>
  <c r="BW15" i="111"/>
  <c r="BW42" i="111"/>
  <c r="BW24" i="111"/>
  <c r="BW19" i="111"/>
  <c r="BW75" i="111"/>
  <c r="BW90" i="111"/>
  <c r="BW56" i="111"/>
  <c r="BW68" i="111"/>
  <c r="BW85" i="111"/>
  <c r="BW79" i="111"/>
  <c r="BW97" i="111"/>
  <c r="BW18" i="111"/>
  <c r="BW46" i="111"/>
  <c r="BW16" i="111"/>
  <c r="BW28" i="111"/>
  <c r="BW37" i="111"/>
  <c r="BW48" i="111"/>
  <c r="BW60" i="111"/>
  <c r="BW74" i="111"/>
  <c r="BW36" i="111"/>
  <c r="BW88" i="111"/>
  <c r="BW26" i="111"/>
  <c r="BW57" i="111"/>
  <c r="BW30" i="111"/>
  <c r="BW17" i="111"/>
  <c r="BW23" i="111"/>
  <c r="BW38" i="111"/>
  <c r="BW40" i="111"/>
  <c r="BW51" i="111"/>
  <c r="BW71" i="111"/>
  <c r="BW78" i="111"/>
  <c r="BW45" i="111"/>
  <c r="BW94" i="109"/>
  <c r="BW85" i="109"/>
  <c r="BW64" i="109"/>
  <c r="BW59" i="109"/>
  <c r="BW24" i="109"/>
  <c r="BW70" i="109"/>
  <c r="BW50" i="109"/>
  <c r="BW46" i="109"/>
  <c r="BW28" i="109"/>
  <c r="BW14" i="109"/>
  <c r="BW8" i="109"/>
  <c r="BW97" i="109" s="1"/>
  <c r="BX7" i="109"/>
  <c r="BW12" i="109"/>
  <c r="BV78" i="109"/>
  <c r="BV85" i="109"/>
  <c r="BV94" i="109"/>
  <c r="BV12" i="109"/>
  <c r="BV17" i="109"/>
  <c r="BV48" i="109"/>
  <c r="BV22" i="109"/>
  <c r="BV58" i="109"/>
  <c r="BV67" i="109"/>
  <c r="BV63" i="109"/>
  <c r="BV62" i="109"/>
  <c r="BV91" i="109"/>
  <c r="BV16" i="109"/>
  <c r="BV42" i="109"/>
  <c r="BV37" i="109"/>
  <c r="BV35" i="109"/>
  <c r="BV39" i="109"/>
  <c r="BV29" i="109"/>
  <c r="BV60" i="109"/>
  <c r="BV79" i="109"/>
  <c r="BV81" i="109"/>
  <c r="BW70" i="107"/>
  <c r="BW91" i="107"/>
  <c r="BW89" i="107"/>
  <c r="BX86" i="107"/>
  <c r="BX90" i="107"/>
  <c r="BX96" i="107"/>
  <c r="BX88" i="107"/>
  <c r="BX97" i="107"/>
  <c r="BX82" i="107"/>
  <c r="BX83" i="107"/>
  <c r="BX78" i="107"/>
  <c r="BX77" i="107"/>
  <c r="BX74" i="107"/>
  <c r="BX60" i="107"/>
  <c r="BX53" i="107"/>
  <c r="BX64" i="107"/>
  <c r="BX61" i="107"/>
  <c r="BX42" i="107"/>
  <c r="BX34" i="107"/>
  <c r="BX55" i="107"/>
  <c r="BX46" i="107"/>
  <c r="BX28" i="107"/>
  <c r="BX51" i="107"/>
  <c r="BX73" i="107"/>
  <c r="BX69" i="107"/>
  <c r="BX39" i="107"/>
  <c r="BX56" i="107"/>
  <c r="BX33" i="107"/>
  <c r="BX84" i="107"/>
  <c r="BX81" i="107"/>
  <c r="BX50" i="107"/>
  <c r="BX52" i="107"/>
  <c r="BX47" i="107"/>
  <c r="BX29" i="107"/>
  <c r="BX18" i="107"/>
  <c r="BX27" i="107"/>
  <c r="BX25" i="107"/>
  <c r="BX20" i="107"/>
  <c r="BX16" i="107"/>
  <c r="BX41" i="107"/>
  <c r="BX26" i="107"/>
  <c r="BX15" i="107"/>
  <c r="BX19" i="107"/>
  <c r="BY7" i="107"/>
  <c r="BX8" i="107"/>
  <c r="BX91" i="107" s="1"/>
  <c r="BW17" i="107"/>
  <c r="BW16" i="107"/>
  <c r="BW29" i="107"/>
  <c r="BW35" i="107"/>
  <c r="BW56" i="107"/>
  <c r="BW55" i="107"/>
  <c r="BW71" i="107"/>
  <c r="BW59" i="107"/>
  <c r="BW60" i="107"/>
  <c r="BW93" i="107"/>
  <c r="BW31" i="107"/>
  <c r="BW20" i="107"/>
  <c r="BW44" i="107"/>
  <c r="BW62" i="107"/>
  <c r="BW30" i="107"/>
  <c r="BW63" i="107"/>
  <c r="BW69" i="107"/>
  <c r="BW14" i="105"/>
  <c r="BW15" i="105"/>
  <c r="BW27" i="105"/>
  <c r="BW35" i="105"/>
  <c r="BW29" i="105"/>
  <c r="BW41" i="105"/>
  <c r="BW70" i="105"/>
  <c r="BW71" i="105"/>
  <c r="BW74" i="105"/>
  <c r="BW84" i="105"/>
  <c r="BW89" i="105"/>
  <c r="BW23" i="105"/>
  <c r="BW26" i="105"/>
  <c r="BW40" i="105"/>
  <c r="BW18" i="105"/>
  <c r="BW49" i="105"/>
  <c r="BW38" i="105"/>
  <c r="BW72" i="105"/>
  <c r="BW82" i="105"/>
  <c r="BW80" i="105"/>
  <c r="BW96" i="105"/>
  <c r="BW34" i="105"/>
  <c r="BW36" i="105"/>
  <c r="BW11" i="105"/>
  <c r="BW24" i="105"/>
  <c r="BW56" i="105"/>
  <c r="BW47" i="105"/>
  <c r="BW60" i="105"/>
  <c r="BW94" i="105"/>
  <c r="BW91" i="105"/>
  <c r="BW93" i="105"/>
  <c r="BW51" i="105"/>
  <c r="BW17" i="105"/>
  <c r="BW53" i="105"/>
  <c r="BW39" i="105"/>
  <c r="BW68" i="105"/>
  <c r="BW73" i="105"/>
  <c r="BW64" i="105"/>
  <c r="BW57" i="105"/>
  <c r="BW77" i="105"/>
  <c r="BW90" i="105"/>
  <c r="BW88" i="105"/>
  <c r="BX86" i="105"/>
  <c r="BX93" i="105"/>
  <c r="BX96" i="105"/>
  <c r="BX82" i="105"/>
  <c r="BX85" i="105"/>
  <c r="BX89" i="105"/>
  <c r="BX81" i="105"/>
  <c r="BX66" i="105"/>
  <c r="BX57" i="105"/>
  <c r="BX71" i="105"/>
  <c r="BX67" i="105"/>
  <c r="BX58" i="105"/>
  <c r="BX56" i="105"/>
  <c r="BX62" i="105"/>
  <c r="BX59" i="105"/>
  <c r="BX45" i="105"/>
  <c r="BX53" i="105"/>
  <c r="BX68" i="105"/>
  <c r="BX44" i="105"/>
  <c r="BX33" i="105"/>
  <c r="BX42" i="105"/>
  <c r="BX64" i="105"/>
  <c r="BX35" i="105"/>
  <c r="BX30" i="105"/>
  <c r="BX22" i="105"/>
  <c r="BX48" i="105"/>
  <c r="BX16" i="105"/>
  <c r="BX27" i="105"/>
  <c r="BX25" i="105"/>
  <c r="BX11" i="105"/>
  <c r="BX34" i="105"/>
  <c r="BX12" i="105"/>
  <c r="BX37" i="105"/>
  <c r="BX15" i="105"/>
  <c r="BX18" i="105"/>
  <c r="BX8" i="105"/>
  <c r="BX88" i="105" s="1"/>
  <c r="BY7" i="105"/>
  <c r="BW28" i="105"/>
  <c r="BW13" i="105"/>
  <c r="BW42" i="105"/>
  <c r="BW31" i="105"/>
  <c r="BW44" i="105"/>
  <c r="BW58" i="105"/>
  <c r="BW66" i="105"/>
  <c r="BW85" i="105"/>
  <c r="BW86" i="105"/>
  <c r="BW20" i="105"/>
  <c r="BW16" i="105"/>
  <c r="BW37" i="105"/>
  <c r="BW50" i="105"/>
  <c r="BW61" i="105"/>
  <c r="BW69" i="105"/>
  <c r="BW83" i="105"/>
  <c r="BW97" i="105"/>
  <c r="BW33" i="105"/>
  <c r="BW19" i="105"/>
  <c r="BW22" i="105"/>
  <c r="BW78" i="105"/>
  <c r="BW48" i="105"/>
  <c r="BW55" i="105"/>
  <c r="BW67" i="105"/>
  <c r="BW81" i="105"/>
  <c r="BW79" i="105"/>
  <c r="BW95" i="105"/>
  <c r="BW45" i="105"/>
  <c r="BW25" i="105"/>
  <c r="BW30" i="105"/>
  <c r="BW46" i="105"/>
  <c r="BW59" i="105"/>
  <c r="BW52" i="105"/>
  <c r="BW63" i="105"/>
  <c r="BW62" i="105"/>
  <c r="BW75" i="105"/>
  <c r="BW40" i="103"/>
  <c r="BW36" i="103"/>
  <c r="BW31" i="103"/>
  <c r="BW39" i="103"/>
  <c r="BW50" i="103"/>
  <c r="BW70" i="103"/>
  <c r="BW77" i="103"/>
  <c r="BW59" i="103"/>
  <c r="BW82" i="103"/>
  <c r="BW92" i="103"/>
  <c r="BW11" i="103"/>
  <c r="BW45" i="103"/>
  <c r="BW27" i="103"/>
  <c r="BW35" i="103"/>
  <c r="BW42" i="103"/>
  <c r="BW56" i="103"/>
  <c r="BW73" i="103"/>
  <c r="BW79" i="103"/>
  <c r="BW68" i="103"/>
  <c r="BW91" i="103"/>
  <c r="BW89" i="103"/>
  <c r="BW18" i="103"/>
  <c r="BW15" i="103"/>
  <c r="BW19" i="103"/>
  <c r="BW46" i="103"/>
  <c r="BW51" i="103"/>
  <c r="BW47" i="103"/>
  <c r="BW62" i="103"/>
  <c r="BW94" i="103"/>
  <c r="BW84" i="103"/>
  <c r="BW88" i="103"/>
  <c r="BW97" i="103"/>
  <c r="BX90" i="103"/>
  <c r="BX93" i="103"/>
  <c r="BX96" i="103"/>
  <c r="BX88" i="103"/>
  <c r="BX91" i="103"/>
  <c r="BX77" i="103"/>
  <c r="BX80" i="103"/>
  <c r="BX83" i="103"/>
  <c r="BX81" i="103"/>
  <c r="BX89" i="103"/>
  <c r="BX62" i="103"/>
  <c r="BX74" i="103"/>
  <c r="BX75" i="103"/>
  <c r="BX69" i="103"/>
  <c r="BX79" i="103"/>
  <c r="BX82" i="103"/>
  <c r="BX68" i="103"/>
  <c r="BX64" i="103"/>
  <c r="BX66" i="103"/>
  <c r="BX61" i="103"/>
  <c r="BX73" i="103"/>
  <c r="BX67" i="103"/>
  <c r="BX57" i="103"/>
  <c r="BX47" i="103"/>
  <c r="BX38" i="103"/>
  <c r="BX56" i="103"/>
  <c r="BX53" i="103"/>
  <c r="BX36" i="103"/>
  <c r="BX48" i="103"/>
  <c r="BX60" i="103"/>
  <c r="BX51" i="103"/>
  <c r="BX42" i="103"/>
  <c r="BX55" i="103"/>
  <c r="BX46" i="103"/>
  <c r="BX41" i="103"/>
  <c r="BX25" i="103"/>
  <c r="BX44" i="103"/>
  <c r="BX28" i="103"/>
  <c r="BX49" i="103"/>
  <c r="BX35" i="103"/>
  <c r="BX40" i="103"/>
  <c r="BX26" i="103"/>
  <c r="BX17" i="103"/>
  <c r="BX24" i="103"/>
  <c r="BX27" i="103"/>
  <c r="BX22" i="103"/>
  <c r="BX16" i="103"/>
  <c r="BX12" i="103"/>
  <c r="BX18" i="103"/>
  <c r="BX15" i="103"/>
  <c r="BX8" i="103"/>
  <c r="BX92" i="103" s="1"/>
  <c r="BX31" i="103"/>
  <c r="BX23" i="103"/>
  <c r="BX13" i="103"/>
  <c r="BX30" i="103"/>
  <c r="BX20" i="103"/>
  <c r="BX14" i="103"/>
  <c r="BX11" i="103"/>
  <c r="BY7" i="103"/>
  <c r="BW13" i="103"/>
  <c r="BW16" i="103"/>
  <c r="BW14" i="103"/>
  <c r="BW63" i="103"/>
  <c r="BW49" i="103"/>
  <c r="BW61" i="103"/>
  <c r="BW64" i="103"/>
  <c r="BW75" i="103"/>
  <c r="BW78" i="103"/>
  <c r="BW93" i="103"/>
  <c r="BW28" i="103"/>
  <c r="BW29" i="103"/>
  <c r="BW34" i="103"/>
  <c r="BW53" i="103"/>
  <c r="BW44" i="103"/>
  <c r="BW57" i="103"/>
  <c r="BW74" i="103"/>
  <c r="BW80" i="103"/>
  <c r="BV13" i="101"/>
  <c r="BV23" i="101"/>
  <c r="BV39" i="101"/>
  <c r="BV26" i="101"/>
  <c r="BV70" i="101"/>
  <c r="BV57" i="101"/>
  <c r="BV59" i="101"/>
  <c r="BV58" i="101"/>
  <c r="BV83" i="101"/>
  <c r="BV86" i="101"/>
  <c r="BV24" i="101"/>
  <c r="BV63" i="101"/>
  <c r="BV35" i="101"/>
  <c r="BV46" i="101"/>
  <c r="BV62" i="101"/>
  <c r="BV68" i="101"/>
  <c r="BV67" i="101"/>
  <c r="BV80" i="101"/>
  <c r="BV95" i="101"/>
  <c r="BV15" i="101"/>
  <c r="BV22" i="101"/>
  <c r="BV34" i="101"/>
  <c r="BV31" i="101"/>
  <c r="BV48" i="101"/>
  <c r="BV38" i="101"/>
  <c r="BV73" i="101"/>
  <c r="BV88" i="101"/>
  <c r="BV85" i="101"/>
  <c r="BV92" i="101"/>
  <c r="BV18" i="101"/>
  <c r="BV14" i="101"/>
  <c r="BV33" i="101"/>
  <c r="BV42" i="101"/>
  <c r="BV55" i="101"/>
  <c r="BV47" i="101"/>
  <c r="BV74" i="101"/>
  <c r="BV77" i="101"/>
  <c r="BV82" i="101"/>
  <c r="BV89" i="101"/>
  <c r="BW97" i="101"/>
  <c r="BW95" i="101"/>
  <c r="BW86" i="101"/>
  <c r="BW90" i="101"/>
  <c r="BW93" i="101"/>
  <c r="BW96" i="101"/>
  <c r="BW88" i="101"/>
  <c r="BW94" i="101"/>
  <c r="BW77" i="101"/>
  <c r="BW80" i="101"/>
  <c r="BW83" i="101"/>
  <c r="BW75" i="101"/>
  <c r="BW74" i="101"/>
  <c r="BW81" i="101"/>
  <c r="BW78" i="101"/>
  <c r="BW61" i="101"/>
  <c r="BW52" i="101"/>
  <c r="BW64" i="101"/>
  <c r="BW79" i="101"/>
  <c r="BW73" i="101"/>
  <c r="BW68" i="101"/>
  <c r="BW59" i="101"/>
  <c r="BW62" i="101"/>
  <c r="BW70" i="101"/>
  <c r="BW66" i="101"/>
  <c r="BW57" i="101"/>
  <c r="BW50" i="101"/>
  <c r="BW41" i="101"/>
  <c r="BW45" i="101"/>
  <c r="BW55" i="101"/>
  <c r="BW48" i="101"/>
  <c r="BW39" i="101"/>
  <c r="BW71" i="101"/>
  <c r="BW69" i="101"/>
  <c r="BW58" i="101"/>
  <c r="BW51" i="101"/>
  <c r="BW40" i="101"/>
  <c r="BW42" i="101"/>
  <c r="BW31" i="101"/>
  <c r="BW35" i="101"/>
  <c r="BW26" i="101"/>
  <c r="BW82" i="101"/>
  <c r="BW72" i="101"/>
  <c r="BW29" i="101"/>
  <c r="BW63" i="101"/>
  <c r="BW46" i="101"/>
  <c r="BW47" i="101"/>
  <c r="BW30" i="101"/>
  <c r="BW38" i="101"/>
  <c r="BW27" i="101"/>
  <c r="BW34" i="101"/>
  <c r="BW53" i="101"/>
  <c r="BW28" i="101"/>
  <c r="BW18" i="101"/>
  <c r="BW60" i="101"/>
  <c r="BW37" i="101"/>
  <c r="BW22" i="101"/>
  <c r="BW24" i="101"/>
  <c r="BW23" i="101"/>
  <c r="BW20" i="101"/>
  <c r="BW17" i="101"/>
  <c r="BW33" i="101"/>
  <c r="BW12" i="101"/>
  <c r="BW15" i="101"/>
  <c r="BW8" i="101"/>
  <c r="BW89" i="101" s="1"/>
  <c r="BW11" i="101"/>
  <c r="BW13" i="101"/>
  <c r="BW25" i="101"/>
  <c r="BW19" i="101"/>
  <c r="BW16" i="101"/>
  <c r="BW14" i="101"/>
  <c r="BX7" i="101"/>
  <c r="BV19" i="101"/>
  <c r="BV30" i="101"/>
  <c r="BV27" i="101"/>
  <c r="BV28" i="101"/>
  <c r="BV45" i="101"/>
  <c r="BV66" i="101"/>
  <c r="BV56" i="101"/>
  <c r="BV71" i="101"/>
  <c r="BV91" i="101"/>
  <c r="BV73" i="99"/>
  <c r="BV69" i="99"/>
  <c r="BV92" i="99"/>
  <c r="BV89" i="99"/>
  <c r="BV79" i="99"/>
  <c r="BV88" i="99"/>
  <c r="BV97" i="99"/>
  <c r="BV15" i="99"/>
  <c r="BW93" i="99"/>
  <c r="BW67" i="99"/>
  <c r="BW80" i="99"/>
  <c r="BW74" i="99"/>
  <c r="BW39" i="99"/>
  <c r="BW64" i="99"/>
  <c r="BW27" i="99"/>
  <c r="BW31" i="99"/>
  <c r="BW18" i="99"/>
  <c r="BW8" i="99"/>
  <c r="BW97" i="99" s="1"/>
  <c r="BW13" i="99"/>
  <c r="BW29" i="99"/>
  <c r="BX7" i="99"/>
  <c r="BV52" i="99"/>
  <c r="BV36" i="99"/>
  <c r="BV45" i="99"/>
  <c r="BV83" i="99"/>
  <c r="BV80" i="99"/>
  <c r="BV67" i="99"/>
  <c r="BV96" i="99"/>
  <c r="BV95" i="97"/>
  <c r="BV24" i="97"/>
  <c r="BV49" i="97"/>
  <c r="BV77" i="97"/>
  <c r="BV72" i="97"/>
  <c r="BV73" i="97"/>
  <c r="BV78" i="97"/>
  <c r="BV89" i="97"/>
  <c r="BW96" i="97"/>
  <c r="BW82" i="97"/>
  <c r="BW74" i="97"/>
  <c r="BW53" i="97"/>
  <c r="BW77" i="97"/>
  <c r="BW39" i="97"/>
  <c r="BW40" i="97"/>
  <c r="BW23" i="97"/>
  <c r="BX7" i="97"/>
  <c r="BW25" i="97"/>
  <c r="BW8" i="97"/>
  <c r="BW97" i="97" s="1"/>
  <c r="BW11" i="97"/>
  <c r="BW67" i="97"/>
  <c r="BV74" i="97"/>
  <c r="BV70" i="97"/>
  <c r="BV88" i="97"/>
  <c r="BV97" i="97"/>
  <c r="BV42" i="97"/>
  <c r="BV34" i="97"/>
  <c r="BV30" i="97"/>
  <c r="BV46" i="97"/>
  <c r="BV83" i="97"/>
  <c r="BV58" i="97"/>
  <c r="BV79" i="97"/>
  <c r="BV96" i="97"/>
  <c r="BV94" i="97"/>
  <c r="BV53" i="97"/>
  <c r="BV12" i="97"/>
  <c r="BV68" i="97"/>
  <c r="BV50" i="97"/>
  <c r="BV80" i="97"/>
  <c r="BV67" i="97"/>
  <c r="BV93" i="97"/>
  <c r="BV61" i="97"/>
  <c r="BV37" i="97"/>
  <c r="BV20" i="97"/>
  <c r="BV38" i="97"/>
  <c r="BV55" i="97"/>
  <c r="BV64" i="97"/>
  <c r="BV75" i="97"/>
  <c r="BV90" i="97"/>
  <c r="BV15" i="97"/>
  <c r="BV13" i="97"/>
  <c r="BV26" i="97"/>
  <c r="BV44" i="97"/>
  <c r="BV39" i="97"/>
  <c r="BV66" i="97"/>
  <c r="BV56" i="97"/>
  <c r="BV85" i="97"/>
  <c r="BV84" i="97"/>
  <c r="BZ8" i="95"/>
  <c r="BZ97" i="95" s="1"/>
  <c r="BX52" i="95"/>
  <c r="BX50" i="95"/>
  <c r="BX62" i="95"/>
  <c r="BX83" i="95"/>
  <c r="BX19" i="95"/>
  <c r="BX96" i="95"/>
  <c r="BX25" i="95"/>
  <c r="BX14" i="95"/>
  <c r="BX56" i="95"/>
  <c r="BX33" i="95"/>
  <c r="BX78" i="95"/>
  <c r="BX22" i="95"/>
  <c r="BX77" i="95"/>
  <c r="BX15" i="95"/>
  <c r="BX36" i="95"/>
  <c r="BX35" i="95"/>
  <c r="BX39" i="95"/>
  <c r="BX89" i="95"/>
  <c r="BX23" i="95"/>
  <c r="BX17" i="95"/>
  <c r="BX70" i="95"/>
  <c r="BX12" i="95"/>
  <c r="BX38" i="95"/>
  <c r="BX49" i="95"/>
  <c r="BX40" i="95"/>
  <c r="BX45" i="95"/>
  <c r="BX75" i="95"/>
  <c r="BX44" i="95"/>
  <c r="BX84" i="95"/>
  <c r="BX74" i="95"/>
  <c r="BX73" i="95"/>
  <c r="BX94" i="95"/>
  <c r="BY8" i="95"/>
  <c r="BY85" i="95" s="1"/>
  <c r="BX11" i="95"/>
  <c r="BX29" i="95"/>
  <c r="BX28" i="95"/>
  <c r="BX24" i="95"/>
  <c r="BX20" i="95"/>
  <c r="BX58" i="95"/>
  <c r="BX60" i="95"/>
  <c r="BX46" i="95"/>
  <c r="BX79" i="95"/>
  <c r="BX57" i="95"/>
  <c r="BX64" i="95"/>
  <c r="BX90" i="95"/>
  <c r="BX85" i="95"/>
  <c r="BX91" i="95"/>
  <c r="BX13" i="95"/>
  <c r="BX16" i="95"/>
  <c r="BX31" i="95"/>
  <c r="BX26" i="95"/>
  <c r="BX27" i="95"/>
  <c r="BX63" i="95"/>
  <c r="BX80" i="95"/>
  <c r="BX47" i="95"/>
  <c r="BX93" i="95"/>
  <c r="BX59" i="95"/>
  <c r="BX68" i="95"/>
  <c r="BX81" i="95"/>
  <c r="BX88" i="95"/>
  <c r="BX97" i="95"/>
  <c r="BX18" i="95"/>
  <c r="BX53" i="95"/>
  <c r="BX30" i="95"/>
  <c r="BX34" i="95"/>
  <c r="BX69" i="95"/>
  <c r="BX41" i="95"/>
  <c r="BX51" i="95"/>
  <c r="BX86" i="95"/>
  <c r="BX71" i="95"/>
  <c r="BX55" i="95"/>
  <c r="BX95" i="95"/>
  <c r="BX82" i="95"/>
  <c r="BX66" i="95"/>
  <c r="BX48" i="95"/>
  <c r="BX42" i="95"/>
  <c r="BX37" i="95"/>
  <c r="BX72" i="95"/>
  <c r="BX61" i="95"/>
  <c r="BX67" i="95"/>
  <c r="BZ83" i="95" l="1"/>
  <c r="BZ50" i="95"/>
  <c r="BZ64" i="95"/>
  <c r="BZ14" i="95"/>
  <c r="BZ13" i="95"/>
  <c r="BW47" i="59"/>
  <c r="BW58" i="59"/>
  <c r="BW23" i="59"/>
  <c r="BW44" i="59"/>
  <c r="BW69" i="59"/>
  <c r="BW19" i="59"/>
  <c r="BW77" i="59"/>
  <c r="BW55" i="59"/>
  <c r="BW96" i="59"/>
  <c r="BZ24" i="95"/>
  <c r="BZ25" i="95"/>
  <c r="BZ29" i="95"/>
  <c r="BZ48" i="95"/>
  <c r="BZ37" i="95"/>
  <c r="BZ95" i="95"/>
  <c r="BZ63" i="95"/>
  <c r="BZ15" i="95"/>
  <c r="BZ38" i="95"/>
  <c r="BZ85" i="95"/>
  <c r="BZ60" i="95"/>
  <c r="BZ40" i="95"/>
  <c r="BZ45" i="95"/>
  <c r="BZ75" i="95"/>
  <c r="BZ44" i="95"/>
  <c r="BZ73" i="95"/>
  <c r="BZ84" i="95"/>
  <c r="BZ69" i="95"/>
  <c r="BZ79" i="95"/>
  <c r="BW72" i="59"/>
  <c r="BW27" i="59"/>
  <c r="BW11" i="59"/>
  <c r="BW34" i="59"/>
  <c r="BW31" i="59"/>
  <c r="BW35" i="59"/>
  <c r="BW51" i="59"/>
  <c r="BW67" i="59"/>
  <c r="BW66" i="59"/>
  <c r="BW94" i="59"/>
  <c r="BW88" i="59"/>
  <c r="BW78" i="59"/>
  <c r="BW40" i="59"/>
  <c r="BW15" i="59"/>
  <c r="BW18" i="59"/>
  <c r="BW41" i="59"/>
  <c r="BW53" i="59"/>
  <c r="BW61" i="59"/>
  <c r="BW73" i="59"/>
  <c r="BW81" i="59"/>
  <c r="BW83" i="59"/>
  <c r="BW90" i="59"/>
  <c r="BW12" i="59"/>
  <c r="BW80" i="59"/>
  <c r="BW14" i="59"/>
  <c r="BW25" i="59"/>
  <c r="BW28" i="59"/>
  <c r="BW29" i="59"/>
  <c r="BW49" i="59"/>
  <c r="BW64" i="59"/>
  <c r="BW75" i="59"/>
  <c r="BW84" i="59"/>
  <c r="BW85" i="59"/>
  <c r="BW95" i="59"/>
  <c r="BW57" i="59"/>
  <c r="BW22" i="59"/>
  <c r="BW39" i="59"/>
  <c r="BW24" i="59"/>
  <c r="BW38" i="59"/>
  <c r="BW46" i="59"/>
  <c r="BW71" i="59"/>
  <c r="BW56" i="59"/>
  <c r="BW59" i="59"/>
  <c r="BW86" i="59"/>
  <c r="BW92" i="59"/>
  <c r="BW30" i="59"/>
  <c r="BW33" i="59"/>
  <c r="BW50" i="59"/>
  <c r="BW93" i="59"/>
  <c r="BX8" i="59"/>
  <c r="BX94" i="59" s="1"/>
  <c r="BY7" i="59"/>
  <c r="BW13" i="59"/>
  <c r="BW45" i="59"/>
  <c r="BW37" i="59"/>
  <c r="BW42" i="59"/>
  <c r="BW79" i="59"/>
  <c r="BW60" i="59"/>
  <c r="BW52" i="59"/>
  <c r="BW68" i="59"/>
  <c r="BW82" i="59"/>
  <c r="BW89" i="59"/>
  <c r="BW17" i="59"/>
  <c r="BW36" i="59"/>
  <c r="BW16" i="59"/>
  <c r="BW20" i="59"/>
  <c r="BW26" i="59"/>
  <c r="BW48" i="59"/>
  <c r="BW63" i="59"/>
  <c r="BW62" i="59"/>
  <c r="BW74" i="59"/>
  <c r="BW91" i="59"/>
  <c r="BX86" i="113"/>
  <c r="BX93" i="113"/>
  <c r="BX96" i="113"/>
  <c r="BX88" i="113"/>
  <c r="BX91" i="113"/>
  <c r="BX83" i="113"/>
  <c r="BX78" i="113"/>
  <c r="BX89" i="113"/>
  <c r="BX81" i="113"/>
  <c r="BX94" i="113"/>
  <c r="BX77" i="113"/>
  <c r="BX70" i="113"/>
  <c r="BX61" i="113"/>
  <c r="BX79" i="113"/>
  <c r="BX75" i="113"/>
  <c r="BX68" i="113"/>
  <c r="BX53" i="113"/>
  <c r="BX64" i="113"/>
  <c r="BX84" i="113"/>
  <c r="BX69" i="113"/>
  <c r="BX58" i="113"/>
  <c r="BX55" i="113"/>
  <c r="BX48" i="113"/>
  <c r="BX39" i="113"/>
  <c r="BX30" i="113"/>
  <c r="BX51" i="113"/>
  <c r="BX72" i="113"/>
  <c r="BX46" i="113"/>
  <c r="BX49" i="113"/>
  <c r="BX40" i="113"/>
  <c r="BX23" i="113"/>
  <c r="BX38" i="113"/>
  <c r="BX34" i="113"/>
  <c r="BX20" i="113"/>
  <c r="BX63" i="113"/>
  <c r="BX24" i="113"/>
  <c r="BX14" i="113"/>
  <c r="BX36" i="113"/>
  <c r="BX28" i="113"/>
  <c r="BX52" i="113"/>
  <c r="BX37" i="113"/>
  <c r="BX59" i="113"/>
  <c r="BX18" i="113"/>
  <c r="BX56" i="113"/>
  <c r="BX41" i="113"/>
  <c r="BX33" i="113"/>
  <c r="BX12" i="113"/>
  <c r="BY7" i="113"/>
  <c r="BX19" i="113"/>
  <c r="BX15" i="113"/>
  <c r="BX13" i="113"/>
  <c r="BX17" i="113"/>
  <c r="BX8" i="113"/>
  <c r="BX92" i="113" s="1"/>
  <c r="BW90" i="113"/>
  <c r="BW38" i="113"/>
  <c r="BW37" i="113"/>
  <c r="BW36" i="113"/>
  <c r="BW69" i="113"/>
  <c r="BW73" i="113"/>
  <c r="BW72" i="113"/>
  <c r="BW77" i="113"/>
  <c r="BW92" i="113"/>
  <c r="BW52" i="113"/>
  <c r="BW16" i="113"/>
  <c r="BW44" i="113"/>
  <c r="BW46" i="113"/>
  <c r="BW45" i="113"/>
  <c r="BW71" i="113"/>
  <c r="BW75" i="113"/>
  <c r="BW91" i="113"/>
  <c r="BW85" i="113"/>
  <c r="BW89" i="113"/>
  <c r="BW17" i="113"/>
  <c r="BW22" i="113"/>
  <c r="BW24" i="113"/>
  <c r="BW49" i="113"/>
  <c r="BW42" i="113"/>
  <c r="BW41" i="113"/>
  <c r="BW57" i="113"/>
  <c r="BW59" i="113"/>
  <c r="BW94" i="113"/>
  <c r="BW88" i="113"/>
  <c r="BX90" i="111"/>
  <c r="BX86" i="111"/>
  <c r="BX12" i="111"/>
  <c r="BX24" i="111"/>
  <c r="BX52" i="111"/>
  <c r="BX41" i="111"/>
  <c r="BX35" i="111"/>
  <c r="BX53" i="111"/>
  <c r="BX94" i="111"/>
  <c r="BX57" i="111"/>
  <c r="BX93" i="111"/>
  <c r="BX95" i="111"/>
  <c r="BY86" i="111"/>
  <c r="BY90" i="111"/>
  <c r="BY93" i="111"/>
  <c r="BY92" i="111"/>
  <c r="BY77" i="111"/>
  <c r="BY80" i="111"/>
  <c r="BY60" i="111"/>
  <c r="BY82" i="111"/>
  <c r="BY79" i="111"/>
  <c r="BY74" i="111"/>
  <c r="BY58" i="111"/>
  <c r="BY69" i="111"/>
  <c r="BY89" i="111"/>
  <c r="BY78" i="111"/>
  <c r="BY84" i="111"/>
  <c r="BY81" i="111"/>
  <c r="BY67" i="111"/>
  <c r="BY62" i="111"/>
  <c r="BY40" i="111"/>
  <c r="BY49" i="111"/>
  <c r="BY59" i="111"/>
  <c r="BY50" i="111"/>
  <c r="BY70" i="111"/>
  <c r="BY23" i="111"/>
  <c r="BY26" i="111"/>
  <c r="BY57" i="111"/>
  <c r="BY24" i="111"/>
  <c r="BY47" i="111"/>
  <c r="BY14" i="111"/>
  <c r="BZ7" i="111"/>
  <c r="BY41" i="111"/>
  <c r="BY17" i="111"/>
  <c r="BY38" i="111"/>
  <c r="BY29" i="111"/>
  <c r="BY48" i="111"/>
  <c r="BY45" i="111"/>
  <c r="BY36" i="111"/>
  <c r="BY22" i="111"/>
  <c r="BY13" i="111"/>
  <c r="BY16" i="111"/>
  <c r="BY30" i="111"/>
  <c r="BY27" i="111"/>
  <c r="BY19" i="111"/>
  <c r="BY18" i="111"/>
  <c r="BY8" i="111"/>
  <c r="BY96" i="111" s="1"/>
  <c r="BY35" i="111"/>
  <c r="BY15" i="111"/>
  <c r="BY56" i="111"/>
  <c r="BY39" i="111"/>
  <c r="BY11" i="111"/>
  <c r="BX15" i="111"/>
  <c r="BX36" i="111"/>
  <c r="BX60" i="111"/>
  <c r="BX23" i="111"/>
  <c r="BX42" i="111"/>
  <c r="BX80" i="111"/>
  <c r="BX66" i="111"/>
  <c r="BX67" i="111"/>
  <c r="BX71" i="111"/>
  <c r="BX97" i="111"/>
  <c r="BX92" i="111"/>
  <c r="BX73" i="111"/>
  <c r="BX74" i="111"/>
  <c r="BX8" i="109"/>
  <c r="BX92" i="109" s="1"/>
  <c r="BY7" i="109"/>
  <c r="BX24" i="109"/>
  <c r="BW47" i="109"/>
  <c r="BW29" i="109"/>
  <c r="BW71" i="109"/>
  <c r="BW33" i="109"/>
  <c r="BW75" i="109"/>
  <c r="BW53" i="109"/>
  <c r="BW66" i="109"/>
  <c r="BW93" i="109"/>
  <c r="BW31" i="109"/>
  <c r="BW38" i="109"/>
  <c r="BW52" i="109"/>
  <c r="BW39" i="109"/>
  <c r="BW18" i="109"/>
  <c r="BW41" i="109"/>
  <c r="BW91" i="109"/>
  <c r="BW63" i="109"/>
  <c r="BW74" i="109"/>
  <c r="BW90" i="109"/>
  <c r="BW23" i="109"/>
  <c r="BW26" i="109"/>
  <c r="BW68" i="109"/>
  <c r="BW27" i="109"/>
  <c r="BW58" i="109"/>
  <c r="BW60" i="109"/>
  <c r="BW77" i="109"/>
  <c r="BW78" i="109"/>
  <c r="BW86" i="109"/>
  <c r="BW13" i="109"/>
  <c r="BW30" i="109"/>
  <c r="BW40" i="109"/>
  <c r="BW16" i="109"/>
  <c r="BW36" i="109"/>
  <c r="BW67" i="109"/>
  <c r="BW62" i="109"/>
  <c r="BW79" i="109"/>
  <c r="BW81" i="109"/>
  <c r="BW95" i="109"/>
  <c r="BW20" i="109"/>
  <c r="BW73" i="109"/>
  <c r="BW35" i="109"/>
  <c r="BW25" i="109"/>
  <c r="BW48" i="109"/>
  <c r="BW45" i="109"/>
  <c r="BW69" i="109"/>
  <c r="BW84" i="109"/>
  <c r="BW83" i="109"/>
  <c r="BW92" i="109"/>
  <c r="BW17" i="109"/>
  <c r="BW19" i="109"/>
  <c r="BW82" i="109"/>
  <c r="BW44" i="109"/>
  <c r="BW34" i="109"/>
  <c r="BW51" i="109"/>
  <c r="BW55" i="109"/>
  <c r="BW57" i="109"/>
  <c r="BW72" i="109"/>
  <c r="BW80" i="109"/>
  <c r="BW89" i="109"/>
  <c r="BW22" i="109"/>
  <c r="BW11" i="109"/>
  <c r="BW37" i="109"/>
  <c r="BW49" i="109"/>
  <c r="BW42" i="109"/>
  <c r="BW15" i="109"/>
  <c r="BW56" i="109"/>
  <c r="BW61" i="109"/>
  <c r="BW88" i="109"/>
  <c r="BW96" i="109"/>
  <c r="BX12" i="107"/>
  <c r="BX23" i="107"/>
  <c r="BX31" i="107"/>
  <c r="BX59" i="107"/>
  <c r="BX44" i="107"/>
  <c r="BX37" i="107"/>
  <c r="BX58" i="107"/>
  <c r="BX75" i="107"/>
  <c r="BX89" i="107"/>
  <c r="BX93" i="107"/>
  <c r="BX11" i="107"/>
  <c r="BX22" i="107"/>
  <c r="BX24" i="107"/>
  <c r="BX48" i="107"/>
  <c r="BX68" i="107"/>
  <c r="BX62" i="107"/>
  <c r="BX71" i="107"/>
  <c r="BX70" i="107"/>
  <c r="BX85" i="107"/>
  <c r="BX95" i="107"/>
  <c r="BY86" i="107"/>
  <c r="BY90" i="107"/>
  <c r="BY97" i="107"/>
  <c r="BY89" i="107"/>
  <c r="BY74" i="107"/>
  <c r="BY80" i="107"/>
  <c r="BY66" i="107"/>
  <c r="BY62" i="107"/>
  <c r="BY49" i="107"/>
  <c r="BY40" i="107"/>
  <c r="BY58" i="107"/>
  <c r="BY56" i="107"/>
  <c r="BY69" i="107"/>
  <c r="BY53" i="107"/>
  <c r="BY81" i="107"/>
  <c r="BY44" i="107"/>
  <c r="BY38" i="107"/>
  <c r="BY19" i="107"/>
  <c r="BY14" i="107"/>
  <c r="BZ7" i="107"/>
  <c r="BY8" i="107"/>
  <c r="BY96" i="107" s="1"/>
  <c r="BY12" i="107"/>
  <c r="BX17" i="107"/>
  <c r="BX30" i="107"/>
  <c r="BX35" i="107"/>
  <c r="BX36" i="107"/>
  <c r="BX79" i="107"/>
  <c r="BX66" i="107"/>
  <c r="BX57" i="107"/>
  <c r="BX63" i="107"/>
  <c r="BX94" i="107"/>
  <c r="BX92" i="107"/>
  <c r="BX14" i="107"/>
  <c r="BX13" i="107"/>
  <c r="BX45" i="107"/>
  <c r="BX38" i="107"/>
  <c r="BX40" i="107"/>
  <c r="BX49" i="107"/>
  <c r="BX67" i="107"/>
  <c r="BX80" i="107"/>
  <c r="BX72" i="107"/>
  <c r="BX29" i="105"/>
  <c r="BX19" i="105"/>
  <c r="BX13" i="105"/>
  <c r="BX39" i="105"/>
  <c r="BX51" i="105"/>
  <c r="BX55" i="105"/>
  <c r="BX63" i="105"/>
  <c r="BX74" i="105"/>
  <c r="BX73" i="105"/>
  <c r="BX90" i="105"/>
  <c r="BY90" i="105"/>
  <c r="BY96" i="105"/>
  <c r="BY88" i="105"/>
  <c r="BY91" i="105"/>
  <c r="BY94" i="105"/>
  <c r="BY82" i="105"/>
  <c r="BY77" i="105"/>
  <c r="BY89" i="105"/>
  <c r="BY83" i="105"/>
  <c r="BY78" i="105"/>
  <c r="BY72" i="105"/>
  <c r="BY80" i="105"/>
  <c r="BY69" i="105"/>
  <c r="BY60" i="105"/>
  <c r="BY75" i="105"/>
  <c r="BY55" i="105"/>
  <c r="BY70" i="105"/>
  <c r="BY61" i="105"/>
  <c r="BY64" i="105"/>
  <c r="BY56" i="105"/>
  <c r="BY74" i="105"/>
  <c r="BY59" i="105"/>
  <c r="BY79" i="105"/>
  <c r="BY53" i="105"/>
  <c r="BY50" i="105"/>
  <c r="BY36" i="105"/>
  <c r="BY52" i="105"/>
  <c r="BY39" i="105"/>
  <c r="BY57" i="105"/>
  <c r="BY46" i="105"/>
  <c r="BY49" i="105"/>
  <c r="BY29" i="105"/>
  <c r="BY41" i="105"/>
  <c r="BY27" i="105"/>
  <c r="BY35" i="105"/>
  <c r="BY47" i="105"/>
  <c r="BY31" i="105"/>
  <c r="BY44" i="105"/>
  <c r="BY40" i="105"/>
  <c r="BY19" i="105"/>
  <c r="BY11" i="105"/>
  <c r="BY51" i="105"/>
  <c r="BY17" i="105"/>
  <c r="BY23" i="105"/>
  <c r="BY14" i="105"/>
  <c r="BZ7" i="105"/>
  <c r="BY26" i="105"/>
  <c r="BY15" i="105"/>
  <c r="BY33" i="105"/>
  <c r="BY24" i="105"/>
  <c r="BY28" i="105"/>
  <c r="BY20" i="105"/>
  <c r="BY8" i="105"/>
  <c r="BY95" i="105" s="1"/>
  <c r="BY38" i="105"/>
  <c r="BY30" i="105"/>
  <c r="BY22" i="105"/>
  <c r="BY12" i="105"/>
  <c r="BY13" i="105"/>
  <c r="BX61" i="105"/>
  <c r="BX75" i="105"/>
  <c r="BX84" i="105"/>
  <c r="BX97" i="105"/>
  <c r="BX95" i="105"/>
  <c r="BX24" i="105"/>
  <c r="BX20" i="105"/>
  <c r="BX49" i="105"/>
  <c r="BX38" i="105"/>
  <c r="BX26" i="105"/>
  <c r="BX41" i="105"/>
  <c r="BX70" i="105"/>
  <c r="BX60" i="105"/>
  <c r="BX78" i="105"/>
  <c r="BX79" i="105"/>
  <c r="BX92" i="105"/>
  <c r="BX31" i="105"/>
  <c r="BX52" i="105"/>
  <c r="BX46" i="105"/>
  <c r="BX36" i="105"/>
  <c r="BX50" i="105"/>
  <c r="BX72" i="105"/>
  <c r="BX69" i="105"/>
  <c r="BX83" i="105"/>
  <c r="BX91" i="105"/>
  <c r="BX17" i="105"/>
  <c r="BX14" i="105"/>
  <c r="BX23" i="105"/>
  <c r="BX28" i="105"/>
  <c r="BX40" i="105"/>
  <c r="BX47" i="105"/>
  <c r="BX77" i="105"/>
  <c r="BX94" i="105"/>
  <c r="BX80" i="105"/>
  <c r="BX29" i="103"/>
  <c r="BX34" i="103"/>
  <c r="BX37" i="103"/>
  <c r="BX52" i="103"/>
  <c r="BX45" i="103"/>
  <c r="BX59" i="103"/>
  <c r="BX70" i="103"/>
  <c r="BX71" i="103"/>
  <c r="BX85" i="103"/>
  <c r="BX86" i="103"/>
  <c r="BY88" i="103"/>
  <c r="BY83" i="103"/>
  <c r="BY57" i="103"/>
  <c r="BY68" i="103"/>
  <c r="BY50" i="103"/>
  <c r="BY51" i="103"/>
  <c r="BY49" i="103"/>
  <c r="BY23" i="103"/>
  <c r="BY12" i="103"/>
  <c r="BY8" i="103"/>
  <c r="BY94" i="103" s="1"/>
  <c r="BY19" i="103"/>
  <c r="BY11" i="103"/>
  <c r="BZ7" i="103"/>
  <c r="BX63" i="103"/>
  <c r="BX78" i="103"/>
  <c r="BX97" i="103"/>
  <c r="BX95" i="103"/>
  <c r="BX39" i="103"/>
  <c r="BX19" i="103"/>
  <c r="BX33" i="103"/>
  <c r="BX50" i="103"/>
  <c r="BX58" i="103"/>
  <c r="BX72" i="103"/>
  <c r="BX84" i="103"/>
  <c r="BX94" i="103"/>
  <c r="BW36" i="101"/>
  <c r="BW56" i="101"/>
  <c r="BW44" i="101"/>
  <c r="BW49" i="101"/>
  <c r="BW67" i="101"/>
  <c r="BW91" i="101"/>
  <c r="BW84" i="101"/>
  <c r="BW85" i="101"/>
  <c r="BW92" i="101"/>
  <c r="BX86" i="101"/>
  <c r="BX90" i="101"/>
  <c r="BX93" i="101"/>
  <c r="BX96" i="101"/>
  <c r="BX88" i="101"/>
  <c r="BX85" i="101"/>
  <c r="BX80" i="101"/>
  <c r="BX83" i="101"/>
  <c r="BX78" i="101"/>
  <c r="BX81" i="101"/>
  <c r="BX64" i="101"/>
  <c r="BX56" i="101"/>
  <c r="BX94" i="101"/>
  <c r="BX73" i="101"/>
  <c r="BX68" i="101"/>
  <c r="BX53" i="101"/>
  <c r="BX77" i="101"/>
  <c r="BX70" i="101"/>
  <c r="BX66" i="101"/>
  <c r="BX57" i="101"/>
  <c r="BX61" i="101"/>
  <c r="BX45" i="101"/>
  <c r="BX67" i="101"/>
  <c r="BX55" i="101"/>
  <c r="BX48" i="101"/>
  <c r="BX51" i="101"/>
  <c r="BX42" i="101"/>
  <c r="BX34" i="101"/>
  <c r="BX46" i="101"/>
  <c r="BX63" i="101"/>
  <c r="BX52" i="101"/>
  <c r="BX50" i="101"/>
  <c r="BX35" i="101"/>
  <c r="BX26" i="101"/>
  <c r="BX29" i="101"/>
  <c r="BX37" i="101"/>
  <c r="BX24" i="101"/>
  <c r="BX38" i="101"/>
  <c r="BX49" i="101"/>
  <c r="BX47" i="101"/>
  <c r="BX28" i="101"/>
  <c r="BX22" i="101"/>
  <c r="BX41" i="101"/>
  <c r="BX31" i="101"/>
  <c r="BX25" i="101"/>
  <c r="BX23" i="101"/>
  <c r="BX15" i="101"/>
  <c r="BX18" i="101"/>
  <c r="BX8" i="101"/>
  <c r="BX91" i="101" s="1"/>
  <c r="BX13" i="101"/>
  <c r="BX27" i="101"/>
  <c r="BX19" i="101"/>
  <c r="BX16" i="101"/>
  <c r="BX11" i="101"/>
  <c r="BX20" i="101"/>
  <c r="BX17" i="101"/>
  <c r="BX12" i="101"/>
  <c r="BX14" i="101"/>
  <c r="BY7" i="101"/>
  <c r="BW17" i="99"/>
  <c r="BW78" i="99"/>
  <c r="BW58" i="99"/>
  <c r="BW66" i="99"/>
  <c r="BW63" i="99"/>
  <c r="BW71" i="99"/>
  <c r="BW79" i="99"/>
  <c r="BW96" i="99"/>
  <c r="BW11" i="99"/>
  <c r="BW15" i="99"/>
  <c r="BW44" i="99"/>
  <c r="BW40" i="99"/>
  <c r="BW37" i="99"/>
  <c r="BW55" i="99"/>
  <c r="BW50" i="99"/>
  <c r="BW68" i="99"/>
  <c r="BW75" i="99"/>
  <c r="BW90" i="99"/>
  <c r="BW20" i="99"/>
  <c r="BW23" i="99"/>
  <c r="BW28" i="99"/>
  <c r="BW69" i="99"/>
  <c r="BW49" i="99"/>
  <c r="BW36" i="99"/>
  <c r="BW59" i="99"/>
  <c r="BW77" i="99"/>
  <c r="BW84" i="99"/>
  <c r="BW86" i="99"/>
  <c r="BW22" i="99"/>
  <c r="BW12" i="99"/>
  <c r="BW47" i="99"/>
  <c r="BW24" i="99"/>
  <c r="BW62" i="99"/>
  <c r="BW45" i="99"/>
  <c r="BW83" i="99"/>
  <c r="BW85" i="99"/>
  <c r="BW72" i="99"/>
  <c r="BW95" i="99"/>
  <c r="BW26" i="99"/>
  <c r="BW30" i="99"/>
  <c r="BW51" i="99"/>
  <c r="BW33" i="99"/>
  <c r="BW34" i="99"/>
  <c r="BW60" i="99"/>
  <c r="BW56" i="99"/>
  <c r="BW73" i="99"/>
  <c r="BW81" i="99"/>
  <c r="BW92" i="99"/>
  <c r="BX95" i="99"/>
  <c r="BX90" i="99"/>
  <c r="BX93" i="99"/>
  <c r="BX96" i="99"/>
  <c r="BX88" i="99"/>
  <c r="BX91" i="99"/>
  <c r="BX85" i="99"/>
  <c r="BX84" i="99"/>
  <c r="BX75" i="99"/>
  <c r="BX67" i="99"/>
  <c r="BX79" i="99"/>
  <c r="BX70" i="99"/>
  <c r="BX73" i="99"/>
  <c r="BX77" i="99"/>
  <c r="BX80" i="99"/>
  <c r="BX71" i="99"/>
  <c r="BX89" i="99"/>
  <c r="BX83" i="99"/>
  <c r="BX66" i="99"/>
  <c r="BX47" i="99"/>
  <c r="BX81" i="99"/>
  <c r="BX68" i="99"/>
  <c r="BX59" i="99"/>
  <c r="BX69" i="99"/>
  <c r="BX53" i="99"/>
  <c r="BX55" i="99"/>
  <c r="BX39" i="99"/>
  <c r="BX48" i="99"/>
  <c r="BX42" i="99"/>
  <c r="BX61" i="99"/>
  <c r="BX37" i="99"/>
  <c r="BX63" i="99"/>
  <c r="BX57" i="99"/>
  <c r="BX40" i="99"/>
  <c r="BX78" i="99"/>
  <c r="BX51" i="99"/>
  <c r="BX58" i="99"/>
  <c r="BX27" i="99"/>
  <c r="BX30" i="99"/>
  <c r="BX22" i="99"/>
  <c r="BX52" i="99"/>
  <c r="BX34" i="99"/>
  <c r="BX50" i="99"/>
  <c r="BX31" i="99"/>
  <c r="BX35" i="99"/>
  <c r="BX12" i="99"/>
  <c r="BX23" i="99"/>
  <c r="BX15" i="99"/>
  <c r="BX18" i="99"/>
  <c r="BX8" i="99"/>
  <c r="BX92" i="99" s="1"/>
  <c r="BX13" i="99"/>
  <c r="BX36" i="99"/>
  <c r="BX29" i="99"/>
  <c r="BX25" i="99"/>
  <c r="BX20" i="99"/>
  <c r="BX33" i="99"/>
  <c r="BX26" i="99"/>
  <c r="BX46" i="99"/>
  <c r="BX45" i="99"/>
  <c r="BX14" i="99"/>
  <c r="BX24" i="99"/>
  <c r="BX16" i="99"/>
  <c r="BY7" i="99"/>
  <c r="BX17" i="99"/>
  <c r="BW16" i="99"/>
  <c r="BW35" i="99"/>
  <c r="BW25" i="99"/>
  <c r="BW46" i="99"/>
  <c r="BW42" i="99"/>
  <c r="BW94" i="99"/>
  <c r="BW52" i="99"/>
  <c r="BW82" i="99"/>
  <c r="BW91" i="99"/>
  <c r="BW89" i="99"/>
  <c r="BW14" i="99"/>
  <c r="BW19" i="99"/>
  <c r="BW53" i="99"/>
  <c r="BW41" i="99"/>
  <c r="BW38" i="99"/>
  <c r="BW48" i="99"/>
  <c r="BW57" i="99"/>
  <c r="BW61" i="99"/>
  <c r="BW70" i="99"/>
  <c r="BW88" i="99"/>
  <c r="BW14" i="97"/>
  <c r="BX58" i="97"/>
  <c r="BX60" i="97"/>
  <c r="BX8" i="97"/>
  <c r="BX91" i="97" s="1"/>
  <c r="BY7" i="97"/>
  <c r="BX47" i="97"/>
  <c r="BW36" i="97"/>
  <c r="BW34" i="97"/>
  <c r="BW52" i="97"/>
  <c r="BW35" i="97"/>
  <c r="BW60" i="97"/>
  <c r="BW58" i="97"/>
  <c r="BW70" i="97"/>
  <c r="BW93" i="97"/>
  <c r="BW47" i="97"/>
  <c r="BW12" i="97"/>
  <c r="BW71" i="97"/>
  <c r="BW15" i="97"/>
  <c r="BW42" i="97"/>
  <c r="BW49" i="97"/>
  <c r="BW83" i="97"/>
  <c r="BW69" i="97"/>
  <c r="BW79" i="97"/>
  <c r="BW90" i="97"/>
  <c r="BW17" i="97"/>
  <c r="BW16" i="97"/>
  <c r="BW26" i="97"/>
  <c r="BW24" i="97"/>
  <c r="BW75" i="97"/>
  <c r="BW66" i="97"/>
  <c r="BW41" i="97"/>
  <c r="BW80" i="97"/>
  <c r="BW84" i="97"/>
  <c r="BW86" i="97"/>
  <c r="BW29" i="97"/>
  <c r="BW31" i="97"/>
  <c r="BW27" i="97"/>
  <c r="BW33" i="97"/>
  <c r="BW51" i="97"/>
  <c r="BW50" i="97"/>
  <c r="BW55" i="97"/>
  <c r="BW72" i="97"/>
  <c r="BW95" i="97"/>
  <c r="BW19" i="97"/>
  <c r="BW38" i="97"/>
  <c r="BW59" i="97"/>
  <c r="BW30" i="97"/>
  <c r="BW46" i="97"/>
  <c r="BW57" i="97"/>
  <c r="BW56" i="97"/>
  <c r="BW85" i="97"/>
  <c r="BW81" i="97"/>
  <c r="BW92" i="97"/>
  <c r="BW28" i="97"/>
  <c r="BW48" i="97"/>
  <c r="BW13" i="97"/>
  <c r="BW37" i="97"/>
  <c r="BW68" i="97"/>
  <c r="BW63" i="97"/>
  <c r="BW94" i="97"/>
  <c r="BW64" i="97"/>
  <c r="BW91" i="97"/>
  <c r="BW89" i="97"/>
  <c r="BW18" i="97"/>
  <c r="BW20" i="97"/>
  <c r="BW62" i="97"/>
  <c r="BW22" i="97"/>
  <c r="BW44" i="97"/>
  <c r="BW78" i="97"/>
  <c r="BW45" i="97"/>
  <c r="BW61" i="97"/>
  <c r="BW73" i="97"/>
  <c r="BW88" i="97"/>
  <c r="BY18" i="95"/>
  <c r="BZ90" i="95"/>
  <c r="BZ39" i="95"/>
  <c r="BZ31" i="95"/>
  <c r="BZ56" i="95"/>
  <c r="BZ16" i="95"/>
  <c r="BZ86" i="95"/>
  <c r="BZ59" i="95"/>
  <c r="BZ70" i="95"/>
  <c r="BZ22" i="95"/>
  <c r="BZ36" i="95"/>
  <c r="BY51" i="95"/>
  <c r="BZ92" i="95"/>
  <c r="BZ57" i="95"/>
  <c r="BZ49" i="95"/>
  <c r="BZ81" i="95"/>
  <c r="BZ34" i="95"/>
  <c r="BZ19" i="95"/>
  <c r="BZ17" i="95"/>
  <c r="BZ88" i="95"/>
  <c r="BZ41" i="95"/>
  <c r="BZ53" i="95"/>
  <c r="BY11" i="95"/>
  <c r="BZ11" i="95"/>
  <c r="BZ66" i="95"/>
  <c r="BZ58" i="95"/>
  <c r="BZ47" i="95"/>
  <c r="BZ42" i="95"/>
  <c r="BZ46" i="95"/>
  <c r="BZ26" i="95"/>
  <c r="BZ96" i="95"/>
  <c r="BZ68" i="95"/>
  <c r="BZ62" i="95"/>
  <c r="BY30" i="95"/>
  <c r="BZ72" i="95"/>
  <c r="BZ74" i="95"/>
  <c r="BZ67" i="95"/>
  <c r="BZ91" i="95"/>
  <c r="BZ51" i="95"/>
  <c r="BZ20" i="95"/>
  <c r="BZ35" i="95"/>
  <c r="BZ28" i="95"/>
  <c r="BZ94" i="95"/>
  <c r="BZ71" i="95"/>
  <c r="BY62" i="95"/>
  <c r="BZ80" i="95"/>
  <c r="BZ52" i="95"/>
  <c r="BZ12" i="95"/>
  <c r="BZ18" i="95"/>
  <c r="BZ89" i="95"/>
  <c r="BY64" i="95"/>
  <c r="BZ55" i="95"/>
  <c r="BZ30" i="95"/>
  <c r="BZ23" i="95"/>
  <c r="BZ93" i="95"/>
  <c r="BZ77" i="95"/>
  <c r="BZ78" i="95"/>
  <c r="BZ33" i="95"/>
  <c r="BZ61" i="95"/>
  <c r="BZ82" i="95"/>
  <c r="BZ27" i="95"/>
  <c r="BY63" i="95"/>
  <c r="BY24" i="95"/>
  <c r="BY19" i="95"/>
  <c r="BY29" i="95"/>
  <c r="BY58" i="95"/>
  <c r="BY14" i="95"/>
  <c r="BY17" i="95"/>
  <c r="BY16" i="95"/>
  <c r="BY25" i="95"/>
  <c r="BY22" i="95"/>
  <c r="BY57" i="95"/>
  <c r="BY34" i="95"/>
  <c r="BY48" i="95"/>
  <c r="BY20" i="95"/>
  <c r="BY91" i="95"/>
  <c r="BY28" i="95"/>
  <c r="BY47" i="95"/>
  <c r="BY31" i="95"/>
  <c r="BY68" i="95"/>
  <c r="BY75" i="95"/>
  <c r="BY73" i="95"/>
  <c r="BY70" i="95"/>
  <c r="BY84" i="95"/>
  <c r="BY72" i="95"/>
  <c r="BY52" i="95"/>
  <c r="BY23" i="95"/>
  <c r="BY27" i="95"/>
  <c r="BY13" i="95"/>
  <c r="BY38" i="95"/>
  <c r="BY44" i="95"/>
  <c r="BY37" i="95"/>
  <c r="BY93" i="95"/>
  <c r="BY78" i="95"/>
  <c r="BY82" i="95"/>
  <c r="BY94" i="95"/>
  <c r="BY81" i="95"/>
  <c r="BY66" i="95"/>
  <c r="BY45" i="95"/>
  <c r="BY39" i="95"/>
  <c r="BY36" i="95"/>
  <c r="BY83" i="95"/>
  <c r="BY95" i="95"/>
  <c r="BY86" i="95"/>
  <c r="BY88" i="95"/>
  <c r="BY26" i="95"/>
  <c r="BY40" i="95"/>
  <c r="BY50" i="95"/>
  <c r="BY41" i="95"/>
  <c r="BY42" i="95"/>
  <c r="BY79" i="95"/>
  <c r="BY97" i="95"/>
  <c r="BY89" i="95"/>
  <c r="BY90" i="95"/>
  <c r="BY33" i="95"/>
  <c r="BY56" i="95"/>
  <c r="BY55" i="95"/>
  <c r="BY77" i="95"/>
  <c r="BY49" i="95"/>
  <c r="BY80" i="95"/>
  <c r="BY53" i="95"/>
  <c r="BY92" i="95"/>
  <c r="BY96" i="95"/>
  <c r="BY15" i="95"/>
  <c r="BY35" i="95"/>
  <c r="CB7" i="95"/>
  <c r="CA8" i="95"/>
  <c r="CA89" i="95" s="1"/>
  <c r="BY67" i="95"/>
  <c r="BY12" i="95"/>
  <c r="BY46" i="95"/>
  <c r="BY71" i="95"/>
  <c r="BY59" i="95"/>
  <c r="BY74" i="95"/>
  <c r="BY61" i="95"/>
  <c r="BY69" i="95"/>
  <c r="BY60" i="95"/>
  <c r="BX78" i="59" l="1"/>
  <c r="BX88" i="59"/>
  <c r="BX24" i="59"/>
  <c r="BX17" i="59"/>
  <c r="BX42" i="59"/>
  <c r="BX20" i="59"/>
  <c r="BX67" i="59"/>
  <c r="BX56" i="59"/>
  <c r="BX31" i="59"/>
  <c r="BX35" i="59"/>
  <c r="BX80" i="59"/>
  <c r="BX13" i="59"/>
  <c r="BX41" i="59"/>
  <c r="BX12" i="59"/>
  <c r="BX30" i="59"/>
  <c r="BX26" i="59"/>
  <c r="BX15" i="59"/>
  <c r="BX33" i="59"/>
  <c r="BX46" i="59"/>
  <c r="BX63" i="59"/>
  <c r="BX75" i="59"/>
  <c r="BX71" i="59"/>
  <c r="BX91" i="59"/>
  <c r="BX40" i="59"/>
  <c r="BY95" i="59"/>
  <c r="BY97" i="59"/>
  <c r="BY78" i="59"/>
  <c r="BY75" i="59"/>
  <c r="BY67" i="59"/>
  <c r="BY64" i="59"/>
  <c r="BY83" i="59"/>
  <c r="BY79" i="59"/>
  <c r="BY52" i="59"/>
  <c r="BY47" i="59"/>
  <c r="BY48" i="59"/>
  <c r="BY55" i="59"/>
  <c r="BY30" i="59"/>
  <c r="BY22" i="59"/>
  <c r="BY25" i="59"/>
  <c r="BY16" i="59"/>
  <c r="BY40" i="59"/>
  <c r="BY15" i="59"/>
  <c r="BY35" i="59"/>
  <c r="BY14" i="59"/>
  <c r="BY20" i="59"/>
  <c r="BZ7" i="59"/>
  <c r="BY24" i="59"/>
  <c r="BY12" i="59"/>
  <c r="BY31" i="59"/>
  <c r="BY8" i="59"/>
  <c r="BY94" i="59" s="1"/>
  <c r="BY37" i="59"/>
  <c r="BX47" i="59"/>
  <c r="BX37" i="59"/>
  <c r="BX53" i="59"/>
  <c r="BX61" i="59"/>
  <c r="BX70" i="59"/>
  <c r="BX59" i="59"/>
  <c r="BX83" i="59"/>
  <c r="BX96" i="59"/>
  <c r="BX11" i="59"/>
  <c r="BX45" i="59"/>
  <c r="BX22" i="59"/>
  <c r="BX58" i="59"/>
  <c r="BX29" i="59"/>
  <c r="BX64" i="59"/>
  <c r="BX57" i="59"/>
  <c r="BX72" i="59"/>
  <c r="BX89" i="59"/>
  <c r="BX93" i="59"/>
  <c r="BX34" i="59"/>
  <c r="BX27" i="59"/>
  <c r="BX38" i="59"/>
  <c r="BX66" i="59"/>
  <c r="BX73" i="59"/>
  <c r="BX81" i="59"/>
  <c r="BX77" i="59"/>
  <c r="BX90" i="59"/>
  <c r="BX16" i="59"/>
  <c r="BX50" i="59"/>
  <c r="BX25" i="59"/>
  <c r="BX44" i="59"/>
  <c r="BX36" i="59"/>
  <c r="BX55" i="59"/>
  <c r="BX68" i="59"/>
  <c r="BX82" i="59"/>
  <c r="BX86" i="59"/>
  <c r="BX85" i="59"/>
  <c r="BX95" i="59"/>
  <c r="BX39" i="59"/>
  <c r="BX18" i="59"/>
  <c r="BX48" i="59"/>
  <c r="BX49" i="59"/>
  <c r="BX69" i="59"/>
  <c r="BX79" i="59"/>
  <c r="BX84" i="59"/>
  <c r="BX97" i="59"/>
  <c r="BX92" i="59"/>
  <c r="BX14" i="59"/>
  <c r="BX19" i="59"/>
  <c r="BX23" i="59"/>
  <c r="BX28" i="59"/>
  <c r="BX51" i="59"/>
  <c r="BX52" i="59"/>
  <c r="BX60" i="59"/>
  <c r="BX74" i="59"/>
  <c r="BX62" i="59"/>
  <c r="BY96" i="113"/>
  <c r="BY91" i="113"/>
  <c r="BY94" i="113"/>
  <c r="BY78" i="113"/>
  <c r="BY81" i="113"/>
  <c r="BY72" i="113"/>
  <c r="BY73" i="113"/>
  <c r="BY70" i="113"/>
  <c r="BY64" i="113"/>
  <c r="BY56" i="113"/>
  <c r="BY75" i="113"/>
  <c r="BY69" i="113"/>
  <c r="BY71" i="113"/>
  <c r="BY61" i="113"/>
  <c r="BY48" i="113"/>
  <c r="BY39" i="113"/>
  <c r="BY68" i="113"/>
  <c r="BY67" i="113"/>
  <c r="BY25" i="113"/>
  <c r="BY46" i="113"/>
  <c r="BY37" i="113"/>
  <c r="BY49" i="113"/>
  <c r="BY26" i="113"/>
  <c r="BY38" i="113"/>
  <c r="BY17" i="113"/>
  <c r="BY63" i="113"/>
  <c r="BY27" i="113"/>
  <c r="BY41" i="113"/>
  <c r="BY36" i="113"/>
  <c r="BY28" i="113"/>
  <c r="BY22" i="113"/>
  <c r="BY12" i="113"/>
  <c r="BY23" i="113"/>
  <c r="BY18" i="113"/>
  <c r="BY11" i="113"/>
  <c r="BY24" i="113"/>
  <c r="BZ7" i="113"/>
  <c r="BY15" i="113"/>
  <c r="BY13" i="113"/>
  <c r="BY8" i="113"/>
  <c r="BY95" i="113" s="1"/>
  <c r="BX22" i="113"/>
  <c r="BX44" i="113"/>
  <c r="BX42" i="113"/>
  <c r="BX45" i="113"/>
  <c r="BX60" i="113"/>
  <c r="BX73" i="113"/>
  <c r="BX74" i="113"/>
  <c r="BX90" i="113"/>
  <c r="BX16" i="113"/>
  <c r="BX11" i="113"/>
  <c r="BX25" i="113"/>
  <c r="BX47" i="113"/>
  <c r="BX29" i="113"/>
  <c r="BX57" i="113"/>
  <c r="BX50" i="113"/>
  <c r="BX62" i="113"/>
  <c r="BX82" i="113"/>
  <c r="BX97" i="113"/>
  <c r="BX95" i="113"/>
  <c r="BX26" i="113"/>
  <c r="BX27" i="113"/>
  <c r="BX35" i="113"/>
  <c r="BX31" i="113"/>
  <c r="BX67" i="113"/>
  <c r="BX66" i="113"/>
  <c r="BX71" i="113"/>
  <c r="BX85" i="113"/>
  <c r="BX80" i="113"/>
  <c r="BY12" i="111"/>
  <c r="BY20" i="111"/>
  <c r="BY31" i="111"/>
  <c r="BY73" i="111"/>
  <c r="BY63" i="111"/>
  <c r="BY75" i="111"/>
  <c r="BY42" i="111"/>
  <c r="BY97" i="111"/>
  <c r="BY95" i="111"/>
  <c r="BZ85" i="111"/>
  <c r="BZ97" i="111"/>
  <c r="BZ83" i="111"/>
  <c r="BZ55" i="111"/>
  <c r="BZ46" i="111"/>
  <c r="BZ86" i="111"/>
  <c r="BZ68" i="111"/>
  <c r="BZ70" i="111"/>
  <c r="BZ62" i="111"/>
  <c r="BZ92" i="111"/>
  <c r="BZ72" i="111"/>
  <c r="BZ64" i="111"/>
  <c r="BZ58" i="111"/>
  <c r="BZ61" i="111"/>
  <c r="BZ49" i="111"/>
  <c r="BZ51" i="111"/>
  <c r="BZ35" i="111"/>
  <c r="BZ60" i="111"/>
  <c r="BZ47" i="111"/>
  <c r="BZ45" i="111"/>
  <c r="BZ41" i="111"/>
  <c r="BZ81" i="111"/>
  <c r="BZ29" i="111"/>
  <c r="BZ20" i="111"/>
  <c r="BZ71" i="111"/>
  <c r="BZ28" i="111"/>
  <c r="BZ36" i="111"/>
  <c r="BZ25" i="111"/>
  <c r="BZ15" i="111"/>
  <c r="BZ44" i="111"/>
  <c r="BZ57" i="111"/>
  <c r="BZ30" i="111"/>
  <c r="BZ19" i="111"/>
  <c r="BZ22" i="111"/>
  <c r="BZ23" i="111"/>
  <c r="BZ8" i="111"/>
  <c r="BZ89" i="111" s="1"/>
  <c r="CA7" i="111"/>
  <c r="BZ31" i="111"/>
  <c r="BZ14" i="111"/>
  <c r="BZ11" i="111"/>
  <c r="BZ33" i="111"/>
  <c r="BZ13" i="111"/>
  <c r="BZ16" i="111"/>
  <c r="BY34" i="111"/>
  <c r="BY37" i="111"/>
  <c r="BY72" i="111"/>
  <c r="BY88" i="111"/>
  <c r="BY51" i="111"/>
  <c r="BY85" i="111"/>
  <c r="BY94" i="111"/>
  <c r="BY33" i="111"/>
  <c r="BY52" i="111"/>
  <c r="BY44" i="111"/>
  <c r="BY53" i="111"/>
  <c r="BY61" i="111"/>
  <c r="BY68" i="111"/>
  <c r="BY91" i="111"/>
  <c r="BY25" i="111"/>
  <c r="BY28" i="111"/>
  <c r="BY46" i="111"/>
  <c r="BY83" i="111"/>
  <c r="BY55" i="111"/>
  <c r="BY66" i="111"/>
  <c r="BY64" i="111"/>
  <c r="BY71" i="111"/>
  <c r="BX63" i="109"/>
  <c r="BX55" i="109"/>
  <c r="BX28" i="109"/>
  <c r="BX39" i="109"/>
  <c r="BX52" i="109"/>
  <c r="BX70" i="109"/>
  <c r="BX71" i="109"/>
  <c r="BX97" i="109"/>
  <c r="BX42" i="109"/>
  <c r="BX15" i="109"/>
  <c r="BX33" i="109"/>
  <c r="BX60" i="109"/>
  <c r="BX37" i="109"/>
  <c r="BX45" i="109"/>
  <c r="BX79" i="109"/>
  <c r="BX72" i="109"/>
  <c r="BX77" i="109"/>
  <c r="BX88" i="109"/>
  <c r="BY72" i="109"/>
  <c r="BY8" i="109"/>
  <c r="BY91" i="109" s="1"/>
  <c r="BZ7" i="109"/>
  <c r="BX20" i="109"/>
  <c r="BX34" i="109"/>
  <c r="BX40" i="109"/>
  <c r="BX46" i="109"/>
  <c r="BX18" i="109"/>
  <c r="BX80" i="109"/>
  <c r="BX75" i="109"/>
  <c r="BX84" i="109"/>
  <c r="BX96" i="109"/>
  <c r="BX93" i="109"/>
  <c r="BX29" i="109"/>
  <c r="BX11" i="109"/>
  <c r="BX47" i="109"/>
  <c r="BX35" i="109"/>
  <c r="BX66" i="109"/>
  <c r="BX36" i="109"/>
  <c r="BX91" i="109"/>
  <c r="BX61" i="109"/>
  <c r="BX69" i="109"/>
  <c r="BX90" i="109"/>
  <c r="BX89" i="109"/>
  <c r="BX16" i="109"/>
  <c r="BX14" i="109"/>
  <c r="BX53" i="109"/>
  <c r="BX44" i="109"/>
  <c r="BX94" i="109"/>
  <c r="BX51" i="109"/>
  <c r="BX58" i="109"/>
  <c r="BX81" i="109"/>
  <c r="BX85" i="109"/>
  <c r="BX86" i="109"/>
  <c r="BX26" i="109"/>
  <c r="BX73" i="109"/>
  <c r="BX49" i="109"/>
  <c r="BX82" i="109"/>
  <c r="BX23" i="109"/>
  <c r="BX12" i="109"/>
  <c r="BX38" i="109"/>
  <c r="BX56" i="109"/>
  <c r="BX50" i="109"/>
  <c r="BX22" i="109"/>
  <c r="BX74" i="109"/>
  <c r="BX59" i="109"/>
  <c r="BX64" i="109"/>
  <c r="BX78" i="109"/>
  <c r="BX95" i="109"/>
  <c r="BX13" i="109"/>
  <c r="BX62" i="109"/>
  <c r="BX27" i="109"/>
  <c r="BX57" i="109"/>
  <c r="BX17" i="109"/>
  <c r="BX25" i="109"/>
  <c r="BX41" i="109"/>
  <c r="BX31" i="109"/>
  <c r="BX19" i="109"/>
  <c r="BX30" i="109"/>
  <c r="BX48" i="109"/>
  <c r="BX67" i="109"/>
  <c r="BX68" i="109"/>
  <c r="BX83" i="109"/>
  <c r="BZ85" i="107"/>
  <c r="BZ70" i="107"/>
  <c r="BZ64" i="107"/>
  <c r="BZ68" i="107"/>
  <c r="BZ47" i="107"/>
  <c r="BZ53" i="107"/>
  <c r="BZ29" i="107"/>
  <c r="BZ19" i="107"/>
  <c r="BZ14" i="107"/>
  <c r="CA7" i="107"/>
  <c r="BZ8" i="107"/>
  <c r="BZ90" i="107" s="1"/>
  <c r="BZ34" i="107"/>
  <c r="BY24" i="107"/>
  <c r="BY39" i="107"/>
  <c r="BY30" i="107"/>
  <c r="BY71" i="107"/>
  <c r="BY36" i="107"/>
  <c r="BY31" i="107"/>
  <c r="BY55" i="107"/>
  <c r="BY57" i="107"/>
  <c r="BY77" i="107"/>
  <c r="BY93" i="107"/>
  <c r="BY13" i="107"/>
  <c r="BY41" i="107"/>
  <c r="BY16" i="107"/>
  <c r="BY18" i="107"/>
  <c r="BY29" i="107"/>
  <c r="BY70" i="107"/>
  <c r="BY60" i="107"/>
  <c r="BY82" i="107"/>
  <c r="BY84" i="107"/>
  <c r="BY85" i="107"/>
  <c r="BY95" i="107"/>
  <c r="BY20" i="107"/>
  <c r="BY11" i="107"/>
  <c r="BY25" i="107"/>
  <c r="BY42" i="107"/>
  <c r="BY45" i="107"/>
  <c r="BY75" i="107"/>
  <c r="BY63" i="107"/>
  <c r="BY51" i="107"/>
  <c r="BY73" i="107"/>
  <c r="BY94" i="107"/>
  <c r="BY34" i="107"/>
  <c r="BY23" i="107"/>
  <c r="BY27" i="107"/>
  <c r="BY47" i="107"/>
  <c r="BY33" i="107"/>
  <c r="BY92" i="107"/>
  <c r="BY28" i="107"/>
  <c r="BY61" i="107"/>
  <c r="BY79" i="107"/>
  <c r="BY91" i="107"/>
  <c r="BY17" i="107"/>
  <c r="BY50" i="107"/>
  <c r="BY52" i="107"/>
  <c r="BY48" i="107"/>
  <c r="BY59" i="107"/>
  <c r="BY37" i="107"/>
  <c r="BY64" i="107"/>
  <c r="BY67" i="107"/>
  <c r="BY88" i="107"/>
  <c r="BY15" i="107"/>
  <c r="BY26" i="107"/>
  <c r="BY22" i="107"/>
  <c r="BY35" i="107"/>
  <c r="BY83" i="107"/>
  <c r="BY68" i="107"/>
  <c r="BY46" i="107"/>
  <c r="BY72" i="107"/>
  <c r="BY78" i="107"/>
  <c r="BZ93" i="105"/>
  <c r="BZ91" i="105"/>
  <c r="BZ85" i="105"/>
  <c r="BZ97" i="105"/>
  <c r="BZ77" i="105"/>
  <c r="BZ71" i="105"/>
  <c r="BZ78" i="105"/>
  <c r="BZ92" i="105"/>
  <c r="BZ84" i="105"/>
  <c r="BZ82" i="105"/>
  <c r="BZ58" i="105"/>
  <c r="BZ70" i="105"/>
  <c r="BZ64" i="105"/>
  <c r="BZ59" i="105"/>
  <c r="BZ66" i="105"/>
  <c r="BZ61" i="105"/>
  <c r="BZ79" i="105"/>
  <c r="BZ45" i="105"/>
  <c r="BZ48" i="105"/>
  <c r="BZ39" i="105"/>
  <c r="BZ42" i="105"/>
  <c r="BZ49" i="105"/>
  <c r="BZ33" i="105"/>
  <c r="BZ60" i="105"/>
  <c r="BZ50" i="105"/>
  <c r="BZ30" i="105"/>
  <c r="BZ31" i="105"/>
  <c r="BZ55" i="105"/>
  <c r="BZ40" i="105"/>
  <c r="BZ35" i="105"/>
  <c r="BZ19" i="105"/>
  <c r="BZ20" i="105"/>
  <c r="BZ27" i="105"/>
  <c r="BZ14" i="105"/>
  <c r="CA7" i="105"/>
  <c r="BZ41" i="105"/>
  <c r="BZ17" i="105"/>
  <c r="BZ28" i="105"/>
  <c r="BZ37" i="105"/>
  <c r="BZ36" i="105"/>
  <c r="BZ18" i="105"/>
  <c r="BZ8" i="105"/>
  <c r="BZ90" i="105" s="1"/>
  <c r="BZ22" i="105"/>
  <c r="BZ15" i="105"/>
  <c r="BZ46" i="105"/>
  <c r="BZ16" i="105"/>
  <c r="BZ13" i="105"/>
  <c r="BY25" i="105"/>
  <c r="BY34" i="105"/>
  <c r="BY48" i="105"/>
  <c r="BY62" i="105"/>
  <c r="BY67" i="105"/>
  <c r="BY84" i="105"/>
  <c r="BY73" i="105"/>
  <c r="BY93" i="105"/>
  <c r="BY68" i="105"/>
  <c r="BY63" i="105"/>
  <c r="BY81" i="105"/>
  <c r="BY97" i="105"/>
  <c r="BY86" i="105"/>
  <c r="BY42" i="105"/>
  <c r="BY18" i="105"/>
  <c r="BY58" i="105"/>
  <c r="BY16" i="105"/>
  <c r="BY37" i="105"/>
  <c r="BY45" i="105"/>
  <c r="BY66" i="105"/>
  <c r="BY71" i="105"/>
  <c r="BY92" i="105"/>
  <c r="BY85" i="105"/>
  <c r="BY18" i="103"/>
  <c r="BY15" i="103"/>
  <c r="BY47" i="103"/>
  <c r="BY44" i="103"/>
  <c r="BY46" i="103"/>
  <c r="BY41" i="103"/>
  <c r="BY64" i="103"/>
  <c r="BY79" i="103"/>
  <c r="BY78" i="103"/>
  <c r="BY91" i="103"/>
  <c r="BY25" i="103"/>
  <c r="BY16" i="103"/>
  <c r="BY31" i="103"/>
  <c r="BY40" i="103"/>
  <c r="BY60" i="103"/>
  <c r="BY56" i="103"/>
  <c r="BY77" i="103"/>
  <c r="BY66" i="103"/>
  <c r="BY86" i="103"/>
  <c r="BY96" i="103"/>
  <c r="BY24" i="103"/>
  <c r="BY22" i="103"/>
  <c r="BY33" i="103"/>
  <c r="BY34" i="103"/>
  <c r="BY39" i="103"/>
  <c r="BY70" i="103"/>
  <c r="BY82" i="103"/>
  <c r="BY74" i="103"/>
  <c r="BY80" i="103"/>
  <c r="BY93" i="103"/>
  <c r="BZ72" i="103"/>
  <c r="BZ58" i="103"/>
  <c r="BZ55" i="103"/>
  <c r="BZ8" i="103"/>
  <c r="BZ96" i="103" s="1"/>
  <c r="BZ18" i="103"/>
  <c r="CA7" i="103"/>
  <c r="BY30" i="103"/>
  <c r="BY27" i="103"/>
  <c r="BY35" i="103"/>
  <c r="BY36" i="103"/>
  <c r="BY48" i="103"/>
  <c r="BY58" i="103"/>
  <c r="BY73" i="103"/>
  <c r="BY92" i="103"/>
  <c r="BY89" i="103"/>
  <c r="BY90" i="103"/>
  <c r="BY14" i="103"/>
  <c r="BY17" i="103"/>
  <c r="BY38" i="103"/>
  <c r="BY37" i="103"/>
  <c r="BY52" i="103"/>
  <c r="BY62" i="103"/>
  <c r="BY61" i="103"/>
  <c r="BY67" i="103"/>
  <c r="BY75" i="103"/>
  <c r="BY97" i="103"/>
  <c r="BY95" i="103"/>
  <c r="BY26" i="103"/>
  <c r="BY13" i="103"/>
  <c r="BY20" i="103"/>
  <c r="BY42" i="103"/>
  <c r="BY55" i="103"/>
  <c r="BY45" i="103"/>
  <c r="BY69" i="103"/>
  <c r="BY63" i="103"/>
  <c r="BY84" i="103"/>
  <c r="BY85" i="103"/>
  <c r="BY29" i="103"/>
  <c r="BY28" i="103"/>
  <c r="BY59" i="103"/>
  <c r="BY53" i="103"/>
  <c r="BY71" i="103"/>
  <c r="BY72" i="103"/>
  <c r="BY81" i="103"/>
  <c r="BY91" i="101"/>
  <c r="BY80" i="101"/>
  <c r="BY68" i="101"/>
  <c r="BY69" i="101"/>
  <c r="BY60" i="101"/>
  <c r="BY58" i="101"/>
  <c r="BY51" i="101"/>
  <c r="BY29" i="101"/>
  <c r="BY61" i="101"/>
  <c r="BY45" i="101"/>
  <c r="BY34" i="101"/>
  <c r="BY30" i="101"/>
  <c r="BY19" i="101"/>
  <c r="BY8" i="101"/>
  <c r="BY95" i="101" s="1"/>
  <c r="BY17" i="101"/>
  <c r="BY26" i="101"/>
  <c r="BY14" i="101"/>
  <c r="BZ7" i="101"/>
  <c r="BY20" i="101"/>
  <c r="BX30" i="101"/>
  <c r="BX40" i="101"/>
  <c r="BX44" i="101"/>
  <c r="BX58" i="101"/>
  <c r="BX84" i="101"/>
  <c r="BX62" i="101"/>
  <c r="BX79" i="101"/>
  <c r="BX89" i="101"/>
  <c r="BX95" i="101"/>
  <c r="BX71" i="101"/>
  <c r="BX69" i="101"/>
  <c r="BX75" i="101"/>
  <c r="BX82" i="101"/>
  <c r="BX97" i="101"/>
  <c r="BX92" i="101"/>
  <c r="BX36" i="101"/>
  <c r="BX33" i="101"/>
  <c r="BX60" i="101"/>
  <c r="BX39" i="101"/>
  <c r="BX72" i="101"/>
  <c r="BX59" i="101"/>
  <c r="BX74" i="101"/>
  <c r="BX44" i="99"/>
  <c r="BX38" i="99"/>
  <c r="BX72" i="99"/>
  <c r="BX60" i="99"/>
  <c r="BX56" i="99"/>
  <c r="BX64" i="99"/>
  <c r="BX97" i="99"/>
  <c r="BX86" i="99"/>
  <c r="BY93" i="99"/>
  <c r="BY96" i="99"/>
  <c r="BY88" i="99"/>
  <c r="BY91" i="99"/>
  <c r="BY94" i="99"/>
  <c r="BY97" i="99"/>
  <c r="BY79" i="99"/>
  <c r="BY70" i="99"/>
  <c r="BY82" i="99"/>
  <c r="BY73" i="99"/>
  <c r="BY64" i="99"/>
  <c r="BY68" i="99"/>
  <c r="BY71" i="99"/>
  <c r="BY83" i="99"/>
  <c r="BY74" i="99"/>
  <c r="BY66" i="99"/>
  <c r="BY78" i="99"/>
  <c r="BY92" i="99"/>
  <c r="BY67" i="99"/>
  <c r="BY59" i="99"/>
  <c r="BY50" i="99"/>
  <c r="BY62" i="99"/>
  <c r="BY53" i="99"/>
  <c r="BY63" i="99"/>
  <c r="BY84" i="99"/>
  <c r="BY55" i="99"/>
  <c r="BY48" i="99"/>
  <c r="BY42" i="99"/>
  <c r="BY34" i="99"/>
  <c r="BY61" i="99"/>
  <c r="BY56" i="99"/>
  <c r="BY40" i="99"/>
  <c r="BY31" i="99"/>
  <c r="BY52" i="99"/>
  <c r="BY46" i="99"/>
  <c r="BY47" i="99"/>
  <c r="BY39" i="99"/>
  <c r="BY30" i="99"/>
  <c r="BY22" i="99"/>
  <c r="BY60" i="99"/>
  <c r="BY25" i="99"/>
  <c r="BY35" i="99"/>
  <c r="BY27" i="99"/>
  <c r="BY23" i="99"/>
  <c r="BY15" i="99"/>
  <c r="BY41" i="99"/>
  <c r="BY28" i="99"/>
  <c r="BY18" i="99"/>
  <c r="BY8" i="99"/>
  <c r="BY95" i="99" s="1"/>
  <c r="BY36" i="99"/>
  <c r="BY29" i="99"/>
  <c r="BY13" i="99"/>
  <c r="BY16" i="99"/>
  <c r="BY38" i="99"/>
  <c r="BY58" i="99"/>
  <c r="BY33" i="99"/>
  <c r="BY14" i="99"/>
  <c r="BZ7" i="99"/>
  <c r="BY37" i="99"/>
  <c r="BY12" i="99"/>
  <c r="BY11" i="99"/>
  <c r="BY17" i="99"/>
  <c r="BX11" i="99"/>
  <c r="BX19" i="99"/>
  <c r="BX28" i="99"/>
  <c r="BX41" i="99"/>
  <c r="BX49" i="99"/>
  <c r="BX62" i="99"/>
  <c r="BX74" i="99"/>
  <c r="BX82" i="99"/>
  <c r="BX94" i="99"/>
  <c r="BX26" i="97"/>
  <c r="BX33" i="97"/>
  <c r="BX72" i="97"/>
  <c r="BX71" i="97"/>
  <c r="BX79" i="97"/>
  <c r="BX49" i="97"/>
  <c r="BX35" i="97"/>
  <c r="BX16" i="97"/>
  <c r="BX18" i="97"/>
  <c r="BX36" i="97"/>
  <c r="BX78" i="97"/>
  <c r="BX83" i="97"/>
  <c r="BX69" i="97"/>
  <c r="BX67" i="97"/>
  <c r="BX96" i="97"/>
  <c r="BX88" i="97"/>
  <c r="BX11" i="97"/>
  <c r="BX17" i="97"/>
  <c r="BX25" i="97"/>
  <c r="BX34" i="97"/>
  <c r="BX42" i="97"/>
  <c r="BX46" i="97"/>
  <c r="BX81" i="97"/>
  <c r="BX80" i="97"/>
  <c r="BX75" i="97"/>
  <c r="BX93" i="97"/>
  <c r="BX27" i="97"/>
  <c r="BX52" i="97"/>
  <c r="BX28" i="97"/>
  <c r="BX57" i="97"/>
  <c r="BX50" i="97"/>
  <c r="BX62" i="97"/>
  <c r="BX56" i="97"/>
  <c r="BX68" i="97"/>
  <c r="BX84" i="97"/>
  <c r="BX90" i="97"/>
  <c r="BX12" i="97"/>
  <c r="BX30" i="97"/>
  <c r="BX31" i="97"/>
  <c r="BX37" i="97"/>
  <c r="BX89" i="97"/>
  <c r="BX48" i="97"/>
  <c r="BX66" i="97"/>
  <c r="BX77" i="97"/>
  <c r="BX97" i="97"/>
  <c r="BX86" i="97"/>
  <c r="BX14" i="97"/>
  <c r="BY94" i="97"/>
  <c r="BY68" i="97"/>
  <c r="BY56" i="97"/>
  <c r="BY51" i="97"/>
  <c r="BY72" i="97"/>
  <c r="BY13" i="97"/>
  <c r="BY69" i="97"/>
  <c r="BY35" i="97"/>
  <c r="BY60" i="97"/>
  <c r="BY62" i="97"/>
  <c r="BY29" i="97"/>
  <c r="BY20" i="97"/>
  <c r="BY8" i="97"/>
  <c r="BY86" i="97" s="1"/>
  <c r="BY17" i="97"/>
  <c r="BZ7" i="97"/>
  <c r="BY18" i="97"/>
  <c r="BX15" i="97"/>
  <c r="BX59" i="97"/>
  <c r="BX39" i="97"/>
  <c r="BX29" i="97"/>
  <c r="BX45" i="97"/>
  <c r="BX70" i="97"/>
  <c r="BX64" i="97"/>
  <c r="BX85" i="97"/>
  <c r="BX95" i="97"/>
  <c r="BX22" i="97"/>
  <c r="BX13" i="97"/>
  <c r="BX19" i="97"/>
  <c r="BX40" i="97"/>
  <c r="BX44" i="97"/>
  <c r="BX38" i="97"/>
  <c r="BX53" i="97"/>
  <c r="BX61" i="97"/>
  <c r="BX73" i="97"/>
  <c r="BX94" i="97"/>
  <c r="BX92" i="97"/>
  <c r="BX24" i="97"/>
  <c r="BX20" i="97"/>
  <c r="BX23" i="97"/>
  <c r="BX63" i="97"/>
  <c r="BX51" i="97"/>
  <c r="BX41" i="97"/>
  <c r="BX55" i="97"/>
  <c r="BX74" i="97"/>
  <c r="BX82" i="97"/>
  <c r="CA33" i="95"/>
  <c r="CA16" i="95"/>
  <c r="CA45" i="95"/>
  <c r="CA24" i="95"/>
  <c r="CA67" i="95"/>
  <c r="CA37" i="95"/>
  <c r="CA80" i="95"/>
  <c r="CA26" i="95"/>
  <c r="CA15" i="95"/>
  <c r="CA19" i="95"/>
  <c r="CA28" i="95"/>
  <c r="CA36" i="95"/>
  <c r="CA55" i="95"/>
  <c r="CA40" i="95"/>
  <c r="CA73" i="95"/>
  <c r="CA52" i="95"/>
  <c r="CA77" i="95"/>
  <c r="CA93" i="95"/>
  <c r="CA17" i="95"/>
  <c r="CA14" i="95"/>
  <c r="CA11" i="95"/>
  <c r="CA47" i="95"/>
  <c r="CA25" i="95"/>
  <c r="CA38" i="95"/>
  <c r="CA44" i="95"/>
  <c r="CA81" i="95"/>
  <c r="CA61" i="95"/>
  <c r="CA70" i="95"/>
  <c r="CA94" i="95"/>
  <c r="CA83" i="95"/>
  <c r="CA71" i="95"/>
  <c r="CA95" i="95"/>
  <c r="CA27" i="95"/>
  <c r="CC7" i="95"/>
  <c r="CB8" i="95"/>
  <c r="CB79" i="95" s="1"/>
  <c r="CA31" i="95"/>
  <c r="CA39" i="95"/>
  <c r="CA46" i="95"/>
  <c r="CA84" i="95"/>
  <c r="CA62" i="95"/>
  <c r="CA79" i="95"/>
  <c r="CA59" i="95"/>
  <c r="CA88" i="95"/>
  <c r="CA78" i="95"/>
  <c r="CA30" i="95"/>
  <c r="CA72" i="95"/>
  <c r="CA50" i="95"/>
  <c r="CA63" i="95"/>
  <c r="CA85" i="95"/>
  <c r="CA66" i="95"/>
  <c r="CA91" i="95"/>
  <c r="CA97" i="95"/>
  <c r="CA53" i="95"/>
  <c r="CA90" i="95"/>
  <c r="CA35" i="95"/>
  <c r="CA22" i="95"/>
  <c r="CA29" i="95"/>
  <c r="CA20" i="95"/>
  <c r="CA12" i="95"/>
  <c r="CA51" i="95"/>
  <c r="CA42" i="95"/>
  <c r="CA74" i="95"/>
  <c r="CA58" i="95"/>
  <c r="CA41" i="95"/>
  <c r="CA64" i="95"/>
  <c r="CA69" i="95"/>
  <c r="CA96" i="95"/>
  <c r="CA86" i="95"/>
  <c r="CA13" i="95"/>
  <c r="CA34" i="95"/>
  <c r="CA49" i="95"/>
  <c r="CA23" i="95"/>
  <c r="CA18" i="95"/>
  <c r="CA57" i="95"/>
  <c r="CA56" i="95"/>
  <c r="CA75" i="95"/>
  <c r="CA60" i="95"/>
  <c r="CA48" i="95"/>
  <c r="CA68" i="95"/>
  <c r="CA82" i="95"/>
  <c r="CA92" i="95"/>
  <c r="BY27" i="59" l="1"/>
  <c r="BY23" i="59"/>
  <c r="BY29" i="59"/>
  <c r="BY45" i="59"/>
  <c r="BY41" i="59"/>
  <c r="BY59" i="59"/>
  <c r="BY80" i="59"/>
  <c r="BY26" i="59"/>
  <c r="BY19" i="59"/>
  <c r="BY34" i="59"/>
  <c r="BY44" i="59"/>
  <c r="BY60" i="59"/>
  <c r="BY90" i="59"/>
  <c r="BY36" i="59"/>
  <c r="BY53" i="59"/>
  <c r="BY72" i="59"/>
  <c r="BY68" i="59"/>
  <c r="BY73" i="59"/>
  <c r="BY84" i="59"/>
  <c r="BY91" i="59"/>
  <c r="BY69" i="59"/>
  <c r="BY82" i="59"/>
  <c r="BY92" i="59"/>
  <c r="BY88" i="59"/>
  <c r="BY28" i="59"/>
  <c r="BY51" i="59"/>
  <c r="BY49" i="59"/>
  <c r="BY58" i="59"/>
  <c r="BY71" i="59"/>
  <c r="BY74" i="59"/>
  <c r="BY85" i="59"/>
  <c r="BY93" i="59"/>
  <c r="BY57" i="59"/>
  <c r="BY13" i="59"/>
  <c r="BY38" i="59"/>
  <c r="BY39" i="59"/>
  <c r="BY42" i="59"/>
  <c r="BY46" i="59"/>
  <c r="BY62" i="59"/>
  <c r="BY63" i="59"/>
  <c r="BY66" i="59"/>
  <c r="BY89" i="59"/>
  <c r="BY86" i="59"/>
  <c r="BY50" i="59"/>
  <c r="BY77" i="59"/>
  <c r="BY96" i="59"/>
  <c r="CA7" i="59"/>
  <c r="BZ8" i="59"/>
  <c r="BZ97" i="59" s="1"/>
  <c r="BY11" i="59"/>
  <c r="BY17" i="59"/>
  <c r="BY18" i="59"/>
  <c r="BY33" i="59"/>
  <c r="BY56" i="59"/>
  <c r="BY61" i="59"/>
  <c r="BY70" i="59"/>
  <c r="BY81" i="59"/>
  <c r="BZ20" i="113"/>
  <c r="CA7" i="113"/>
  <c r="BZ8" i="113"/>
  <c r="BZ90" i="113" s="1"/>
  <c r="BY89" i="113"/>
  <c r="BY88" i="113"/>
  <c r="BY29" i="113"/>
  <c r="BY40" i="113"/>
  <c r="BY35" i="113"/>
  <c r="BY34" i="113"/>
  <c r="BY53" i="113"/>
  <c r="BY80" i="113"/>
  <c r="BY77" i="113"/>
  <c r="BY74" i="113"/>
  <c r="BY93" i="113"/>
  <c r="BY19" i="113"/>
  <c r="BY14" i="113"/>
  <c r="BY45" i="113"/>
  <c r="BY44" i="113"/>
  <c r="BY42" i="113"/>
  <c r="BY58" i="113"/>
  <c r="BY57" i="113"/>
  <c r="BY82" i="113"/>
  <c r="BY83" i="113"/>
  <c r="BY90" i="113"/>
  <c r="BY16" i="113"/>
  <c r="BY31" i="113"/>
  <c r="BY20" i="113"/>
  <c r="BY50" i="113"/>
  <c r="BY52" i="113"/>
  <c r="BY51" i="113"/>
  <c r="BY62" i="113"/>
  <c r="BY66" i="113"/>
  <c r="BY92" i="113"/>
  <c r="BY97" i="113"/>
  <c r="BY86" i="113"/>
  <c r="BY33" i="113"/>
  <c r="BY47" i="113"/>
  <c r="BY30" i="113"/>
  <c r="BY59" i="113"/>
  <c r="BY60" i="113"/>
  <c r="BY55" i="113"/>
  <c r="BY79" i="113"/>
  <c r="BY84" i="113"/>
  <c r="BY85" i="113"/>
  <c r="BZ63" i="111"/>
  <c r="BZ94" i="111"/>
  <c r="CA95" i="111"/>
  <c r="CA45" i="111"/>
  <c r="CA8" i="111"/>
  <c r="CA92" i="111" s="1"/>
  <c r="CB7" i="111"/>
  <c r="CA28" i="111"/>
  <c r="BZ79" i="111"/>
  <c r="BZ17" i="111"/>
  <c r="BZ39" i="111"/>
  <c r="BZ48" i="111"/>
  <c r="BZ52" i="111"/>
  <c r="BZ77" i="111"/>
  <c r="BZ69" i="111"/>
  <c r="BZ66" i="111"/>
  <c r="BZ88" i="111"/>
  <c r="BZ34" i="111"/>
  <c r="BZ24" i="111"/>
  <c r="BZ26" i="111"/>
  <c r="BZ50" i="111"/>
  <c r="BZ56" i="111"/>
  <c r="BZ84" i="111"/>
  <c r="BZ75" i="111"/>
  <c r="BZ74" i="111"/>
  <c r="BZ96" i="111"/>
  <c r="BZ93" i="111"/>
  <c r="BZ12" i="111"/>
  <c r="BZ27" i="111"/>
  <c r="BZ78" i="111"/>
  <c r="BZ67" i="111"/>
  <c r="BZ73" i="111"/>
  <c r="BZ53" i="111"/>
  <c r="BZ95" i="111"/>
  <c r="BZ80" i="111"/>
  <c r="BZ90" i="111"/>
  <c r="BZ18" i="111"/>
  <c r="BZ42" i="111"/>
  <c r="BZ40" i="111"/>
  <c r="BZ38" i="111"/>
  <c r="BZ82" i="111"/>
  <c r="BZ91" i="111"/>
  <c r="BZ59" i="111"/>
  <c r="BZ37" i="111"/>
  <c r="BY11" i="109"/>
  <c r="BY69" i="109"/>
  <c r="BY41" i="109"/>
  <c r="BY55" i="109"/>
  <c r="BY31" i="109"/>
  <c r="BY13" i="109"/>
  <c r="BY84" i="109"/>
  <c r="BY60" i="109"/>
  <c r="BY82" i="109"/>
  <c r="BY96" i="109"/>
  <c r="BY80" i="109"/>
  <c r="BY50" i="109"/>
  <c r="BY19" i="109"/>
  <c r="BY33" i="109"/>
  <c r="BY57" i="109"/>
  <c r="BY40" i="109"/>
  <c r="BY22" i="109"/>
  <c r="BY67" i="109"/>
  <c r="BY73" i="109"/>
  <c r="BY85" i="109"/>
  <c r="BY93" i="109"/>
  <c r="BY24" i="109"/>
  <c r="BY44" i="109"/>
  <c r="BY37" i="109"/>
  <c r="BY70" i="109"/>
  <c r="BY16" i="109"/>
  <c r="BY30" i="109"/>
  <c r="BY59" i="109"/>
  <c r="BY89" i="109"/>
  <c r="BY81" i="109"/>
  <c r="BY90" i="109"/>
  <c r="BY20" i="109"/>
  <c r="BY12" i="109"/>
  <c r="BY68" i="109"/>
  <c r="BY46" i="109"/>
  <c r="BY26" i="109"/>
  <c r="BY25" i="109"/>
  <c r="BY39" i="109"/>
  <c r="BY71" i="109"/>
  <c r="BY94" i="109"/>
  <c r="BY78" i="109"/>
  <c r="BY86" i="109"/>
  <c r="BY38" i="109"/>
  <c r="BY53" i="109"/>
  <c r="BY23" i="109"/>
  <c r="BY88" i="109"/>
  <c r="BY15" i="109"/>
  <c r="BY29" i="109"/>
  <c r="BY18" i="109"/>
  <c r="BY47" i="109"/>
  <c r="BY49" i="109"/>
  <c r="BY34" i="109"/>
  <c r="BY45" i="109"/>
  <c r="BY66" i="109"/>
  <c r="BY75" i="109"/>
  <c r="BY97" i="109"/>
  <c r="BY95" i="109"/>
  <c r="BZ95" i="109"/>
  <c r="BZ67" i="109"/>
  <c r="BZ59" i="109"/>
  <c r="BZ52" i="109"/>
  <c r="BZ25" i="109"/>
  <c r="BZ69" i="109"/>
  <c r="BZ36" i="109"/>
  <c r="BZ44" i="109"/>
  <c r="BZ18" i="109"/>
  <c r="CA7" i="109"/>
  <c r="BZ8" i="109"/>
  <c r="BZ97" i="109" s="1"/>
  <c r="BZ31" i="109"/>
  <c r="BY62" i="109"/>
  <c r="BY17" i="109"/>
  <c r="BY77" i="109"/>
  <c r="BY28" i="109"/>
  <c r="BY52" i="109"/>
  <c r="BY83" i="109"/>
  <c r="BY42" i="109"/>
  <c r="BY48" i="109"/>
  <c r="BY64" i="109"/>
  <c r="BY79" i="109"/>
  <c r="BY92" i="109"/>
  <c r="BY58" i="109"/>
  <c r="BY61" i="109"/>
  <c r="BY27" i="109"/>
  <c r="BY35" i="109"/>
  <c r="BY36" i="109"/>
  <c r="BY14" i="109"/>
  <c r="BY56" i="109"/>
  <c r="BY51" i="109"/>
  <c r="BY74" i="109"/>
  <c r="BY63" i="109"/>
  <c r="BZ13" i="107"/>
  <c r="CA91" i="107"/>
  <c r="CA94" i="107"/>
  <c r="CA97" i="107"/>
  <c r="CA89" i="107"/>
  <c r="CA92" i="107"/>
  <c r="CA90" i="107"/>
  <c r="CA84" i="107"/>
  <c r="CA75" i="107"/>
  <c r="CA85" i="107"/>
  <c r="CA79" i="107"/>
  <c r="CA80" i="107"/>
  <c r="CA71" i="107"/>
  <c r="CA68" i="107"/>
  <c r="CA61" i="107"/>
  <c r="CA55" i="107"/>
  <c r="CA44" i="107"/>
  <c r="CA35" i="107"/>
  <c r="CA74" i="107"/>
  <c r="CA56" i="107"/>
  <c r="CA47" i="107"/>
  <c r="CA69" i="107"/>
  <c r="CA52" i="107"/>
  <c r="CA50" i="107"/>
  <c r="CA72" i="107"/>
  <c r="CA70" i="107"/>
  <c r="CA40" i="107"/>
  <c r="CA78" i="107"/>
  <c r="CA53" i="107"/>
  <c r="CA41" i="107"/>
  <c r="CA37" i="107"/>
  <c r="CA63" i="107"/>
  <c r="CA66" i="107"/>
  <c r="CA57" i="107"/>
  <c r="CA67" i="107"/>
  <c r="CA39" i="107"/>
  <c r="CA82" i="107"/>
  <c r="CA36" i="107"/>
  <c r="CA27" i="107"/>
  <c r="CA25" i="107"/>
  <c r="CA16" i="107"/>
  <c r="CA60" i="107"/>
  <c r="CA19" i="107"/>
  <c r="CA23" i="107"/>
  <c r="CA26" i="107"/>
  <c r="CA48" i="107"/>
  <c r="CA24" i="107"/>
  <c r="CA22" i="107"/>
  <c r="CA17" i="107"/>
  <c r="CA14" i="107"/>
  <c r="CB7" i="107"/>
  <c r="CA12" i="107"/>
  <c r="CA13" i="107"/>
  <c r="CA30" i="107"/>
  <c r="CA20" i="107"/>
  <c r="CA15" i="107"/>
  <c r="CA18" i="107"/>
  <c r="CA8" i="107"/>
  <c r="CA93" i="107" s="1"/>
  <c r="CA11" i="107"/>
  <c r="BZ58" i="107"/>
  <c r="BZ22" i="107"/>
  <c r="BZ41" i="107"/>
  <c r="BZ69" i="107"/>
  <c r="BZ59" i="107"/>
  <c r="BZ55" i="107"/>
  <c r="BZ61" i="107"/>
  <c r="BZ97" i="107"/>
  <c r="BZ17" i="107"/>
  <c r="BZ38" i="107"/>
  <c r="BZ30" i="107"/>
  <c r="BZ78" i="107"/>
  <c r="BZ56" i="107"/>
  <c r="BZ31" i="107"/>
  <c r="BZ72" i="107"/>
  <c r="BZ82" i="107"/>
  <c r="BZ94" i="107"/>
  <c r="BZ15" i="107"/>
  <c r="BZ39" i="107"/>
  <c r="BZ16" i="107"/>
  <c r="BZ42" i="107"/>
  <c r="BZ84" i="107"/>
  <c r="BZ74" i="107"/>
  <c r="BZ40" i="107"/>
  <c r="BZ86" i="107"/>
  <c r="BZ95" i="107"/>
  <c r="BZ91" i="107"/>
  <c r="BZ18" i="107"/>
  <c r="BZ11" i="107"/>
  <c r="BZ25" i="107"/>
  <c r="BZ46" i="107"/>
  <c r="BZ45" i="107"/>
  <c r="BZ79" i="107"/>
  <c r="BZ49" i="107"/>
  <c r="BZ71" i="107"/>
  <c r="BZ81" i="107"/>
  <c r="BZ88" i="107"/>
  <c r="BZ28" i="107"/>
  <c r="BZ20" i="107"/>
  <c r="BZ27" i="107"/>
  <c r="BZ52" i="107"/>
  <c r="BZ62" i="107"/>
  <c r="BZ35" i="107"/>
  <c r="BZ60" i="107"/>
  <c r="BZ77" i="107"/>
  <c r="BZ80" i="107"/>
  <c r="BZ96" i="107"/>
  <c r="BZ26" i="107"/>
  <c r="BZ66" i="107"/>
  <c r="BZ57" i="107"/>
  <c r="BZ33" i="107"/>
  <c r="BZ50" i="107"/>
  <c r="BZ73" i="107"/>
  <c r="BZ44" i="107"/>
  <c r="BZ63" i="107"/>
  <c r="BZ75" i="107"/>
  <c r="BZ92" i="107"/>
  <c r="BZ93" i="107"/>
  <c r="BZ12" i="107"/>
  <c r="BZ24" i="107"/>
  <c r="BZ23" i="107"/>
  <c r="BZ36" i="107"/>
  <c r="BZ37" i="107"/>
  <c r="BZ48" i="107"/>
  <c r="BZ51" i="107"/>
  <c r="BZ67" i="107"/>
  <c r="BZ83" i="107"/>
  <c r="BZ89" i="107"/>
  <c r="CA93" i="105"/>
  <c r="CA91" i="105"/>
  <c r="CA89" i="105"/>
  <c r="CA92" i="105"/>
  <c r="CA86" i="105"/>
  <c r="CA85" i="105"/>
  <c r="CA90" i="105"/>
  <c r="CA81" i="105"/>
  <c r="CA84" i="105"/>
  <c r="CA75" i="105"/>
  <c r="CA70" i="105"/>
  <c r="CA61" i="105"/>
  <c r="CA72" i="105"/>
  <c r="CA68" i="105"/>
  <c r="CA73" i="105"/>
  <c r="CA62" i="105"/>
  <c r="CA53" i="105"/>
  <c r="CA52" i="105"/>
  <c r="CA63" i="105"/>
  <c r="CA48" i="105"/>
  <c r="CA51" i="105"/>
  <c r="CA42" i="105"/>
  <c r="CA37" i="105"/>
  <c r="CA69" i="105"/>
  <c r="CA27" i="105"/>
  <c r="CA66" i="105"/>
  <c r="CA56" i="105"/>
  <c r="CA44" i="105"/>
  <c r="CA40" i="105"/>
  <c r="CA29" i="105"/>
  <c r="CA47" i="105"/>
  <c r="CA39" i="105"/>
  <c r="CB7" i="105"/>
  <c r="CA26" i="105"/>
  <c r="CA17" i="105"/>
  <c r="CA15" i="105"/>
  <c r="CA50" i="105"/>
  <c r="CA12" i="105"/>
  <c r="CA33" i="105"/>
  <c r="CA22" i="105"/>
  <c r="CA13" i="105"/>
  <c r="CA38" i="105"/>
  <c r="CA16" i="105"/>
  <c r="CA18" i="105"/>
  <c r="CA8" i="105"/>
  <c r="CA96" i="105" s="1"/>
  <c r="CA11" i="105"/>
  <c r="CA19" i="105"/>
  <c r="CA31" i="105"/>
  <c r="BZ69" i="105"/>
  <c r="BZ57" i="105"/>
  <c r="BZ23" i="105"/>
  <c r="BZ44" i="105"/>
  <c r="BZ24" i="105"/>
  <c r="BZ52" i="105"/>
  <c r="BZ95" i="105"/>
  <c r="BZ67" i="105"/>
  <c r="BZ83" i="105"/>
  <c r="BZ94" i="105"/>
  <c r="BZ62" i="105"/>
  <c r="BZ68" i="105"/>
  <c r="BZ63" i="105"/>
  <c r="BZ80" i="105"/>
  <c r="BZ88" i="105"/>
  <c r="BZ34" i="105"/>
  <c r="BZ11" i="105"/>
  <c r="BZ47" i="105"/>
  <c r="BZ74" i="105"/>
  <c r="BZ53" i="105"/>
  <c r="BZ56" i="105"/>
  <c r="BZ75" i="105"/>
  <c r="BZ86" i="105"/>
  <c r="BZ96" i="105"/>
  <c r="BZ26" i="105"/>
  <c r="BZ29" i="105"/>
  <c r="BZ12" i="105"/>
  <c r="BZ25" i="105"/>
  <c r="BZ38" i="105"/>
  <c r="BZ51" i="105"/>
  <c r="BZ73" i="105"/>
  <c r="BZ72" i="105"/>
  <c r="BZ81" i="105"/>
  <c r="BZ89" i="105"/>
  <c r="BZ16" i="103"/>
  <c r="BZ25" i="103"/>
  <c r="BZ15" i="103"/>
  <c r="BZ47" i="103"/>
  <c r="BZ57" i="103"/>
  <c r="BZ49" i="103"/>
  <c r="BZ63" i="103"/>
  <c r="BZ71" i="103"/>
  <c r="BZ85" i="103"/>
  <c r="BZ86" i="103"/>
  <c r="BZ93" i="103"/>
  <c r="BZ12" i="103"/>
  <c r="BZ20" i="103"/>
  <c r="BZ34" i="103"/>
  <c r="BZ26" i="103"/>
  <c r="BZ44" i="103"/>
  <c r="BZ46" i="103"/>
  <c r="BZ80" i="103"/>
  <c r="BZ68" i="103"/>
  <c r="BZ60" i="103"/>
  <c r="BZ92" i="103"/>
  <c r="BZ90" i="103"/>
  <c r="BZ27" i="103"/>
  <c r="BZ13" i="103"/>
  <c r="BZ59" i="103"/>
  <c r="BZ31" i="103"/>
  <c r="BZ40" i="103"/>
  <c r="BZ42" i="103"/>
  <c r="BZ53" i="103"/>
  <c r="BZ77" i="103"/>
  <c r="BZ69" i="103"/>
  <c r="BZ89" i="103"/>
  <c r="CA96" i="103"/>
  <c r="CA91" i="103"/>
  <c r="CA89" i="103"/>
  <c r="CA95" i="103"/>
  <c r="CA78" i="103"/>
  <c r="CA82" i="103"/>
  <c r="CA75" i="103"/>
  <c r="CA63" i="103"/>
  <c r="CA64" i="103"/>
  <c r="CA77" i="103"/>
  <c r="CA69" i="103"/>
  <c r="CA62" i="103"/>
  <c r="CA56" i="103"/>
  <c r="CA60" i="103"/>
  <c r="CA48" i="103"/>
  <c r="CA51" i="103"/>
  <c r="CA37" i="103"/>
  <c r="CA44" i="103"/>
  <c r="CA40" i="103"/>
  <c r="CA45" i="103"/>
  <c r="CA41" i="103"/>
  <c r="CA20" i="103"/>
  <c r="CA18" i="103"/>
  <c r="CA28" i="103"/>
  <c r="CA8" i="103"/>
  <c r="CA93" i="103" s="1"/>
  <c r="CA33" i="103"/>
  <c r="CA17" i="103"/>
  <c r="CA35" i="103"/>
  <c r="CA30" i="103"/>
  <c r="CA24" i="103"/>
  <c r="CA19" i="103"/>
  <c r="CB7" i="103"/>
  <c r="CA31" i="103"/>
  <c r="CA15" i="103"/>
  <c r="CA16" i="103"/>
  <c r="CA12" i="103"/>
  <c r="BZ17" i="103"/>
  <c r="BZ64" i="103"/>
  <c r="BZ33" i="103"/>
  <c r="BZ56" i="103"/>
  <c r="BZ51" i="103"/>
  <c r="BZ73" i="103"/>
  <c r="BZ70" i="103"/>
  <c r="BZ82" i="103"/>
  <c r="BZ97" i="103"/>
  <c r="BZ14" i="103"/>
  <c r="BZ23" i="103"/>
  <c r="BZ22" i="103"/>
  <c r="BZ35" i="103"/>
  <c r="BZ74" i="103"/>
  <c r="BZ48" i="103"/>
  <c r="BZ66" i="103"/>
  <c r="BZ79" i="103"/>
  <c r="BZ94" i="103"/>
  <c r="BZ95" i="103"/>
  <c r="BZ11" i="103"/>
  <c r="BZ29" i="103"/>
  <c r="BZ30" i="103"/>
  <c r="BZ37" i="103"/>
  <c r="BZ52" i="103"/>
  <c r="BZ62" i="103"/>
  <c r="BZ78" i="103"/>
  <c r="BZ67" i="103"/>
  <c r="BZ84" i="103"/>
  <c r="BZ91" i="103"/>
  <c r="BZ24" i="103"/>
  <c r="BZ39" i="103"/>
  <c r="BZ36" i="103"/>
  <c r="BZ81" i="103"/>
  <c r="BZ88" i="103"/>
  <c r="BZ19" i="103"/>
  <c r="BZ28" i="103"/>
  <c r="BZ41" i="103"/>
  <c r="BZ38" i="103"/>
  <c r="BZ50" i="103"/>
  <c r="BZ45" i="103"/>
  <c r="BZ61" i="103"/>
  <c r="BZ75" i="103"/>
  <c r="BZ83" i="103"/>
  <c r="BY59" i="101"/>
  <c r="BY77" i="101"/>
  <c r="BY94" i="101"/>
  <c r="BY40" i="101"/>
  <c r="BY64" i="101"/>
  <c r="BY47" i="101"/>
  <c r="BY71" i="101"/>
  <c r="BY57" i="101"/>
  <c r="BY73" i="101"/>
  <c r="BY84" i="101"/>
  <c r="BY88" i="101"/>
  <c r="BZ96" i="101"/>
  <c r="BZ88" i="101"/>
  <c r="BZ86" i="101"/>
  <c r="BZ78" i="101"/>
  <c r="BZ82" i="101"/>
  <c r="BZ79" i="101"/>
  <c r="BZ66" i="101"/>
  <c r="BZ69" i="101"/>
  <c r="BZ42" i="101"/>
  <c r="BZ46" i="101"/>
  <c r="BZ50" i="101"/>
  <c r="BZ41" i="101"/>
  <c r="BZ64" i="101"/>
  <c r="BZ45" i="101"/>
  <c r="BZ34" i="101"/>
  <c r="BZ28" i="101"/>
  <c r="BZ59" i="101"/>
  <c r="BZ26" i="101"/>
  <c r="BZ22" i="101"/>
  <c r="BZ14" i="101"/>
  <c r="CA7" i="101"/>
  <c r="BZ8" i="101"/>
  <c r="BZ94" i="101" s="1"/>
  <c r="BY22" i="101"/>
  <c r="BY18" i="101"/>
  <c r="BY38" i="101"/>
  <c r="BY27" i="101"/>
  <c r="BY49" i="101"/>
  <c r="BY39" i="101"/>
  <c r="BY66" i="101"/>
  <c r="BY78" i="101"/>
  <c r="BY81" i="101"/>
  <c r="BY96" i="101"/>
  <c r="BY11" i="101"/>
  <c r="BY15" i="101"/>
  <c r="BY50" i="101"/>
  <c r="BY36" i="101"/>
  <c r="BY56" i="101"/>
  <c r="BY48" i="101"/>
  <c r="BY70" i="101"/>
  <c r="BY79" i="101"/>
  <c r="BY83" i="101"/>
  <c r="BY93" i="101"/>
  <c r="BY25" i="101"/>
  <c r="BY35" i="101"/>
  <c r="BY41" i="101"/>
  <c r="BY24" i="101"/>
  <c r="BY37" i="101"/>
  <c r="BY55" i="101"/>
  <c r="BY74" i="101"/>
  <c r="BY82" i="101"/>
  <c r="BY97" i="101"/>
  <c r="BY90" i="101"/>
  <c r="BY12" i="101"/>
  <c r="BY16" i="101"/>
  <c r="BY52" i="101"/>
  <c r="BY53" i="101"/>
  <c r="BY33" i="101"/>
  <c r="BY46" i="101"/>
  <c r="BY67" i="101"/>
  <c r="BY62" i="101"/>
  <c r="BY89" i="101"/>
  <c r="BY92" i="101"/>
  <c r="BY86" i="101"/>
  <c r="BY23" i="101"/>
  <c r="BY13" i="101"/>
  <c r="BY31" i="101"/>
  <c r="BY28" i="101"/>
  <c r="BY44" i="101"/>
  <c r="BY42" i="101"/>
  <c r="BY63" i="101"/>
  <c r="BY75" i="101"/>
  <c r="BY72" i="101"/>
  <c r="BY85" i="101"/>
  <c r="BZ85" i="99"/>
  <c r="BZ77" i="99"/>
  <c r="BZ68" i="99"/>
  <c r="BZ80" i="99"/>
  <c r="BZ69" i="99"/>
  <c r="BZ81" i="99"/>
  <c r="BZ72" i="99"/>
  <c r="BZ60" i="99"/>
  <c r="BZ51" i="99"/>
  <c r="BZ95" i="99"/>
  <c r="BZ79" i="99"/>
  <c r="BZ66" i="99"/>
  <c r="BZ56" i="99"/>
  <c r="BZ70" i="99"/>
  <c r="BZ50" i="99"/>
  <c r="BZ38" i="99"/>
  <c r="BZ41" i="99"/>
  <c r="BZ28" i="99"/>
  <c r="BZ19" i="99"/>
  <c r="BZ55" i="99"/>
  <c r="BZ29" i="99"/>
  <c r="BZ45" i="99"/>
  <c r="BZ36" i="99"/>
  <c r="BZ33" i="99"/>
  <c r="BZ8" i="99"/>
  <c r="BZ90" i="99" s="1"/>
  <c r="BZ13" i="99"/>
  <c r="BZ11" i="99"/>
  <c r="BZ34" i="99"/>
  <c r="BZ24" i="99"/>
  <c r="BZ27" i="99"/>
  <c r="BZ23" i="99"/>
  <c r="BZ12" i="99"/>
  <c r="CA7" i="99"/>
  <c r="BZ14" i="99"/>
  <c r="BY26" i="99"/>
  <c r="BY45" i="99"/>
  <c r="BY49" i="99"/>
  <c r="BY57" i="99"/>
  <c r="BY81" i="99"/>
  <c r="BY80" i="99"/>
  <c r="BY89" i="99"/>
  <c r="BY90" i="99"/>
  <c r="BY86" i="99"/>
  <c r="BY20" i="99"/>
  <c r="BY24" i="99"/>
  <c r="BY19" i="99"/>
  <c r="BY51" i="99"/>
  <c r="BY44" i="99"/>
  <c r="BY75" i="99"/>
  <c r="BY72" i="99"/>
  <c r="BY69" i="99"/>
  <c r="BY77" i="99"/>
  <c r="BY85" i="99"/>
  <c r="BY37" i="97"/>
  <c r="BY27" i="97"/>
  <c r="BY46" i="97"/>
  <c r="BY19" i="97"/>
  <c r="BY31" i="97"/>
  <c r="BY44" i="97"/>
  <c r="BY84" i="97"/>
  <c r="BY92" i="97"/>
  <c r="BY80" i="97"/>
  <c r="BY85" i="97"/>
  <c r="BY95" i="97"/>
  <c r="BZ88" i="97"/>
  <c r="BZ91" i="97"/>
  <c r="BZ92" i="97"/>
  <c r="BZ73" i="97"/>
  <c r="BZ64" i="97"/>
  <c r="BZ66" i="97"/>
  <c r="BZ81" i="97"/>
  <c r="BZ70" i="97"/>
  <c r="BZ57" i="97"/>
  <c r="BZ42" i="97"/>
  <c r="BZ84" i="97"/>
  <c r="BZ77" i="97"/>
  <c r="BZ72" i="97"/>
  <c r="BZ69" i="97"/>
  <c r="BZ79" i="97"/>
  <c r="BZ34" i="97"/>
  <c r="BZ53" i="97"/>
  <c r="BZ40" i="97"/>
  <c r="BZ28" i="97"/>
  <c r="BZ25" i="97"/>
  <c r="BZ16" i="97"/>
  <c r="BZ35" i="97"/>
  <c r="BZ14" i="97"/>
  <c r="CA7" i="97"/>
  <c r="BZ60" i="97"/>
  <c r="BZ30" i="97"/>
  <c r="BZ38" i="97"/>
  <c r="BZ29" i="97"/>
  <c r="BZ52" i="97"/>
  <c r="BZ24" i="97"/>
  <c r="BZ41" i="97"/>
  <c r="BZ17" i="97"/>
  <c r="BZ13" i="97"/>
  <c r="BZ26" i="97"/>
  <c r="BZ22" i="97"/>
  <c r="BZ55" i="97"/>
  <c r="BZ11" i="97"/>
  <c r="BZ20" i="97"/>
  <c r="BZ19" i="97"/>
  <c r="BZ18" i="97"/>
  <c r="BZ37" i="97"/>
  <c r="BZ33" i="97"/>
  <c r="BZ12" i="97"/>
  <c r="BZ8" i="97"/>
  <c r="BZ94" i="97" s="1"/>
  <c r="BZ67" i="97"/>
  <c r="BZ49" i="97"/>
  <c r="BZ39" i="97"/>
  <c r="BZ45" i="97"/>
  <c r="BY24" i="97"/>
  <c r="BY12" i="97"/>
  <c r="BY73" i="97"/>
  <c r="BY22" i="97"/>
  <c r="BY78" i="97"/>
  <c r="BY57" i="97"/>
  <c r="BY66" i="97"/>
  <c r="BY77" i="97"/>
  <c r="BY91" i="97"/>
  <c r="BY15" i="97"/>
  <c r="BY34" i="97"/>
  <c r="BY30" i="97"/>
  <c r="BY53" i="97"/>
  <c r="BY40" i="97"/>
  <c r="BY33" i="97"/>
  <c r="BY63" i="97"/>
  <c r="BY52" i="97"/>
  <c r="BY82" i="97"/>
  <c r="BY88" i="97"/>
  <c r="BY26" i="97"/>
  <c r="BY50" i="97"/>
  <c r="BY36" i="97"/>
  <c r="BY58" i="97"/>
  <c r="BY41" i="97"/>
  <c r="BY45" i="97"/>
  <c r="BY48" i="97"/>
  <c r="BY61" i="97"/>
  <c r="BY70" i="97"/>
  <c r="BY96" i="97"/>
  <c r="BY55" i="97"/>
  <c r="BY83" i="97"/>
  <c r="BY75" i="97"/>
  <c r="BY64" i="97"/>
  <c r="BY79" i="97"/>
  <c r="BY93" i="97"/>
  <c r="BY38" i="97"/>
  <c r="BY23" i="97"/>
  <c r="BY25" i="97"/>
  <c r="BY47" i="97"/>
  <c r="BY67" i="97"/>
  <c r="BY59" i="97"/>
  <c r="BY74" i="97"/>
  <c r="BY89" i="97"/>
  <c r="BY90" i="97"/>
  <c r="BY16" i="97"/>
  <c r="BY14" i="97"/>
  <c r="BY42" i="97"/>
  <c r="BY11" i="97"/>
  <c r="BY28" i="97"/>
  <c r="BY39" i="97"/>
  <c r="BY49" i="97"/>
  <c r="BY81" i="97"/>
  <c r="BY71" i="97"/>
  <c r="BY97" i="97"/>
  <c r="CB44" i="95"/>
  <c r="CB45" i="95"/>
  <c r="CB28" i="95"/>
  <c r="CB15" i="95"/>
  <c r="CB33" i="95"/>
  <c r="CB31" i="95"/>
  <c r="CB35" i="95"/>
  <c r="CB12" i="95"/>
  <c r="CB46" i="95"/>
  <c r="CB37" i="95"/>
  <c r="CB18" i="95"/>
  <c r="CB24" i="95"/>
  <c r="CB51" i="95"/>
  <c r="CB50" i="95"/>
  <c r="CB57" i="95"/>
  <c r="CB66" i="95"/>
  <c r="CB78" i="95"/>
  <c r="CB75" i="95"/>
  <c r="CB84" i="95"/>
  <c r="CB85" i="95"/>
  <c r="CB19" i="95"/>
  <c r="CB14" i="95"/>
  <c r="CB55" i="95"/>
  <c r="CB25" i="95"/>
  <c r="CB20" i="95"/>
  <c r="CB30" i="95"/>
  <c r="CB29" i="95"/>
  <c r="CB52" i="95"/>
  <c r="CB59" i="95"/>
  <c r="CB74" i="95"/>
  <c r="CB83" i="95"/>
  <c r="CB81" i="95"/>
  <c r="CB97" i="95"/>
  <c r="CB89" i="95"/>
  <c r="CB16" i="95"/>
  <c r="CB13" i="95"/>
  <c r="CB27" i="95"/>
  <c r="CB23" i="95"/>
  <c r="CB42" i="95"/>
  <c r="CB38" i="95"/>
  <c r="CB60" i="95"/>
  <c r="CB40" i="95"/>
  <c r="CB90" i="95"/>
  <c r="CB58" i="95"/>
  <c r="CB70" i="95"/>
  <c r="CB86" i="95"/>
  <c r="CB91" i="95"/>
  <c r="CB39" i="95"/>
  <c r="CB61" i="95"/>
  <c r="CB47" i="95"/>
  <c r="CB67" i="95"/>
  <c r="CB64" i="95"/>
  <c r="CB77" i="95"/>
  <c r="CB95" i="95"/>
  <c r="CB93" i="95"/>
  <c r="CB26" i="95"/>
  <c r="CB69" i="95"/>
  <c r="CB34" i="95"/>
  <c r="CB36" i="95"/>
  <c r="CB11" i="95"/>
  <c r="CB68" i="95"/>
  <c r="CB41" i="95"/>
  <c r="CB62" i="95"/>
  <c r="CB53" i="95"/>
  <c r="CB92" i="95"/>
  <c r="CB71" i="95"/>
  <c r="CB80" i="95"/>
  <c r="CB96" i="95"/>
  <c r="CB94" i="95"/>
  <c r="CB22" i="95"/>
  <c r="CB49" i="95"/>
  <c r="CC8" i="95"/>
  <c r="CC97" i="95" s="1"/>
  <c r="CD7" i="95"/>
  <c r="CE7" i="95" s="1"/>
  <c r="CB17" i="95"/>
  <c r="CB72" i="95"/>
  <c r="CB48" i="95"/>
  <c r="CB88" i="95"/>
  <c r="CB56" i="95"/>
  <c r="CB63" i="95"/>
  <c r="CB73" i="95"/>
  <c r="CB82" i="95"/>
  <c r="BZ45" i="59" l="1"/>
  <c r="BZ61" i="59"/>
  <c r="BZ13" i="59"/>
  <c r="BZ17" i="59"/>
  <c r="BZ31" i="59"/>
  <c r="BZ30" i="59"/>
  <c r="BZ49" i="59"/>
  <c r="BZ57" i="59"/>
  <c r="BZ82" i="59"/>
  <c r="BZ94" i="59"/>
  <c r="BZ28" i="59"/>
  <c r="BZ46" i="59"/>
  <c r="BZ41" i="59"/>
  <c r="BZ39" i="59"/>
  <c r="BZ55" i="59"/>
  <c r="BZ95" i="59"/>
  <c r="BZ78" i="59"/>
  <c r="BZ88" i="59"/>
  <c r="BZ37" i="59"/>
  <c r="BZ35" i="59"/>
  <c r="BZ29" i="59"/>
  <c r="BZ48" i="59"/>
  <c r="BZ72" i="59"/>
  <c r="BZ63" i="59"/>
  <c r="BZ81" i="59"/>
  <c r="BZ24" i="59"/>
  <c r="BZ11" i="59"/>
  <c r="BZ42" i="59"/>
  <c r="BZ77" i="59"/>
  <c r="BZ58" i="59"/>
  <c r="BZ70" i="59"/>
  <c r="BZ86" i="59"/>
  <c r="BZ16" i="59"/>
  <c r="BZ14" i="59"/>
  <c r="BZ33" i="59"/>
  <c r="BZ50" i="59"/>
  <c r="BZ62" i="59"/>
  <c r="BZ73" i="59"/>
  <c r="BZ89" i="59"/>
  <c r="BZ26" i="59"/>
  <c r="BZ47" i="59"/>
  <c r="BZ75" i="59"/>
  <c r="BZ85" i="59"/>
  <c r="BZ96" i="59"/>
  <c r="BZ15" i="59"/>
  <c r="BZ12" i="59"/>
  <c r="BZ25" i="59"/>
  <c r="BZ27" i="59"/>
  <c r="BZ56" i="59"/>
  <c r="BZ64" i="59"/>
  <c r="BZ69" i="59"/>
  <c r="BZ83" i="59"/>
  <c r="BZ90" i="59"/>
  <c r="BZ18" i="59"/>
  <c r="BZ40" i="59"/>
  <c r="BZ19" i="59"/>
  <c r="BZ34" i="59"/>
  <c r="BZ51" i="59"/>
  <c r="BZ71" i="59"/>
  <c r="BZ68" i="59"/>
  <c r="BZ60" i="59"/>
  <c r="BZ84" i="59"/>
  <c r="BZ91" i="59"/>
  <c r="CA63" i="59"/>
  <c r="CB7" i="59"/>
  <c r="CA8" i="59"/>
  <c r="CA92" i="59" s="1"/>
  <c r="BZ23" i="59"/>
  <c r="BZ38" i="59"/>
  <c r="BZ80" i="59"/>
  <c r="BZ44" i="59"/>
  <c r="BZ59" i="59"/>
  <c r="BZ53" i="59"/>
  <c r="BZ79" i="59"/>
  <c r="BZ92" i="59"/>
  <c r="BZ93" i="59"/>
  <c r="BZ20" i="59"/>
  <c r="BZ22" i="59"/>
  <c r="BZ36" i="59"/>
  <c r="BZ52" i="59"/>
  <c r="BZ66" i="59"/>
  <c r="BZ67" i="59"/>
  <c r="BZ74" i="59"/>
  <c r="BZ89" i="113"/>
  <c r="BZ13" i="113"/>
  <c r="BZ17" i="113"/>
  <c r="BZ18" i="113"/>
  <c r="BZ26" i="113"/>
  <c r="BZ44" i="113"/>
  <c r="BZ51" i="113"/>
  <c r="BZ58" i="113"/>
  <c r="BZ83" i="113"/>
  <c r="BZ85" i="113"/>
  <c r="BZ97" i="113"/>
  <c r="BZ68" i="113"/>
  <c r="BZ14" i="113"/>
  <c r="BZ25" i="113"/>
  <c r="BZ27" i="113"/>
  <c r="BZ34" i="113"/>
  <c r="BZ52" i="113"/>
  <c r="BZ55" i="113"/>
  <c r="BZ66" i="113"/>
  <c r="BZ60" i="113"/>
  <c r="BZ79" i="113"/>
  <c r="BZ94" i="113"/>
  <c r="BZ15" i="113"/>
  <c r="BZ82" i="113"/>
  <c r="BZ12" i="113"/>
  <c r="BZ22" i="113"/>
  <c r="BZ35" i="113"/>
  <c r="BZ29" i="113"/>
  <c r="BZ40" i="113"/>
  <c r="BZ48" i="113"/>
  <c r="BZ61" i="113"/>
  <c r="BZ69" i="113"/>
  <c r="BZ75" i="113"/>
  <c r="BZ91" i="113"/>
  <c r="BZ53" i="113"/>
  <c r="BZ62" i="113"/>
  <c r="CA88" i="113"/>
  <c r="CA72" i="113"/>
  <c r="CA78" i="113"/>
  <c r="CA61" i="113"/>
  <c r="CA68" i="113"/>
  <c r="CA46" i="113"/>
  <c r="CA44" i="113"/>
  <c r="CA24" i="113"/>
  <c r="CA53" i="113"/>
  <c r="CA29" i="113"/>
  <c r="CA19" i="113"/>
  <c r="CA8" i="113"/>
  <c r="CA94" i="113" s="1"/>
  <c r="CB7" i="113"/>
  <c r="BZ36" i="113"/>
  <c r="BZ39" i="113"/>
  <c r="BZ38" i="113"/>
  <c r="BZ49" i="113"/>
  <c r="BZ77" i="113"/>
  <c r="BZ71" i="113"/>
  <c r="BZ80" i="113"/>
  <c r="BZ84" i="113"/>
  <c r="BZ88" i="113"/>
  <c r="BZ42" i="113"/>
  <c r="BZ24" i="113"/>
  <c r="BZ19" i="113"/>
  <c r="BZ45" i="113"/>
  <c r="BZ47" i="113"/>
  <c r="BZ28" i="113"/>
  <c r="BZ67" i="113"/>
  <c r="BZ57" i="113"/>
  <c r="BZ92" i="113"/>
  <c r="BZ81" i="113"/>
  <c r="BZ96" i="113"/>
  <c r="BZ73" i="113"/>
  <c r="BZ11" i="113"/>
  <c r="BZ41" i="113"/>
  <c r="BZ33" i="113"/>
  <c r="BZ50" i="113"/>
  <c r="BZ56" i="113"/>
  <c r="BZ37" i="113"/>
  <c r="BZ72" i="113"/>
  <c r="BZ64" i="113"/>
  <c r="BZ95" i="113"/>
  <c r="BZ86" i="113"/>
  <c r="BZ93" i="113"/>
  <c r="BZ16" i="113"/>
  <c r="BZ23" i="113"/>
  <c r="BZ31" i="113"/>
  <c r="BZ30" i="113"/>
  <c r="BZ63" i="113"/>
  <c r="BZ46" i="113"/>
  <c r="BZ74" i="113"/>
  <c r="BZ70" i="113"/>
  <c r="BZ59" i="113"/>
  <c r="BZ78" i="113"/>
  <c r="CA14" i="111"/>
  <c r="CA27" i="111"/>
  <c r="CA37" i="111"/>
  <c r="CA33" i="111"/>
  <c r="CA44" i="111"/>
  <c r="CA73" i="111"/>
  <c r="CA63" i="111"/>
  <c r="CA70" i="111"/>
  <c r="CA90" i="111"/>
  <c r="CA89" i="111"/>
  <c r="CA35" i="111"/>
  <c r="CA69" i="111"/>
  <c r="CA31" i="111"/>
  <c r="CA56" i="111"/>
  <c r="CA52" i="111"/>
  <c r="CA20" i="111"/>
  <c r="CA46" i="111"/>
  <c r="CA82" i="111"/>
  <c r="CA64" i="111"/>
  <c r="CA49" i="111"/>
  <c r="CA78" i="111"/>
  <c r="CA91" i="111"/>
  <c r="CA17" i="111"/>
  <c r="CA18" i="111"/>
  <c r="CA71" i="111"/>
  <c r="CA29" i="111"/>
  <c r="CA47" i="111"/>
  <c r="CA60" i="111"/>
  <c r="CA66" i="111"/>
  <c r="CA58" i="111"/>
  <c r="CA86" i="111"/>
  <c r="CA88" i="111"/>
  <c r="CA67" i="111"/>
  <c r="CA13" i="111"/>
  <c r="CA19" i="111"/>
  <c r="CA34" i="111"/>
  <c r="CA12" i="111"/>
  <c r="CA38" i="111"/>
  <c r="CA79" i="111"/>
  <c r="CA48" i="111"/>
  <c r="CA74" i="111"/>
  <c r="CA72" i="111"/>
  <c r="CA94" i="111"/>
  <c r="CA96" i="111"/>
  <c r="CA97" i="111"/>
  <c r="CA16" i="111"/>
  <c r="CB96" i="111"/>
  <c r="CB92" i="111"/>
  <c r="CB95" i="111"/>
  <c r="CB86" i="111"/>
  <c r="CB77" i="111"/>
  <c r="CB69" i="111"/>
  <c r="CB66" i="111"/>
  <c r="CB59" i="111"/>
  <c r="CB71" i="111"/>
  <c r="CB84" i="111"/>
  <c r="CB90" i="111"/>
  <c r="CB83" i="111"/>
  <c r="CB82" i="111"/>
  <c r="CB67" i="111"/>
  <c r="CB50" i="111"/>
  <c r="CB47" i="111"/>
  <c r="CB45" i="111"/>
  <c r="CB38" i="111"/>
  <c r="CB46" i="111"/>
  <c r="CB42" i="111"/>
  <c r="CB39" i="111"/>
  <c r="CB40" i="111"/>
  <c r="CB24" i="111"/>
  <c r="CB49" i="111"/>
  <c r="CB27" i="111"/>
  <c r="CB25" i="111"/>
  <c r="CB56" i="111"/>
  <c r="CB30" i="111"/>
  <c r="CB13" i="111"/>
  <c r="CB29" i="111"/>
  <c r="CB8" i="111"/>
  <c r="CB91" i="111" s="1"/>
  <c r="CB28" i="111"/>
  <c r="CB14" i="111"/>
  <c r="CB22" i="111"/>
  <c r="CB26" i="111"/>
  <c r="CB20" i="111"/>
  <c r="CB12" i="111"/>
  <c r="CB19" i="111"/>
  <c r="CB17" i="111"/>
  <c r="CC7" i="111"/>
  <c r="CA15" i="111"/>
  <c r="CA22" i="111"/>
  <c r="CA39" i="111"/>
  <c r="CA68" i="111"/>
  <c r="CA51" i="111"/>
  <c r="CA77" i="111"/>
  <c r="CA75" i="111"/>
  <c r="CA83" i="111"/>
  <c r="CA93" i="111"/>
  <c r="CA53" i="111"/>
  <c r="CA40" i="111"/>
  <c r="CA11" i="111"/>
  <c r="CA23" i="111"/>
  <c r="CA25" i="111"/>
  <c r="CA30" i="111"/>
  <c r="CA41" i="111"/>
  <c r="CA81" i="111"/>
  <c r="CA55" i="111"/>
  <c r="CA59" i="111"/>
  <c r="CA80" i="111"/>
  <c r="CA85" i="111"/>
  <c r="CA50" i="111"/>
  <c r="CA26" i="111"/>
  <c r="CA36" i="111"/>
  <c r="CA24" i="111"/>
  <c r="CA42" i="111"/>
  <c r="CA61" i="111"/>
  <c r="CA57" i="111"/>
  <c r="CA62" i="111"/>
  <c r="CA84" i="111"/>
  <c r="BZ14" i="109"/>
  <c r="BZ29" i="109"/>
  <c r="BZ45" i="109"/>
  <c r="BZ53" i="109"/>
  <c r="BZ72" i="109"/>
  <c r="BZ34" i="109"/>
  <c r="BZ57" i="109"/>
  <c r="BZ89" i="109"/>
  <c r="BZ75" i="109"/>
  <c r="BZ94" i="109"/>
  <c r="BZ22" i="109"/>
  <c r="BZ24" i="109"/>
  <c r="BZ38" i="109"/>
  <c r="BZ64" i="109"/>
  <c r="BZ19" i="109"/>
  <c r="BZ42" i="109"/>
  <c r="BZ63" i="109"/>
  <c r="BZ55" i="109"/>
  <c r="BZ79" i="109"/>
  <c r="BZ91" i="109"/>
  <c r="BZ62" i="109"/>
  <c r="CA88" i="109"/>
  <c r="CA91" i="109"/>
  <c r="CA97" i="109"/>
  <c r="CA84" i="109"/>
  <c r="CA70" i="109"/>
  <c r="CA92" i="109"/>
  <c r="CA73" i="109"/>
  <c r="CA72" i="109"/>
  <c r="CA62" i="109"/>
  <c r="CA75" i="109"/>
  <c r="CA58" i="109"/>
  <c r="CA85" i="109"/>
  <c r="CA67" i="109"/>
  <c r="CA60" i="109"/>
  <c r="CA51" i="109"/>
  <c r="CA68" i="109"/>
  <c r="CA49" i="109"/>
  <c r="CA56" i="109"/>
  <c r="CA28" i="109"/>
  <c r="CA95" i="109"/>
  <c r="CA31" i="109"/>
  <c r="CA23" i="109"/>
  <c r="CA61" i="109"/>
  <c r="CA47" i="109"/>
  <c r="CA29" i="109"/>
  <c r="CA20" i="109"/>
  <c r="CA57" i="109"/>
  <c r="CA36" i="109"/>
  <c r="CA52" i="109"/>
  <c r="CA33" i="109"/>
  <c r="CA35" i="109"/>
  <c r="CA45" i="109"/>
  <c r="CA15" i="109"/>
  <c r="CA12" i="109"/>
  <c r="CA25" i="109"/>
  <c r="CA18" i="109"/>
  <c r="CA16" i="109"/>
  <c r="CA13" i="109"/>
  <c r="CB7" i="109"/>
  <c r="CA42" i="109"/>
  <c r="CA8" i="109"/>
  <c r="CA94" i="109" s="1"/>
  <c r="BZ12" i="109"/>
  <c r="BZ41" i="109"/>
  <c r="BZ40" i="109"/>
  <c r="BZ37" i="109"/>
  <c r="BZ46" i="109"/>
  <c r="BZ56" i="109"/>
  <c r="BZ70" i="109"/>
  <c r="BZ82" i="109"/>
  <c r="BZ96" i="109"/>
  <c r="BZ27" i="109"/>
  <c r="BZ80" i="109"/>
  <c r="BZ88" i="109"/>
  <c r="BZ33" i="109"/>
  <c r="BZ11" i="109"/>
  <c r="BZ15" i="109"/>
  <c r="BZ47" i="109"/>
  <c r="BZ17" i="109"/>
  <c r="BZ49" i="109"/>
  <c r="BZ71" i="109"/>
  <c r="BZ68" i="109"/>
  <c r="BZ83" i="109"/>
  <c r="BZ84" i="109"/>
  <c r="BZ93" i="109"/>
  <c r="BZ30" i="109"/>
  <c r="BZ20" i="109"/>
  <c r="BZ50" i="109"/>
  <c r="BZ13" i="109"/>
  <c r="BZ48" i="109"/>
  <c r="BZ26" i="109"/>
  <c r="BZ60" i="109"/>
  <c r="BZ73" i="109"/>
  <c r="BZ74" i="109"/>
  <c r="BZ85" i="109"/>
  <c r="BZ81" i="109"/>
  <c r="BZ90" i="109"/>
  <c r="BZ61" i="109"/>
  <c r="BZ28" i="109"/>
  <c r="BZ66" i="109"/>
  <c r="BZ86" i="109"/>
  <c r="BZ23" i="109"/>
  <c r="BZ51" i="109"/>
  <c r="BZ39" i="109"/>
  <c r="BZ92" i="109"/>
  <c r="BZ35" i="109"/>
  <c r="BZ16" i="109"/>
  <c r="BZ77" i="109"/>
  <c r="BZ58" i="109"/>
  <c r="BZ78" i="109"/>
  <c r="CA77" i="107"/>
  <c r="CA51" i="107"/>
  <c r="CA81" i="107"/>
  <c r="CA83" i="107"/>
  <c r="CA88" i="107"/>
  <c r="CA42" i="107"/>
  <c r="CA28" i="107"/>
  <c r="CA31" i="107"/>
  <c r="CA34" i="107"/>
  <c r="CA45" i="107"/>
  <c r="CA29" i="107"/>
  <c r="CA59" i="107"/>
  <c r="CA64" i="107"/>
  <c r="CA86" i="107"/>
  <c r="CA96" i="107"/>
  <c r="CB92" i="107"/>
  <c r="CB95" i="107"/>
  <c r="CB80" i="107"/>
  <c r="CB74" i="107"/>
  <c r="CB81" i="107"/>
  <c r="CB69" i="107"/>
  <c r="CB29" i="107"/>
  <c r="CB77" i="107"/>
  <c r="CB37" i="107"/>
  <c r="CB63" i="107"/>
  <c r="CB59" i="107"/>
  <c r="CB55" i="107"/>
  <c r="CB36" i="107"/>
  <c r="CB19" i="107"/>
  <c r="CB46" i="107"/>
  <c r="CB28" i="107"/>
  <c r="CB39" i="107"/>
  <c r="CB18" i="107"/>
  <c r="CB67" i="107"/>
  <c r="CB24" i="107"/>
  <c r="CB31" i="107"/>
  <c r="CB22" i="107"/>
  <c r="CB27" i="107"/>
  <c r="CC7" i="107"/>
  <c r="CB71" i="107"/>
  <c r="CB8" i="107"/>
  <c r="CB88" i="107" s="1"/>
  <c r="CA46" i="107"/>
  <c r="CA33" i="107"/>
  <c r="CA49" i="107"/>
  <c r="CA62" i="107"/>
  <c r="CA38" i="107"/>
  <c r="CA58" i="107"/>
  <c r="CA73" i="107"/>
  <c r="CA95" i="107"/>
  <c r="CA24" i="105"/>
  <c r="CA49" i="105"/>
  <c r="CA36" i="105"/>
  <c r="CA41" i="105"/>
  <c r="CA60" i="105"/>
  <c r="CA78" i="105"/>
  <c r="CA58" i="105"/>
  <c r="CA74" i="105"/>
  <c r="CA97" i="105"/>
  <c r="CA59" i="105"/>
  <c r="CA67" i="105"/>
  <c r="CA83" i="105"/>
  <c r="CA94" i="105"/>
  <c r="CB96" i="105"/>
  <c r="CB91" i="105"/>
  <c r="CB94" i="105"/>
  <c r="CB89" i="105"/>
  <c r="CB95" i="105"/>
  <c r="CB83" i="105"/>
  <c r="CB74" i="105"/>
  <c r="CB84" i="105"/>
  <c r="CB93" i="105"/>
  <c r="CB73" i="105"/>
  <c r="CB81" i="105"/>
  <c r="CB61" i="105"/>
  <c r="CB64" i="105"/>
  <c r="CB77" i="105"/>
  <c r="CB68" i="105"/>
  <c r="CB57" i="105"/>
  <c r="CB67" i="105"/>
  <c r="CB63" i="105"/>
  <c r="CB60" i="105"/>
  <c r="CB55" i="105"/>
  <c r="CB42" i="105"/>
  <c r="CB37" i="105"/>
  <c r="CB58" i="105"/>
  <c r="CB47" i="105"/>
  <c r="CB38" i="105"/>
  <c r="CB30" i="105"/>
  <c r="CB35" i="105"/>
  <c r="CB48" i="105"/>
  <c r="CB44" i="105"/>
  <c r="CB17" i="105"/>
  <c r="CB41" i="105"/>
  <c r="CB18" i="105"/>
  <c r="CB8" i="105"/>
  <c r="CB85" i="105" s="1"/>
  <c r="CB53" i="105"/>
  <c r="CB15" i="105"/>
  <c r="CB31" i="105"/>
  <c r="CB25" i="105"/>
  <c r="CB19" i="105"/>
  <c r="CB11" i="105"/>
  <c r="CB59" i="105"/>
  <c r="CB23" i="105"/>
  <c r="CB29" i="105"/>
  <c r="CB24" i="105"/>
  <c r="CB39" i="105"/>
  <c r="CC7" i="105"/>
  <c r="CA25" i="105"/>
  <c r="CA20" i="105"/>
  <c r="CA14" i="105"/>
  <c r="CA55" i="105"/>
  <c r="CA46" i="105"/>
  <c r="CA57" i="105"/>
  <c r="CA77" i="105"/>
  <c r="CA82" i="105"/>
  <c r="CA71" i="105"/>
  <c r="CA88" i="105"/>
  <c r="CA35" i="105"/>
  <c r="CA30" i="105"/>
  <c r="CA28" i="105"/>
  <c r="CA23" i="105"/>
  <c r="CA45" i="105"/>
  <c r="CA34" i="105"/>
  <c r="CA95" i="105"/>
  <c r="CA64" i="105"/>
  <c r="CA79" i="105"/>
  <c r="CA80" i="105"/>
  <c r="CA22" i="103"/>
  <c r="CA11" i="103"/>
  <c r="CA57" i="103"/>
  <c r="CA50" i="103"/>
  <c r="CA52" i="103"/>
  <c r="CA53" i="103"/>
  <c r="CA67" i="103"/>
  <c r="CA73" i="103"/>
  <c r="CA79" i="103"/>
  <c r="CA97" i="103"/>
  <c r="CA25" i="103"/>
  <c r="CA26" i="103"/>
  <c r="CA55" i="103"/>
  <c r="CA58" i="103"/>
  <c r="CA83" i="103"/>
  <c r="CA80" i="103"/>
  <c r="CA84" i="103"/>
  <c r="CA85" i="103"/>
  <c r="CA38" i="103"/>
  <c r="CA13" i="103"/>
  <c r="CA36" i="103"/>
  <c r="CA42" i="103"/>
  <c r="CA49" i="103"/>
  <c r="CA61" i="103"/>
  <c r="CA66" i="103"/>
  <c r="CA70" i="103"/>
  <c r="CA81" i="103"/>
  <c r="CA94" i="103"/>
  <c r="CB94" i="103"/>
  <c r="CB97" i="103"/>
  <c r="CB92" i="103"/>
  <c r="CB81" i="103"/>
  <c r="CB79" i="103"/>
  <c r="CB77" i="103"/>
  <c r="CB73" i="103"/>
  <c r="CB68" i="103"/>
  <c r="CB93" i="103"/>
  <c r="CB66" i="103"/>
  <c r="CB83" i="103"/>
  <c r="CB70" i="103"/>
  <c r="CB51" i="103"/>
  <c r="CB46" i="103"/>
  <c r="CB49" i="103"/>
  <c r="CB47" i="103"/>
  <c r="CB45" i="103"/>
  <c r="CB37" i="103"/>
  <c r="CB50" i="103"/>
  <c r="CB29" i="103"/>
  <c r="CB48" i="103"/>
  <c r="CB57" i="103"/>
  <c r="CB34" i="103"/>
  <c r="CB19" i="103"/>
  <c r="CB17" i="103"/>
  <c r="CB13" i="103"/>
  <c r="CB27" i="103"/>
  <c r="CB25" i="103"/>
  <c r="CC7" i="103"/>
  <c r="CB31" i="103"/>
  <c r="CB26" i="103"/>
  <c r="CB20" i="103"/>
  <c r="CB12" i="103"/>
  <c r="CB8" i="103"/>
  <c r="CB85" i="103" s="1"/>
  <c r="CA14" i="103"/>
  <c r="CA23" i="103"/>
  <c r="CA27" i="103"/>
  <c r="CA47" i="103"/>
  <c r="CA46" i="103"/>
  <c r="CA74" i="103"/>
  <c r="CA68" i="103"/>
  <c r="CA72" i="103"/>
  <c r="CA86" i="103"/>
  <c r="CA88" i="103"/>
  <c r="CA29" i="103"/>
  <c r="CA34" i="103"/>
  <c r="CA39" i="103"/>
  <c r="CA59" i="103"/>
  <c r="CA71" i="103"/>
  <c r="CA90" i="103"/>
  <c r="CA92" i="103"/>
  <c r="CA97" i="101"/>
  <c r="CA82" i="101"/>
  <c r="CA70" i="101"/>
  <c r="CA66" i="101"/>
  <c r="CA57" i="101"/>
  <c r="CA71" i="101"/>
  <c r="CA68" i="101"/>
  <c r="CA56" i="101"/>
  <c r="CA47" i="101"/>
  <c r="CA64" i="101"/>
  <c r="CA45" i="101"/>
  <c r="CA39" i="101"/>
  <c r="CA38" i="101"/>
  <c r="CA48" i="101"/>
  <c r="CA23" i="101"/>
  <c r="CA16" i="101"/>
  <c r="CA15" i="101"/>
  <c r="CB7" i="101"/>
  <c r="CA17" i="101"/>
  <c r="CA34" i="101"/>
  <c r="CA8" i="101"/>
  <c r="CA93" i="101" s="1"/>
  <c r="BZ18" i="101"/>
  <c r="BZ29" i="101"/>
  <c r="BZ30" i="101"/>
  <c r="BZ61" i="101"/>
  <c r="BZ68" i="101"/>
  <c r="BZ60" i="101"/>
  <c r="BZ92" i="101"/>
  <c r="BZ81" i="101"/>
  <c r="BZ91" i="101"/>
  <c r="BZ12" i="101"/>
  <c r="BZ35" i="101"/>
  <c r="BZ31" i="101"/>
  <c r="BZ27" i="101"/>
  <c r="BZ83" i="101"/>
  <c r="BZ58" i="101"/>
  <c r="BZ70" i="101"/>
  <c r="BZ72" i="101"/>
  <c r="BZ95" i="101"/>
  <c r="BZ93" i="101"/>
  <c r="BZ15" i="101"/>
  <c r="BZ11" i="101"/>
  <c r="BZ57" i="101"/>
  <c r="BZ48" i="101"/>
  <c r="BZ36" i="101"/>
  <c r="BZ52" i="101"/>
  <c r="BZ67" i="101"/>
  <c r="BZ74" i="101"/>
  <c r="BZ77" i="101"/>
  <c r="BZ89" i="101"/>
  <c r="BZ90" i="101"/>
  <c r="BZ23" i="101"/>
  <c r="BZ16" i="101"/>
  <c r="BZ25" i="101"/>
  <c r="BZ55" i="101"/>
  <c r="BZ37" i="101"/>
  <c r="BZ40" i="101"/>
  <c r="BZ71" i="101"/>
  <c r="BZ53" i="101"/>
  <c r="BZ80" i="101"/>
  <c r="BZ97" i="101"/>
  <c r="BZ17" i="101"/>
  <c r="BZ13" i="101"/>
  <c r="BZ24" i="101"/>
  <c r="BZ39" i="101"/>
  <c r="BZ33" i="101"/>
  <c r="BZ49" i="101"/>
  <c r="BZ63" i="101"/>
  <c r="BZ62" i="101"/>
  <c r="BZ75" i="101"/>
  <c r="BZ85" i="101"/>
  <c r="BZ20" i="101"/>
  <c r="BZ38" i="101"/>
  <c r="BZ19" i="101"/>
  <c r="BZ47" i="101"/>
  <c r="BZ44" i="101"/>
  <c r="BZ56" i="101"/>
  <c r="BZ51" i="101"/>
  <c r="BZ73" i="101"/>
  <c r="BZ84" i="101"/>
  <c r="BZ97" i="99"/>
  <c r="BZ94" i="99"/>
  <c r="BZ35" i="99"/>
  <c r="BZ37" i="99"/>
  <c r="BZ84" i="99"/>
  <c r="BZ78" i="99"/>
  <c r="BZ64" i="99"/>
  <c r="BZ91" i="99"/>
  <c r="CA97" i="99"/>
  <c r="CA71" i="99"/>
  <c r="CA84" i="99"/>
  <c r="CA60" i="99"/>
  <c r="CA40" i="99"/>
  <c r="CA53" i="99"/>
  <c r="CA64" i="99"/>
  <c r="CA13" i="99"/>
  <c r="CB7" i="99"/>
  <c r="CA51" i="99"/>
  <c r="CA15" i="99"/>
  <c r="CA8" i="99"/>
  <c r="CA93" i="99" s="1"/>
  <c r="BZ26" i="99"/>
  <c r="BZ25" i="99"/>
  <c r="BZ44" i="99"/>
  <c r="BZ49" i="99"/>
  <c r="BZ57" i="99"/>
  <c r="BZ86" i="99"/>
  <c r="BZ73" i="99"/>
  <c r="BZ88" i="99"/>
  <c r="BZ17" i="99"/>
  <c r="BZ18" i="99"/>
  <c r="BZ31" i="99"/>
  <c r="BZ39" i="99"/>
  <c r="BZ46" i="99"/>
  <c r="BZ61" i="99"/>
  <c r="BZ53" i="99"/>
  <c r="BZ74" i="99"/>
  <c r="BZ82" i="99"/>
  <c r="BZ96" i="99"/>
  <c r="BZ15" i="99"/>
  <c r="BZ20" i="99"/>
  <c r="BZ30" i="99"/>
  <c r="BZ42" i="99"/>
  <c r="BZ59" i="99"/>
  <c r="BZ52" i="99"/>
  <c r="BZ58" i="99"/>
  <c r="BZ62" i="99"/>
  <c r="BZ83" i="99"/>
  <c r="BZ92" i="99"/>
  <c r="BZ93" i="99"/>
  <c r="BZ22" i="99"/>
  <c r="BZ16" i="99"/>
  <c r="BZ48" i="99"/>
  <c r="BZ47" i="99"/>
  <c r="BZ67" i="99"/>
  <c r="BZ40" i="99"/>
  <c r="BZ75" i="99"/>
  <c r="BZ63" i="99"/>
  <c r="BZ71" i="99"/>
  <c r="BZ89" i="99"/>
  <c r="BZ47" i="97"/>
  <c r="BZ58" i="97"/>
  <c r="BZ51" i="97"/>
  <c r="BZ56" i="97"/>
  <c r="BZ82" i="97"/>
  <c r="BZ96" i="97"/>
  <c r="BZ93" i="97"/>
  <c r="BZ31" i="97"/>
  <c r="BZ27" i="97"/>
  <c r="BZ78" i="97"/>
  <c r="BZ63" i="97"/>
  <c r="BZ74" i="97"/>
  <c r="BZ89" i="97"/>
  <c r="BZ90" i="97"/>
  <c r="CA93" i="97"/>
  <c r="CA96" i="97"/>
  <c r="CA94" i="97"/>
  <c r="CA89" i="97"/>
  <c r="CA92" i="97"/>
  <c r="CA95" i="97"/>
  <c r="CA68" i="97"/>
  <c r="CA74" i="97"/>
  <c r="CA66" i="97"/>
  <c r="CA78" i="97"/>
  <c r="CA70" i="97"/>
  <c r="CA75" i="97"/>
  <c r="CA62" i="97"/>
  <c r="CA71" i="97"/>
  <c r="CA82" i="97"/>
  <c r="CA46" i="97"/>
  <c r="CA49" i="97"/>
  <c r="CA52" i="97"/>
  <c r="CA63" i="97"/>
  <c r="CA44" i="97"/>
  <c r="CA42" i="97"/>
  <c r="CA39" i="97"/>
  <c r="CA30" i="97"/>
  <c r="CA72" i="97"/>
  <c r="CA37" i="97"/>
  <c r="CA40" i="97"/>
  <c r="CA56" i="97"/>
  <c r="CA58" i="97"/>
  <c r="CA35" i="97"/>
  <c r="CA19" i="97"/>
  <c r="CA73" i="97"/>
  <c r="CA60" i="97"/>
  <c r="CA29" i="97"/>
  <c r="CA26" i="97"/>
  <c r="CA17" i="97"/>
  <c r="CA38" i="97"/>
  <c r="CA24" i="97"/>
  <c r="CA20" i="97"/>
  <c r="CA16" i="97"/>
  <c r="CA50" i="97"/>
  <c r="CA41" i="97"/>
  <c r="CA34" i="97"/>
  <c r="CA8" i="97"/>
  <c r="CA88" i="97" s="1"/>
  <c r="CA45" i="97"/>
  <c r="CA18" i="97"/>
  <c r="CA55" i="97"/>
  <c r="CA15" i="97"/>
  <c r="CA64" i="97"/>
  <c r="CB7" i="97"/>
  <c r="CA31" i="97"/>
  <c r="CA27" i="97"/>
  <c r="CA12" i="97"/>
  <c r="CA22" i="97"/>
  <c r="CA14" i="97"/>
  <c r="CA33" i="97"/>
  <c r="CA25" i="97"/>
  <c r="BZ36" i="97"/>
  <c r="BZ95" i="97"/>
  <c r="BZ62" i="97"/>
  <c r="BZ83" i="97"/>
  <c r="BZ97" i="97"/>
  <c r="BZ44" i="97"/>
  <c r="BZ50" i="97"/>
  <c r="BZ46" i="97"/>
  <c r="BZ75" i="97"/>
  <c r="BZ71" i="97"/>
  <c r="BZ85" i="97"/>
  <c r="BZ15" i="97"/>
  <c r="BZ48" i="97"/>
  <c r="BZ23" i="97"/>
  <c r="BZ86" i="97"/>
  <c r="BZ68" i="97"/>
  <c r="BZ61" i="97"/>
  <c r="BZ59" i="97"/>
  <c r="BZ80" i="97"/>
  <c r="CC14" i="95"/>
  <c r="CC30" i="95"/>
  <c r="CC46" i="95"/>
  <c r="CC25" i="95"/>
  <c r="CC41" i="95"/>
  <c r="CC19" i="95"/>
  <c r="CC34" i="95"/>
  <c r="CC12" i="95"/>
  <c r="CC15" i="95"/>
  <c r="CC50" i="95"/>
  <c r="CC67" i="95"/>
  <c r="CC70" i="95"/>
  <c r="CC66" i="95"/>
  <c r="CC31" i="95"/>
  <c r="CC27" i="95"/>
  <c r="CC35" i="95"/>
  <c r="CC57" i="95"/>
  <c r="CC26" i="95"/>
  <c r="CC73" i="95"/>
  <c r="CC36" i="95"/>
  <c r="CC63" i="95"/>
  <c r="CC28" i="95"/>
  <c r="CC38" i="95"/>
  <c r="CC69" i="95"/>
  <c r="CC88" i="95"/>
  <c r="CC78" i="95"/>
  <c r="CC24" i="95"/>
  <c r="CC22" i="95"/>
  <c r="CC40" i="95"/>
  <c r="CC39" i="95"/>
  <c r="CC47" i="95"/>
  <c r="CC62" i="95"/>
  <c r="CC20" i="95"/>
  <c r="CC17" i="95"/>
  <c r="CC13" i="95"/>
  <c r="CC61" i="95"/>
  <c r="CC29" i="95"/>
  <c r="CC64" i="95"/>
  <c r="CC82" i="95"/>
  <c r="CC56" i="95"/>
  <c r="CC60" i="95"/>
  <c r="CC91" i="95"/>
  <c r="CC90" i="95"/>
  <c r="CC92" i="95"/>
  <c r="CC93" i="95"/>
  <c r="CC89" i="95"/>
  <c r="CC94" i="95"/>
  <c r="CC37" i="95"/>
  <c r="CC59" i="95"/>
  <c r="CC74" i="95"/>
  <c r="CC79" i="95"/>
  <c r="CC75" i="95"/>
  <c r="CC84" i="95"/>
  <c r="CD8" i="95"/>
  <c r="CD83" i="95" s="1"/>
  <c r="CC48" i="95"/>
  <c r="CC42" i="95"/>
  <c r="CC68" i="95"/>
  <c r="CC44" i="95"/>
  <c r="CC33" i="95"/>
  <c r="CC16" i="95"/>
  <c r="CC49" i="95"/>
  <c r="CC51" i="95"/>
  <c r="CC83" i="95"/>
  <c r="CC52" i="95"/>
  <c r="CC77" i="95"/>
  <c r="CC80" i="95"/>
  <c r="CC86" i="95"/>
  <c r="CC95" i="95"/>
  <c r="CC45" i="95"/>
  <c r="CC18" i="95"/>
  <c r="CC72" i="95"/>
  <c r="CC11" i="95"/>
  <c r="CC23" i="95"/>
  <c r="CC53" i="95"/>
  <c r="CC71" i="95"/>
  <c r="CC55" i="95"/>
  <c r="CC58" i="95"/>
  <c r="CC81" i="95"/>
  <c r="CC85" i="95"/>
  <c r="CC96" i="95"/>
  <c r="CA51" i="59" l="1"/>
  <c r="CA81" i="59"/>
  <c r="CA40" i="59"/>
  <c r="CA48" i="59"/>
  <c r="CA18" i="59"/>
  <c r="CA23" i="59"/>
  <c r="CA44" i="59"/>
  <c r="CA90" i="59"/>
  <c r="CA47" i="59"/>
  <c r="CA22" i="59"/>
  <c r="CA25" i="59"/>
  <c r="CA62" i="59"/>
  <c r="CA89" i="59"/>
  <c r="CA42" i="59"/>
  <c r="CA67" i="59"/>
  <c r="CA94" i="59"/>
  <c r="CA41" i="59"/>
  <c r="CA30" i="59"/>
  <c r="CA73" i="59"/>
  <c r="CA12" i="59"/>
  <c r="CA17" i="59"/>
  <c r="CA14" i="59"/>
  <c r="CA38" i="59"/>
  <c r="CA39" i="59"/>
  <c r="CA79" i="59"/>
  <c r="CA66" i="59"/>
  <c r="CA75" i="59"/>
  <c r="CA84" i="59"/>
  <c r="CA97" i="59"/>
  <c r="CA33" i="59"/>
  <c r="CA11" i="59"/>
  <c r="CA26" i="59"/>
  <c r="CA28" i="59"/>
  <c r="CA56" i="59"/>
  <c r="CA61" i="59"/>
  <c r="CA69" i="59"/>
  <c r="CA72" i="59"/>
  <c r="CA78" i="59"/>
  <c r="CA91" i="59"/>
  <c r="CA31" i="59"/>
  <c r="CA52" i="59"/>
  <c r="CA35" i="59"/>
  <c r="CA37" i="59"/>
  <c r="CA45" i="59"/>
  <c r="CA55" i="59"/>
  <c r="CA70" i="59"/>
  <c r="CA77" i="59"/>
  <c r="CA86" i="59"/>
  <c r="CA88" i="59"/>
  <c r="CA46" i="59"/>
  <c r="CA24" i="59"/>
  <c r="CA19" i="59"/>
  <c r="CA34" i="59"/>
  <c r="CA64" i="59"/>
  <c r="CA71" i="59"/>
  <c r="CA57" i="59"/>
  <c r="CA80" i="59"/>
  <c r="CA85" i="59"/>
  <c r="CA96" i="59"/>
  <c r="CA13" i="59"/>
  <c r="CC7" i="59"/>
  <c r="CB8" i="59"/>
  <c r="CB96" i="59" s="1"/>
  <c r="CB12" i="59"/>
  <c r="CB42" i="59"/>
  <c r="CA27" i="59"/>
  <c r="CA29" i="59"/>
  <c r="CA49" i="59"/>
  <c r="CA50" i="59"/>
  <c r="CA58" i="59"/>
  <c r="CA60" i="59"/>
  <c r="CA83" i="59"/>
  <c r="CA95" i="59"/>
  <c r="CA93" i="59"/>
  <c r="CA15" i="59"/>
  <c r="CA20" i="59"/>
  <c r="CA36" i="59"/>
  <c r="CA16" i="59"/>
  <c r="CA68" i="59"/>
  <c r="CA53" i="59"/>
  <c r="CA59" i="59"/>
  <c r="CA82" i="59"/>
  <c r="CA74" i="59"/>
  <c r="CA14" i="113"/>
  <c r="CA12" i="113"/>
  <c r="CA22" i="113"/>
  <c r="CA42" i="113"/>
  <c r="CA73" i="113"/>
  <c r="CA60" i="113"/>
  <c r="CA55" i="113"/>
  <c r="CA74" i="113"/>
  <c r="CA84" i="113"/>
  <c r="CA91" i="113"/>
  <c r="CB85" i="113"/>
  <c r="CB97" i="113"/>
  <c r="CB79" i="113"/>
  <c r="CB90" i="113"/>
  <c r="CB74" i="113"/>
  <c r="CB71" i="113"/>
  <c r="CB62" i="113"/>
  <c r="CB72" i="113"/>
  <c r="CB60" i="113"/>
  <c r="CB55" i="113"/>
  <c r="CB52" i="113"/>
  <c r="CB47" i="113"/>
  <c r="CB27" i="113"/>
  <c r="CB48" i="113"/>
  <c r="CB41" i="113"/>
  <c r="CB28" i="113"/>
  <c r="CB13" i="113"/>
  <c r="CB42" i="113"/>
  <c r="CB14" i="113"/>
  <c r="CB12" i="113"/>
  <c r="CB8" i="113"/>
  <c r="CB89" i="113" s="1"/>
  <c r="CC7" i="113"/>
  <c r="CA26" i="113"/>
  <c r="CA38" i="113"/>
  <c r="CA27" i="113"/>
  <c r="CA33" i="113"/>
  <c r="CA31" i="113"/>
  <c r="CA70" i="113"/>
  <c r="CA69" i="113"/>
  <c r="CA95" i="113"/>
  <c r="CA81" i="113"/>
  <c r="CA96" i="113"/>
  <c r="CA20" i="113"/>
  <c r="CA34" i="113"/>
  <c r="CA23" i="113"/>
  <c r="CA35" i="113"/>
  <c r="CA41" i="113"/>
  <c r="CA40" i="113"/>
  <c r="CA51" i="113"/>
  <c r="CA63" i="113"/>
  <c r="CA85" i="113"/>
  <c r="CA86" i="113"/>
  <c r="CA93" i="113"/>
  <c r="CA11" i="113"/>
  <c r="CA18" i="113"/>
  <c r="CA25" i="113"/>
  <c r="CA39" i="113"/>
  <c r="CA50" i="113"/>
  <c r="CA49" i="113"/>
  <c r="CA59" i="113"/>
  <c r="CA83" i="113"/>
  <c r="CA82" i="113"/>
  <c r="CA92" i="113"/>
  <c r="CA16" i="113"/>
  <c r="CA15" i="113"/>
  <c r="CA36" i="113"/>
  <c r="CA45" i="113"/>
  <c r="CA64" i="113"/>
  <c r="CA57" i="113"/>
  <c r="CA67" i="113"/>
  <c r="CA80" i="113"/>
  <c r="CA90" i="113"/>
  <c r="CA89" i="113"/>
  <c r="CA17" i="113"/>
  <c r="CA58" i="113"/>
  <c r="CA48" i="113"/>
  <c r="CA47" i="113"/>
  <c r="CA37" i="113"/>
  <c r="CA52" i="113"/>
  <c r="CA62" i="113"/>
  <c r="CA79" i="113"/>
  <c r="CA97" i="113"/>
  <c r="CA13" i="113"/>
  <c r="CA28" i="113"/>
  <c r="CA77" i="113"/>
  <c r="CA30" i="113"/>
  <c r="CA56" i="113"/>
  <c r="CA66" i="113"/>
  <c r="CA71" i="113"/>
  <c r="CA75" i="113"/>
  <c r="CC95" i="111"/>
  <c r="CC86" i="111"/>
  <c r="CC90" i="111"/>
  <c r="CC56" i="111"/>
  <c r="CC47" i="111"/>
  <c r="CC38" i="111"/>
  <c r="CC92" i="111"/>
  <c r="CC72" i="111"/>
  <c r="CC55" i="111"/>
  <c r="CC62" i="111"/>
  <c r="CC68" i="111"/>
  <c r="CC53" i="111"/>
  <c r="CC80" i="111"/>
  <c r="CC78" i="111"/>
  <c r="CC74" i="111"/>
  <c r="CC36" i="111"/>
  <c r="CC34" i="111"/>
  <c r="CC79" i="111"/>
  <c r="CC45" i="111"/>
  <c r="CC77" i="111"/>
  <c r="CC52" i="111"/>
  <c r="CC66" i="111"/>
  <c r="CC27" i="111"/>
  <c r="CC30" i="111"/>
  <c r="CC28" i="111"/>
  <c r="CC93" i="111"/>
  <c r="CC29" i="111"/>
  <c r="CC25" i="111"/>
  <c r="CC18" i="111"/>
  <c r="CC8" i="111"/>
  <c r="CC91" i="111" s="1"/>
  <c r="CC13" i="111"/>
  <c r="CC16" i="111"/>
  <c r="CC24" i="111"/>
  <c r="CC35" i="111"/>
  <c r="CC20" i="111"/>
  <c r="CC12" i="111"/>
  <c r="CC19" i="111"/>
  <c r="CC70" i="111"/>
  <c r="CC15" i="111"/>
  <c r="CC17" i="111"/>
  <c r="CD7" i="111"/>
  <c r="CC31" i="111"/>
  <c r="CC33" i="111"/>
  <c r="CC23" i="111"/>
  <c r="CB11" i="111"/>
  <c r="CB34" i="111"/>
  <c r="CB36" i="111"/>
  <c r="CB74" i="111"/>
  <c r="CB41" i="111"/>
  <c r="CB75" i="111"/>
  <c r="CB63" i="111"/>
  <c r="CB61" i="111"/>
  <c r="CB93" i="111"/>
  <c r="CB88" i="111"/>
  <c r="CB16" i="111"/>
  <c r="CB31" i="111"/>
  <c r="CB15" i="111"/>
  <c r="CB33" i="111"/>
  <c r="CB53" i="111"/>
  <c r="CB73" i="111"/>
  <c r="CB51" i="111"/>
  <c r="CB62" i="111"/>
  <c r="CB89" i="111"/>
  <c r="CB97" i="111"/>
  <c r="CB37" i="111"/>
  <c r="CB35" i="111"/>
  <c r="CB68" i="111"/>
  <c r="CB79" i="111"/>
  <c r="CB55" i="111"/>
  <c r="CB70" i="111"/>
  <c r="CB72" i="111"/>
  <c r="CB85" i="111"/>
  <c r="CB23" i="111"/>
  <c r="CB18" i="111"/>
  <c r="CB64" i="111"/>
  <c r="CB48" i="111"/>
  <c r="CB60" i="111"/>
  <c r="CB80" i="111"/>
  <c r="CB57" i="111"/>
  <c r="CB44" i="111"/>
  <c r="CB81" i="111"/>
  <c r="CB94" i="111"/>
  <c r="CB58" i="111"/>
  <c r="CB52" i="111"/>
  <c r="CB78" i="111"/>
  <c r="CA74" i="109"/>
  <c r="CA30" i="109"/>
  <c r="CA41" i="109"/>
  <c r="CA38" i="109"/>
  <c r="CA40" i="109"/>
  <c r="CA53" i="109"/>
  <c r="CA71" i="109"/>
  <c r="CA66" i="109"/>
  <c r="CA86" i="109"/>
  <c r="CA96" i="109"/>
  <c r="CA27" i="109"/>
  <c r="CA17" i="109"/>
  <c r="CA39" i="109"/>
  <c r="CA48" i="109"/>
  <c r="CA44" i="109"/>
  <c r="CA46" i="109"/>
  <c r="CA64" i="109"/>
  <c r="CA78" i="109"/>
  <c r="CA69" i="109"/>
  <c r="CA79" i="109"/>
  <c r="CA93" i="109"/>
  <c r="CA22" i="109"/>
  <c r="CA24" i="109"/>
  <c r="CA34" i="109"/>
  <c r="CA55" i="109"/>
  <c r="CA50" i="109"/>
  <c r="CA19" i="109"/>
  <c r="CA81" i="109"/>
  <c r="CA90" i="109"/>
  <c r="CA82" i="109"/>
  <c r="CA89" i="109"/>
  <c r="CB96" i="109"/>
  <c r="CB88" i="109"/>
  <c r="CB94" i="109"/>
  <c r="CB97" i="109"/>
  <c r="CB89" i="109"/>
  <c r="CB92" i="109"/>
  <c r="CB93" i="109"/>
  <c r="CB79" i="109"/>
  <c r="CB83" i="109"/>
  <c r="CB64" i="109"/>
  <c r="CB95" i="109"/>
  <c r="CB90" i="109"/>
  <c r="CB80" i="109"/>
  <c r="CB77" i="109"/>
  <c r="CB61" i="109"/>
  <c r="CB78" i="109"/>
  <c r="CB71" i="109"/>
  <c r="CB67" i="109"/>
  <c r="CB52" i="109"/>
  <c r="CB72" i="109"/>
  <c r="CB68" i="109"/>
  <c r="CB86" i="109"/>
  <c r="CB69" i="109"/>
  <c r="CB62" i="109"/>
  <c r="CB44" i="109"/>
  <c r="CB60" i="109"/>
  <c r="CB46" i="109"/>
  <c r="CB31" i="109"/>
  <c r="CB23" i="109"/>
  <c r="CB14" i="109"/>
  <c r="CB35" i="109"/>
  <c r="CB26" i="109"/>
  <c r="CB84" i="109"/>
  <c r="CB55" i="109"/>
  <c r="CB53" i="109"/>
  <c r="CB41" i="109"/>
  <c r="CB33" i="109"/>
  <c r="CB24" i="109"/>
  <c r="CB48" i="109"/>
  <c r="CB47" i="109"/>
  <c r="CB81" i="109"/>
  <c r="CB37" i="109"/>
  <c r="CB42" i="109"/>
  <c r="CB45" i="109"/>
  <c r="CB39" i="109"/>
  <c r="CB36" i="109"/>
  <c r="CB63" i="109"/>
  <c r="CB28" i="109"/>
  <c r="CB25" i="109"/>
  <c r="CB19" i="109"/>
  <c r="CB59" i="109"/>
  <c r="CB58" i="109"/>
  <c r="CB20" i="109"/>
  <c r="CB8" i="109"/>
  <c r="CB91" i="109" s="1"/>
  <c r="CB29" i="109"/>
  <c r="CB16" i="109"/>
  <c r="CB13" i="109"/>
  <c r="CB11" i="109"/>
  <c r="CC7" i="109"/>
  <c r="CB51" i="109"/>
  <c r="CB50" i="109"/>
  <c r="CB22" i="109"/>
  <c r="CB66" i="109"/>
  <c r="CB38" i="109"/>
  <c r="CB34" i="109"/>
  <c r="CB12" i="109"/>
  <c r="CB18" i="109"/>
  <c r="CA11" i="109"/>
  <c r="CA26" i="109"/>
  <c r="CA77" i="109"/>
  <c r="CA80" i="109"/>
  <c r="CA14" i="109"/>
  <c r="CA37" i="109"/>
  <c r="CA63" i="109"/>
  <c r="CA59" i="109"/>
  <c r="CA83" i="109"/>
  <c r="CB16" i="107"/>
  <c r="CB48" i="107"/>
  <c r="CB26" i="107"/>
  <c r="CB60" i="107"/>
  <c r="CB49" i="107"/>
  <c r="CB50" i="107"/>
  <c r="CB66" i="107"/>
  <c r="CB93" i="107"/>
  <c r="CB86" i="107"/>
  <c r="CB96" i="107"/>
  <c r="CB15" i="107"/>
  <c r="CB25" i="107"/>
  <c r="CB40" i="107"/>
  <c r="CB23" i="107"/>
  <c r="CB64" i="107"/>
  <c r="CB53" i="107"/>
  <c r="CB38" i="107"/>
  <c r="CB84" i="107"/>
  <c r="CB68" i="107"/>
  <c r="CB89" i="107"/>
  <c r="CB14" i="107"/>
  <c r="CB82" i="107"/>
  <c r="CB51" i="107"/>
  <c r="CB45" i="107"/>
  <c r="CB30" i="107"/>
  <c r="CB61" i="107"/>
  <c r="CB47" i="107"/>
  <c r="CB58" i="107"/>
  <c r="CB79" i="107"/>
  <c r="CB97" i="107"/>
  <c r="CB11" i="107"/>
  <c r="CB12" i="107"/>
  <c r="CB20" i="107"/>
  <c r="CB70" i="107"/>
  <c r="CB57" i="107"/>
  <c r="CB73" i="107"/>
  <c r="CB56" i="107"/>
  <c r="CB72" i="107"/>
  <c r="CB78" i="107"/>
  <c r="CB94" i="107"/>
  <c r="CC97" i="107"/>
  <c r="CC86" i="107"/>
  <c r="CC90" i="107"/>
  <c r="CC82" i="107"/>
  <c r="CC62" i="107"/>
  <c r="CC84" i="107"/>
  <c r="CC88" i="107"/>
  <c r="CC80" i="107"/>
  <c r="CC66" i="107"/>
  <c r="CC70" i="107"/>
  <c r="CC50" i="107"/>
  <c r="CC41" i="107"/>
  <c r="CC36" i="107"/>
  <c r="CC48" i="107"/>
  <c r="CC78" i="107"/>
  <c r="CC60" i="107"/>
  <c r="CC64" i="107"/>
  <c r="CC46" i="107"/>
  <c r="CC47" i="107"/>
  <c r="CC28" i="107"/>
  <c r="CC26" i="107"/>
  <c r="CC55" i="107"/>
  <c r="CC24" i="107"/>
  <c r="CC53" i="107"/>
  <c r="CC40" i="107"/>
  <c r="CC8" i="107"/>
  <c r="CC91" i="107" s="1"/>
  <c r="CC35" i="107"/>
  <c r="CC30" i="107"/>
  <c r="CC11" i="107"/>
  <c r="CC14" i="107"/>
  <c r="CD7" i="107"/>
  <c r="CC51" i="107"/>
  <c r="CB33" i="107"/>
  <c r="CB52" i="107"/>
  <c r="CB75" i="107"/>
  <c r="CB85" i="107"/>
  <c r="CB91" i="107"/>
  <c r="CB13" i="107"/>
  <c r="CB35" i="107"/>
  <c r="CB42" i="107"/>
  <c r="CB17" i="107"/>
  <c r="CB44" i="107"/>
  <c r="CB34" i="107"/>
  <c r="CB41" i="107"/>
  <c r="CB62" i="107"/>
  <c r="CB83" i="107"/>
  <c r="CB90" i="107"/>
  <c r="CC94" i="105"/>
  <c r="CC85" i="105"/>
  <c r="CC89" i="105"/>
  <c r="CC92" i="105"/>
  <c r="CC95" i="105"/>
  <c r="CC86" i="105"/>
  <c r="CC78" i="105"/>
  <c r="CC88" i="105"/>
  <c r="CC72" i="105"/>
  <c r="CC84" i="105"/>
  <c r="CC79" i="105"/>
  <c r="CC93" i="105"/>
  <c r="CC77" i="105"/>
  <c r="CC64" i="105"/>
  <c r="CC68" i="105"/>
  <c r="CC59" i="105"/>
  <c r="CC96" i="105"/>
  <c r="CC62" i="105"/>
  <c r="CC66" i="105"/>
  <c r="CC57" i="105"/>
  <c r="CC60" i="105"/>
  <c r="CC83" i="105"/>
  <c r="CC67" i="105"/>
  <c r="CC58" i="105"/>
  <c r="CC55" i="105"/>
  <c r="CC51" i="105"/>
  <c r="CC49" i="105"/>
  <c r="CC40" i="105"/>
  <c r="CC61" i="105"/>
  <c r="CC53" i="105"/>
  <c r="CC71" i="105"/>
  <c r="CC70" i="105"/>
  <c r="CC45" i="105"/>
  <c r="CC25" i="105"/>
  <c r="CC63" i="105"/>
  <c r="CC39" i="105"/>
  <c r="CC80" i="105"/>
  <c r="CC74" i="105"/>
  <c r="CC33" i="105"/>
  <c r="CC52" i="105"/>
  <c r="CC41" i="105"/>
  <c r="CC37" i="105"/>
  <c r="CC20" i="105"/>
  <c r="CC12" i="105"/>
  <c r="CC28" i="105"/>
  <c r="CC26" i="105"/>
  <c r="CC15" i="105"/>
  <c r="CC29" i="105"/>
  <c r="CC13" i="105"/>
  <c r="CC18" i="105"/>
  <c r="CC8" i="105"/>
  <c r="CC91" i="105" s="1"/>
  <c r="CC42" i="105"/>
  <c r="CC22" i="105"/>
  <c r="CC38" i="105"/>
  <c r="CC30" i="105"/>
  <c r="CC11" i="105"/>
  <c r="CC35" i="105"/>
  <c r="CC23" i="105"/>
  <c r="CC36" i="105"/>
  <c r="CC17" i="105"/>
  <c r="CC47" i="105"/>
  <c r="CC16" i="105"/>
  <c r="CD7" i="105"/>
  <c r="CB22" i="105"/>
  <c r="CB26" i="105"/>
  <c r="CB27" i="105"/>
  <c r="CB34" i="105"/>
  <c r="CB46" i="105"/>
  <c r="CB69" i="105"/>
  <c r="CB56" i="105"/>
  <c r="CB82" i="105"/>
  <c r="CB86" i="105"/>
  <c r="CB88" i="105"/>
  <c r="CB33" i="105"/>
  <c r="CB50" i="105"/>
  <c r="CB52" i="105"/>
  <c r="CB80" i="105"/>
  <c r="CB72" i="105"/>
  <c r="CB79" i="105"/>
  <c r="CB92" i="105"/>
  <c r="CB14" i="105"/>
  <c r="CB45" i="105"/>
  <c r="CB12" i="105"/>
  <c r="CB36" i="105"/>
  <c r="CB40" i="105"/>
  <c r="CB75" i="105"/>
  <c r="CB66" i="105"/>
  <c r="CB70" i="105"/>
  <c r="CB90" i="105"/>
  <c r="CB97" i="105"/>
  <c r="CB13" i="105"/>
  <c r="CB16" i="105"/>
  <c r="CB20" i="105"/>
  <c r="CB28" i="105"/>
  <c r="CB49" i="105"/>
  <c r="CB51" i="105"/>
  <c r="CB62" i="105"/>
  <c r="CB71" i="105"/>
  <c r="CB78" i="105"/>
  <c r="CC95" i="103"/>
  <c r="CC80" i="103"/>
  <c r="CC77" i="103"/>
  <c r="CC56" i="103"/>
  <c r="CC49" i="103"/>
  <c r="CC40" i="103"/>
  <c r="CC45" i="103"/>
  <c r="CC42" i="103"/>
  <c r="CC48" i="103"/>
  <c r="CC22" i="103"/>
  <c r="CC36" i="103"/>
  <c r="CC18" i="103"/>
  <c r="CC14" i="103"/>
  <c r="CD7" i="103"/>
  <c r="CC28" i="103"/>
  <c r="CC17" i="103"/>
  <c r="CC13" i="103"/>
  <c r="CC8" i="103"/>
  <c r="CC91" i="103" s="1"/>
  <c r="CB23" i="103"/>
  <c r="CB22" i="103"/>
  <c r="CB41" i="103"/>
  <c r="CB52" i="103"/>
  <c r="CB56" i="103"/>
  <c r="CB69" i="103"/>
  <c r="CB80" i="103"/>
  <c r="CB90" i="103"/>
  <c r="CB91" i="103"/>
  <c r="CB14" i="103"/>
  <c r="CB33" i="103"/>
  <c r="CB30" i="103"/>
  <c r="CB53" i="103"/>
  <c r="CB55" i="103"/>
  <c r="CB59" i="103"/>
  <c r="CB71" i="103"/>
  <c r="CB58" i="103"/>
  <c r="CB86" i="103"/>
  <c r="CB88" i="103"/>
  <c r="CB15" i="103"/>
  <c r="CB18" i="103"/>
  <c r="CB61" i="103"/>
  <c r="CB38" i="103"/>
  <c r="CB35" i="103"/>
  <c r="CB40" i="103"/>
  <c r="CB62" i="103"/>
  <c r="CB75" i="103"/>
  <c r="CB67" i="103"/>
  <c r="CB95" i="103"/>
  <c r="CB96" i="103"/>
  <c r="CB16" i="103"/>
  <c r="CB11" i="103"/>
  <c r="CB28" i="103"/>
  <c r="CB24" i="103"/>
  <c r="CB44" i="103"/>
  <c r="CB60" i="103"/>
  <c r="CB72" i="103"/>
  <c r="CB74" i="103"/>
  <c r="CB82" i="103"/>
  <c r="CB89" i="103"/>
  <c r="CB39" i="103"/>
  <c r="CB63" i="103"/>
  <c r="CB36" i="103"/>
  <c r="CB42" i="103"/>
  <c r="CB78" i="103"/>
  <c r="CB64" i="103"/>
  <c r="CB84" i="103"/>
  <c r="CA52" i="101"/>
  <c r="CA12" i="101"/>
  <c r="CA11" i="101"/>
  <c r="CA42" i="101"/>
  <c r="CA25" i="101"/>
  <c r="CA61" i="101"/>
  <c r="CA49" i="101"/>
  <c r="CA67" i="101"/>
  <c r="CA69" i="101"/>
  <c r="CA86" i="101"/>
  <c r="CA89" i="101"/>
  <c r="CA20" i="101"/>
  <c r="CA13" i="101"/>
  <c r="CA24" i="101"/>
  <c r="CA30" i="101"/>
  <c r="CA59" i="101"/>
  <c r="CA37" i="101"/>
  <c r="CA78" i="101"/>
  <c r="CA74" i="101"/>
  <c r="CA79" i="101"/>
  <c r="CA94" i="101"/>
  <c r="CA72" i="101"/>
  <c r="CA85" i="101"/>
  <c r="CB92" i="101"/>
  <c r="CB95" i="101"/>
  <c r="CB90" i="101"/>
  <c r="CB85" i="101"/>
  <c r="CB69" i="101"/>
  <c r="CB60" i="101"/>
  <c r="CB58" i="101"/>
  <c r="CB61" i="101"/>
  <c r="CB44" i="101"/>
  <c r="CB80" i="101"/>
  <c r="CB37" i="101"/>
  <c r="CB30" i="101"/>
  <c r="CB57" i="101"/>
  <c r="CB62" i="101"/>
  <c r="CB17" i="101"/>
  <c r="CB41" i="101"/>
  <c r="CB22" i="101"/>
  <c r="CB16" i="101"/>
  <c r="CC7" i="101"/>
  <c r="CB8" i="101"/>
  <c r="CB88" i="101" s="1"/>
  <c r="CB15" i="101"/>
  <c r="CB24" i="101"/>
  <c r="CA28" i="101"/>
  <c r="CA29" i="101"/>
  <c r="CA27" i="101"/>
  <c r="CA35" i="101"/>
  <c r="CA46" i="101"/>
  <c r="CA55" i="101"/>
  <c r="CA75" i="101"/>
  <c r="CA84" i="101"/>
  <c r="CA91" i="101"/>
  <c r="CA14" i="101"/>
  <c r="CA33" i="101"/>
  <c r="CA50" i="101"/>
  <c r="CA36" i="101"/>
  <c r="CA44" i="101"/>
  <c r="CA51" i="101"/>
  <c r="CA63" i="101"/>
  <c r="CA80" i="101"/>
  <c r="CA81" i="101"/>
  <c r="CA88" i="101"/>
  <c r="CA19" i="101"/>
  <c r="CA26" i="101"/>
  <c r="CA41" i="101"/>
  <c r="CA62" i="101"/>
  <c r="CA77" i="101"/>
  <c r="CA83" i="101"/>
  <c r="CA90" i="101"/>
  <c r="CA96" i="101"/>
  <c r="CA18" i="101"/>
  <c r="CA22" i="101"/>
  <c r="CA31" i="101"/>
  <c r="CA73" i="101"/>
  <c r="CA53" i="101"/>
  <c r="CA40" i="101"/>
  <c r="CA58" i="101"/>
  <c r="CA60" i="101"/>
  <c r="CA95" i="101"/>
  <c r="CA92" i="101"/>
  <c r="CA25" i="99"/>
  <c r="CA26" i="99"/>
  <c r="CA31" i="99"/>
  <c r="CA59" i="99"/>
  <c r="CA42" i="99"/>
  <c r="CA46" i="99"/>
  <c r="CA70" i="99"/>
  <c r="CA75" i="99"/>
  <c r="CA83" i="99"/>
  <c r="CA89" i="99"/>
  <c r="CA18" i="99"/>
  <c r="CB88" i="99"/>
  <c r="CB85" i="99"/>
  <c r="CB89" i="99"/>
  <c r="CB86" i="99"/>
  <c r="CB71" i="99"/>
  <c r="CB74" i="99"/>
  <c r="CB69" i="99"/>
  <c r="CB84" i="99"/>
  <c r="CB67" i="99"/>
  <c r="CB82" i="99"/>
  <c r="CB60" i="99"/>
  <c r="CB55" i="99"/>
  <c r="CB49" i="99"/>
  <c r="CB46" i="99"/>
  <c r="CB35" i="99"/>
  <c r="CB52" i="99"/>
  <c r="CB41" i="99"/>
  <c r="CB77" i="99"/>
  <c r="CB36" i="99"/>
  <c r="CB48" i="99"/>
  <c r="CB37" i="99"/>
  <c r="CB40" i="99"/>
  <c r="CB23" i="99"/>
  <c r="CB59" i="99"/>
  <c r="CB24" i="99"/>
  <c r="CB27" i="99"/>
  <c r="CB61" i="99"/>
  <c r="CB30" i="99"/>
  <c r="CB19" i="99"/>
  <c r="CB16" i="99"/>
  <c r="CB39" i="99"/>
  <c r="CB29" i="99"/>
  <c r="CB11" i="99"/>
  <c r="CB38" i="99"/>
  <c r="CC7" i="99"/>
  <c r="CB17" i="99"/>
  <c r="CB25" i="99"/>
  <c r="CB15" i="99"/>
  <c r="CB13" i="99"/>
  <c r="CB22" i="99"/>
  <c r="CB8" i="99"/>
  <c r="CB97" i="99" s="1"/>
  <c r="CB12" i="99"/>
  <c r="CA37" i="99"/>
  <c r="CA29" i="99"/>
  <c r="CA41" i="99"/>
  <c r="CA56" i="99"/>
  <c r="CA63" i="99"/>
  <c r="CA90" i="99"/>
  <c r="CA80" i="99"/>
  <c r="CA85" i="99"/>
  <c r="CA30" i="99"/>
  <c r="CA14" i="99"/>
  <c r="CA49" i="99"/>
  <c r="CA35" i="99"/>
  <c r="CA58" i="99"/>
  <c r="CA79" i="99"/>
  <c r="CA69" i="99"/>
  <c r="CA72" i="99"/>
  <c r="CA68" i="99"/>
  <c r="CA94" i="99"/>
  <c r="CA47" i="99"/>
  <c r="CA11" i="99"/>
  <c r="CA24" i="99"/>
  <c r="CA23" i="99"/>
  <c r="CA38" i="99"/>
  <c r="CA52" i="99"/>
  <c r="CA82" i="99"/>
  <c r="CA81" i="99"/>
  <c r="CA77" i="99"/>
  <c r="CA91" i="99"/>
  <c r="CA27" i="99"/>
  <c r="CA20" i="99"/>
  <c r="CA33" i="99"/>
  <c r="CA34" i="99"/>
  <c r="CA50" i="99"/>
  <c r="CA61" i="99"/>
  <c r="CA48" i="99"/>
  <c r="CA78" i="99"/>
  <c r="CA86" i="99"/>
  <c r="CA88" i="99"/>
  <c r="CA12" i="99"/>
  <c r="CA39" i="99"/>
  <c r="CA36" i="99"/>
  <c r="CA19" i="99"/>
  <c r="CA62" i="99"/>
  <c r="CA73" i="99"/>
  <c r="CA57" i="99"/>
  <c r="CA66" i="99"/>
  <c r="CA95" i="99"/>
  <c r="CA96" i="99"/>
  <c r="CA17" i="99"/>
  <c r="CA22" i="99"/>
  <c r="CA16" i="99"/>
  <c r="CA45" i="99"/>
  <c r="CA28" i="99"/>
  <c r="CA44" i="99"/>
  <c r="CA55" i="99"/>
  <c r="CA67" i="99"/>
  <c r="CA74" i="99"/>
  <c r="CA92" i="99"/>
  <c r="CA61" i="97"/>
  <c r="CA90" i="97"/>
  <c r="CA83" i="97"/>
  <c r="CA97" i="97"/>
  <c r="CB94" i="97"/>
  <c r="CB80" i="97"/>
  <c r="CB66" i="97"/>
  <c r="CB77" i="97"/>
  <c r="CB46" i="97"/>
  <c r="CB48" i="97"/>
  <c r="CC7" i="97"/>
  <c r="CB36" i="97"/>
  <c r="CB13" i="97"/>
  <c r="CB33" i="97"/>
  <c r="CB8" i="97"/>
  <c r="CB85" i="97" s="1"/>
  <c r="CB51" i="97"/>
  <c r="CA84" i="97"/>
  <c r="CA59" i="97"/>
  <c r="CA80" i="97"/>
  <c r="CA85" i="97"/>
  <c r="CA48" i="97"/>
  <c r="CA23" i="97"/>
  <c r="CA51" i="97"/>
  <c r="CA79" i="97"/>
  <c r="CA57" i="97"/>
  <c r="CA81" i="97"/>
  <c r="CA77" i="97"/>
  <c r="CA91" i="97"/>
  <c r="CA13" i="97"/>
  <c r="CA28" i="97"/>
  <c r="CA36" i="97"/>
  <c r="CA11" i="97"/>
  <c r="CA53" i="97"/>
  <c r="CA47" i="97"/>
  <c r="CA67" i="97"/>
  <c r="CA69" i="97"/>
  <c r="CA86" i="97"/>
  <c r="CD14" i="95"/>
  <c r="CD15" i="95"/>
  <c r="CD51" i="95"/>
  <c r="CD31" i="95"/>
  <c r="CD13" i="95"/>
  <c r="CD41" i="95"/>
  <c r="CD30" i="95"/>
  <c r="CD28" i="95"/>
  <c r="CD48" i="95"/>
  <c r="CD36" i="95"/>
  <c r="CD63" i="95"/>
  <c r="CD64" i="95"/>
  <c r="CD71" i="95"/>
  <c r="CD75" i="95"/>
  <c r="CD97" i="95"/>
  <c r="CD94" i="95"/>
  <c r="CD92" i="95"/>
  <c r="CD18" i="95"/>
  <c r="CD50" i="95"/>
  <c r="CD19" i="95"/>
  <c r="CD35" i="95"/>
  <c r="CD61" i="95"/>
  <c r="CD40" i="95"/>
  <c r="CD77" i="95"/>
  <c r="CD81" i="95"/>
  <c r="CD80" i="95"/>
  <c r="CD79" i="95"/>
  <c r="CD88" i="95"/>
  <c r="CD95" i="95"/>
  <c r="CD16" i="95"/>
  <c r="CD23" i="95"/>
  <c r="CD24" i="95"/>
  <c r="CD11" i="95"/>
  <c r="CD37" i="95"/>
  <c r="CD67" i="95"/>
  <c r="CD42" i="95"/>
  <c r="CD69" i="95"/>
  <c r="CD84" i="95"/>
  <c r="CD82" i="95"/>
  <c r="CD85" i="95"/>
  <c r="CD86" i="95"/>
  <c r="CD90" i="95"/>
  <c r="CD20" i="95"/>
  <c r="CD25" i="95"/>
  <c r="CD26" i="95"/>
  <c r="CD44" i="95"/>
  <c r="CD39" i="95"/>
  <c r="CD60" i="95"/>
  <c r="CD55" i="95"/>
  <c r="CD70" i="95"/>
  <c r="CD38" i="95"/>
  <c r="CD89" i="95"/>
  <c r="CD56" i="95"/>
  <c r="CD96" i="95"/>
  <c r="CD91" i="95"/>
  <c r="CD52" i="95"/>
  <c r="CD27" i="95"/>
  <c r="CD29" i="95"/>
  <c r="CD59" i="95"/>
  <c r="CD66" i="95"/>
  <c r="CD57" i="95"/>
  <c r="CD49" i="95"/>
  <c r="CD45" i="95"/>
  <c r="CD72" i="95"/>
  <c r="CD62" i="95"/>
  <c r="CD68" i="95"/>
  <c r="CD93" i="95"/>
  <c r="CD12" i="95"/>
  <c r="CD17" i="95"/>
  <c r="CD33" i="95"/>
  <c r="CD46" i="95"/>
  <c r="CD22" i="95"/>
  <c r="CD47" i="95"/>
  <c r="CD34" i="95"/>
  <c r="CD58" i="95"/>
  <c r="CD53" i="95"/>
  <c r="CD73" i="95"/>
  <c r="CD78" i="95"/>
  <c r="CD74" i="95"/>
  <c r="CB46" i="59" l="1"/>
  <c r="CB28" i="59"/>
  <c r="CB53" i="59"/>
  <c r="CB68" i="59"/>
  <c r="CB93" i="59"/>
  <c r="CB25" i="59"/>
  <c r="CB33" i="59"/>
  <c r="CB41" i="59"/>
  <c r="CB69" i="59"/>
  <c r="CB37" i="59"/>
  <c r="CB70" i="59"/>
  <c r="CB71" i="59"/>
  <c r="CB95" i="59"/>
  <c r="CB26" i="59"/>
  <c r="CB63" i="59"/>
  <c r="CB89" i="59"/>
  <c r="CB14" i="59"/>
  <c r="CB16" i="59"/>
  <c r="CB30" i="59"/>
  <c r="CB35" i="59"/>
  <c r="CB75" i="59"/>
  <c r="CB72" i="59"/>
  <c r="CB67" i="59"/>
  <c r="CB97" i="59"/>
  <c r="CB27" i="59"/>
  <c r="CB15" i="59"/>
  <c r="CB49" i="59"/>
  <c r="CB51" i="59"/>
  <c r="CB38" i="59"/>
  <c r="CB24" i="59"/>
  <c r="CB56" i="59"/>
  <c r="CB29" i="59"/>
  <c r="CB57" i="59"/>
  <c r="CB80" i="59"/>
  <c r="CB84" i="59"/>
  <c r="CB91" i="59"/>
  <c r="CB13" i="59"/>
  <c r="CB36" i="59"/>
  <c r="CB17" i="59"/>
  <c r="CB40" i="59"/>
  <c r="CB45" i="59"/>
  <c r="CB61" i="59"/>
  <c r="CB78" i="59"/>
  <c r="CB18" i="59"/>
  <c r="CB23" i="59"/>
  <c r="CB58" i="59"/>
  <c r="CB48" i="59"/>
  <c r="CB60" i="59"/>
  <c r="CB64" i="59"/>
  <c r="CB83" i="59"/>
  <c r="CB92" i="59"/>
  <c r="CB39" i="59"/>
  <c r="CB19" i="59"/>
  <c r="CB34" i="59"/>
  <c r="CB50" i="59"/>
  <c r="CB77" i="59"/>
  <c r="CB79" i="59"/>
  <c r="CB86" i="59"/>
  <c r="CB94" i="59"/>
  <c r="CB11" i="59"/>
  <c r="CB22" i="59"/>
  <c r="CC38" i="59"/>
  <c r="CC8" i="59"/>
  <c r="CC86" i="59" s="1"/>
  <c r="CD7" i="59"/>
  <c r="CB52" i="59"/>
  <c r="CB44" i="59"/>
  <c r="CB73" i="59"/>
  <c r="CB62" i="59"/>
  <c r="CB85" i="59"/>
  <c r="CB74" i="59"/>
  <c r="CB81" i="59"/>
  <c r="CB88" i="59"/>
  <c r="CB20" i="59"/>
  <c r="CB66" i="59"/>
  <c r="CB31" i="59"/>
  <c r="CB59" i="59"/>
  <c r="CB47" i="59"/>
  <c r="CB55" i="59"/>
  <c r="CB82" i="59"/>
  <c r="CB90" i="59"/>
  <c r="CB30" i="113"/>
  <c r="CB23" i="113"/>
  <c r="CB46" i="113"/>
  <c r="CB36" i="113"/>
  <c r="CB56" i="113"/>
  <c r="CB61" i="113"/>
  <c r="CB81" i="113"/>
  <c r="CB78" i="113"/>
  <c r="CB75" i="113"/>
  <c r="CB94" i="113"/>
  <c r="CB20" i="113"/>
  <c r="CB25" i="113"/>
  <c r="CB51" i="113"/>
  <c r="CB45" i="113"/>
  <c r="CB26" i="113"/>
  <c r="CB68" i="113"/>
  <c r="CB58" i="113"/>
  <c r="CB83" i="113"/>
  <c r="CB84" i="113"/>
  <c r="CB91" i="113"/>
  <c r="CC85" i="113"/>
  <c r="CC89" i="113"/>
  <c r="CC88" i="113"/>
  <c r="CC73" i="113"/>
  <c r="CC83" i="113"/>
  <c r="CC93" i="113"/>
  <c r="CC75" i="113"/>
  <c r="CC66" i="113"/>
  <c r="CC74" i="113"/>
  <c r="CC68" i="113"/>
  <c r="CC38" i="113"/>
  <c r="CC64" i="113"/>
  <c r="CC39" i="113"/>
  <c r="CC35" i="113"/>
  <c r="CC40" i="113"/>
  <c r="CC28" i="113"/>
  <c r="CC25" i="113"/>
  <c r="CC42" i="113"/>
  <c r="CC13" i="113"/>
  <c r="CC8" i="113"/>
  <c r="CC92" i="113" s="1"/>
  <c r="CC15" i="113"/>
  <c r="CD7" i="113"/>
  <c r="CC12" i="113"/>
  <c r="CB19" i="113"/>
  <c r="CB15" i="113"/>
  <c r="CB24" i="113"/>
  <c r="CB53" i="113"/>
  <c r="CB35" i="113"/>
  <c r="CB69" i="113"/>
  <c r="CB67" i="113"/>
  <c r="CB93" i="113"/>
  <c r="CB86" i="113"/>
  <c r="CB88" i="113"/>
  <c r="CB11" i="113"/>
  <c r="CB33" i="113"/>
  <c r="CB17" i="113"/>
  <c r="CB31" i="113"/>
  <c r="CB50" i="113"/>
  <c r="CB44" i="113"/>
  <c r="CB70" i="113"/>
  <c r="CB80" i="113"/>
  <c r="CB77" i="113"/>
  <c r="CB95" i="113"/>
  <c r="CB96" i="113"/>
  <c r="CB16" i="113"/>
  <c r="CB34" i="113"/>
  <c r="CB22" i="113"/>
  <c r="CB18" i="113"/>
  <c r="CB64" i="113"/>
  <c r="CB40" i="113"/>
  <c r="CB63" i="113"/>
  <c r="CB57" i="113"/>
  <c r="CB73" i="113"/>
  <c r="CB92" i="113"/>
  <c r="CB37" i="113"/>
  <c r="CB29" i="113"/>
  <c r="CB39" i="113"/>
  <c r="CB38" i="113"/>
  <c r="CB49" i="113"/>
  <c r="CB59" i="113"/>
  <c r="CB66" i="113"/>
  <c r="CB82" i="113"/>
  <c r="CD90" i="111"/>
  <c r="CD93" i="111"/>
  <c r="CD73" i="111"/>
  <c r="CD59" i="111"/>
  <c r="CD57" i="111"/>
  <c r="CD72" i="111"/>
  <c r="CD75" i="111"/>
  <c r="CD67" i="111"/>
  <c r="CD62" i="111"/>
  <c r="CD74" i="111"/>
  <c r="CD47" i="111"/>
  <c r="CD80" i="111"/>
  <c r="CD30" i="111"/>
  <c r="CD22" i="111"/>
  <c r="CD55" i="111"/>
  <c r="CD36" i="111"/>
  <c r="CD34" i="111"/>
  <c r="CD13" i="111"/>
  <c r="CD40" i="111"/>
  <c r="CD26" i="111"/>
  <c r="CD16" i="111"/>
  <c r="CD8" i="111"/>
  <c r="CD94" i="111" s="1"/>
  <c r="CD17" i="111"/>
  <c r="CD14" i="111"/>
  <c r="CD24" i="111"/>
  <c r="CE7" i="111"/>
  <c r="CD27" i="111"/>
  <c r="CD64" i="111"/>
  <c r="CD33" i="111"/>
  <c r="CC48" i="111"/>
  <c r="CC73" i="111"/>
  <c r="CC57" i="111"/>
  <c r="CC64" i="111"/>
  <c r="CC89" i="111"/>
  <c r="CC39" i="111"/>
  <c r="CC49" i="111"/>
  <c r="CC69" i="111"/>
  <c r="CC60" i="111"/>
  <c r="CC67" i="111"/>
  <c r="CC97" i="111"/>
  <c r="CC37" i="111"/>
  <c r="CC40" i="111"/>
  <c r="CC42" i="111"/>
  <c r="CC61" i="111"/>
  <c r="CC82" i="111"/>
  <c r="CC63" i="111"/>
  <c r="CC75" i="111"/>
  <c r="CC85" i="111"/>
  <c r="CC14" i="111"/>
  <c r="CC11" i="111"/>
  <c r="CC26" i="111"/>
  <c r="CC58" i="111"/>
  <c r="CC41" i="111"/>
  <c r="CC46" i="111"/>
  <c r="CC96" i="111"/>
  <c r="CC83" i="111"/>
  <c r="CC71" i="111"/>
  <c r="CC84" i="111"/>
  <c r="CC94" i="111"/>
  <c r="CC22" i="111"/>
  <c r="CC44" i="111"/>
  <c r="CC59" i="111"/>
  <c r="CC50" i="111"/>
  <c r="CC51" i="111"/>
  <c r="CC88" i="111"/>
  <c r="CC81" i="111"/>
  <c r="CB30" i="109"/>
  <c r="CB27" i="109"/>
  <c r="CB57" i="109"/>
  <c r="CB40" i="109"/>
  <c r="CB56" i="109"/>
  <c r="CB75" i="109"/>
  <c r="CB73" i="109"/>
  <c r="CB85" i="109"/>
  <c r="CB15" i="109"/>
  <c r="CB17" i="109"/>
  <c r="CB49" i="109"/>
  <c r="CB70" i="109"/>
  <c r="CB74" i="109"/>
  <c r="CB82" i="109"/>
  <c r="CC94" i="109"/>
  <c r="CC97" i="109"/>
  <c r="CC95" i="109"/>
  <c r="CC88" i="109"/>
  <c r="CC83" i="109"/>
  <c r="CC77" i="109"/>
  <c r="CC71" i="109"/>
  <c r="CC85" i="109"/>
  <c r="CC56" i="109"/>
  <c r="CC57" i="109"/>
  <c r="CC79" i="109"/>
  <c r="CC67" i="109"/>
  <c r="CC61" i="109"/>
  <c r="CC47" i="109"/>
  <c r="CC17" i="109"/>
  <c r="CC50" i="109"/>
  <c r="CC29" i="109"/>
  <c r="CC20" i="109"/>
  <c r="CC36" i="109"/>
  <c r="CC18" i="109"/>
  <c r="CC41" i="109"/>
  <c r="CC31" i="109"/>
  <c r="CC42" i="109"/>
  <c r="CC24" i="109"/>
  <c r="CC46" i="109"/>
  <c r="CC45" i="109"/>
  <c r="CC40" i="109"/>
  <c r="CC59" i="109"/>
  <c r="CC8" i="109"/>
  <c r="CC89" i="109" s="1"/>
  <c r="CC16" i="109"/>
  <c r="CC51" i="109"/>
  <c r="CC39" i="109"/>
  <c r="CC11" i="109"/>
  <c r="CC14" i="109"/>
  <c r="CC12" i="109"/>
  <c r="CC13" i="109"/>
  <c r="CD7" i="109"/>
  <c r="CC49" i="109"/>
  <c r="CC48" i="109"/>
  <c r="CC30" i="109"/>
  <c r="CC23" i="109"/>
  <c r="CC15" i="109"/>
  <c r="CC55" i="109"/>
  <c r="CC61" i="107"/>
  <c r="CC37" i="107"/>
  <c r="CC59" i="107"/>
  <c r="CC57" i="107"/>
  <c r="CC68" i="107"/>
  <c r="CC69" i="107"/>
  <c r="CC71" i="107"/>
  <c r="CC95" i="107"/>
  <c r="CC16" i="107"/>
  <c r="CC15" i="107"/>
  <c r="CC20" i="107"/>
  <c r="CC23" i="107"/>
  <c r="CC34" i="107"/>
  <c r="CC73" i="107"/>
  <c r="CC74" i="107"/>
  <c r="CC85" i="107"/>
  <c r="CC75" i="107"/>
  <c r="CC92" i="107"/>
  <c r="CC31" i="107"/>
  <c r="CC25" i="107"/>
  <c r="CC39" i="107"/>
  <c r="CC44" i="107"/>
  <c r="CC49" i="107"/>
  <c r="CC27" i="107"/>
  <c r="CC56" i="107"/>
  <c r="CC72" i="107"/>
  <c r="CC83" i="107"/>
  <c r="CC89" i="107"/>
  <c r="CC18" i="107"/>
  <c r="CC19" i="107"/>
  <c r="CC12" i="107"/>
  <c r="CC58" i="107"/>
  <c r="CC38" i="107"/>
  <c r="CC63" i="107"/>
  <c r="CC45" i="107"/>
  <c r="CC79" i="107"/>
  <c r="CC96" i="107"/>
  <c r="CC81" i="107"/>
  <c r="CC94" i="107"/>
  <c r="CD94" i="107"/>
  <c r="CD92" i="107"/>
  <c r="CD95" i="107"/>
  <c r="CD86" i="107"/>
  <c r="CD90" i="107"/>
  <c r="CD93" i="107"/>
  <c r="CD75" i="107"/>
  <c r="CD91" i="107"/>
  <c r="CD77" i="107"/>
  <c r="CD80" i="107"/>
  <c r="CD74" i="107"/>
  <c r="CD82" i="107"/>
  <c r="CD83" i="107"/>
  <c r="CD69" i="107"/>
  <c r="CD81" i="107"/>
  <c r="CD79" i="107"/>
  <c r="CD70" i="107"/>
  <c r="CD71" i="107"/>
  <c r="CD68" i="107"/>
  <c r="CD59" i="107"/>
  <c r="CD45" i="107"/>
  <c r="CD36" i="107"/>
  <c r="CD27" i="107"/>
  <c r="CD52" i="107"/>
  <c r="CD48" i="107"/>
  <c r="CD39" i="107"/>
  <c r="CD30" i="107"/>
  <c r="CD53" i="107"/>
  <c r="CD64" i="107"/>
  <c r="CD63" i="107"/>
  <c r="CD41" i="107"/>
  <c r="CD46" i="107"/>
  <c r="CD42" i="107"/>
  <c r="CD38" i="107"/>
  <c r="CD50" i="107"/>
  <c r="CD55" i="107"/>
  <c r="CD60" i="107"/>
  <c r="CD58" i="107"/>
  <c r="CD51" i="107"/>
  <c r="CD40" i="107"/>
  <c r="CD37" i="107"/>
  <c r="CD17" i="107"/>
  <c r="CD49" i="107"/>
  <c r="CD20" i="107"/>
  <c r="CD24" i="107"/>
  <c r="CD18" i="107"/>
  <c r="CD34" i="107"/>
  <c r="CD16" i="107"/>
  <c r="CD33" i="107"/>
  <c r="CD23" i="107"/>
  <c r="CD47" i="107"/>
  <c r="CD44" i="107"/>
  <c r="CD15" i="107"/>
  <c r="CD8" i="107"/>
  <c r="CD85" i="107" s="1"/>
  <c r="CD14" i="107"/>
  <c r="CE7" i="107"/>
  <c r="CD12" i="107"/>
  <c r="CD22" i="107"/>
  <c r="CD19" i="107"/>
  <c r="CD11" i="107"/>
  <c r="CD29" i="107"/>
  <c r="CC13" i="107"/>
  <c r="CC29" i="107"/>
  <c r="CC22" i="107"/>
  <c r="CC17" i="107"/>
  <c r="CC42" i="107"/>
  <c r="CC67" i="107"/>
  <c r="CC33" i="107"/>
  <c r="CC52" i="107"/>
  <c r="CC77" i="107"/>
  <c r="CC93" i="107"/>
  <c r="CC34" i="105"/>
  <c r="CC48" i="105"/>
  <c r="CC50" i="105"/>
  <c r="CC46" i="105"/>
  <c r="CC69" i="105"/>
  <c r="CC56" i="105"/>
  <c r="CC81" i="105"/>
  <c r="CC97" i="105"/>
  <c r="CD86" i="105"/>
  <c r="CD90" i="105"/>
  <c r="CD91" i="105"/>
  <c r="CD82" i="105"/>
  <c r="CD62" i="105"/>
  <c r="CD53" i="105"/>
  <c r="CD74" i="105"/>
  <c r="CD63" i="105"/>
  <c r="CD44" i="105"/>
  <c r="CD35" i="105"/>
  <c r="CD28" i="105"/>
  <c r="CD51" i="105"/>
  <c r="CD30" i="105"/>
  <c r="CD48" i="105"/>
  <c r="CD8" i="105"/>
  <c r="CD94" i="105" s="1"/>
  <c r="CD67" i="105"/>
  <c r="CD31" i="105"/>
  <c r="CD36" i="105"/>
  <c r="CD25" i="105"/>
  <c r="CD23" i="105"/>
  <c r="CE7" i="105"/>
  <c r="CD17" i="105"/>
  <c r="CD11" i="105"/>
  <c r="CD33" i="105"/>
  <c r="CC14" i="105"/>
  <c r="CC19" i="105"/>
  <c r="CC24" i="105"/>
  <c r="CC27" i="105"/>
  <c r="CC31" i="105"/>
  <c r="CC44" i="105"/>
  <c r="CC75" i="105"/>
  <c r="CC73" i="105"/>
  <c r="CC82" i="105"/>
  <c r="CC90" i="105"/>
  <c r="CC52" i="103"/>
  <c r="CC67" i="103"/>
  <c r="CC71" i="103"/>
  <c r="CC83" i="103"/>
  <c r="CC90" i="103"/>
  <c r="CC34" i="103"/>
  <c r="CC19" i="103"/>
  <c r="CC23" i="103"/>
  <c r="CC39" i="103"/>
  <c r="CC51" i="103"/>
  <c r="CC60" i="103"/>
  <c r="CC59" i="103"/>
  <c r="CC86" i="103"/>
  <c r="CC88" i="103"/>
  <c r="CC92" i="103"/>
  <c r="CC15" i="103"/>
  <c r="CC24" i="103"/>
  <c r="CC31" i="103"/>
  <c r="CC38" i="103"/>
  <c r="CC66" i="103"/>
  <c r="CC37" i="103"/>
  <c r="CC72" i="103"/>
  <c r="CC68" i="103"/>
  <c r="CC82" i="103"/>
  <c r="CC89" i="103"/>
  <c r="CC12" i="103"/>
  <c r="CC30" i="103"/>
  <c r="CC33" i="103"/>
  <c r="CC63" i="103"/>
  <c r="CC50" i="103"/>
  <c r="CC46" i="103"/>
  <c r="CC69" i="103"/>
  <c r="CC73" i="103"/>
  <c r="CC79" i="103"/>
  <c r="CC97" i="103"/>
  <c r="CC20" i="103"/>
  <c r="CC11" i="103"/>
  <c r="CC16" i="103"/>
  <c r="CC41" i="103"/>
  <c r="CC57" i="103"/>
  <c r="CC64" i="103"/>
  <c r="CC78" i="103"/>
  <c r="CC96" i="103"/>
  <c r="CC75" i="103"/>
  <c r="CC85" i="103"/>
  <c r="CC26" i="103"/>
  <c r="CC29" i="103"/>
  <c r="CC25" i="103"/>
  <c r="CC53" i="103"/>
  <c r="CC47" i="103"/>
  <c r="CC55" i="103"/>
  <c r="CC81" i="103"/>
  <c r="CC61" i="103"/>
  <c r="CC84" i="103"/>
  <c r="CC94" i="103"/>
  <c r="CD97" i="103"/>
  <c r="CD90" i="103"/>
  <c r="CD93" i="103"/>
  <c r="CD88" i="103"/>
  <c r="CD83" i="103"/>
  <c r="CD91" i="103"/>
  <c r="CD73" i="103"/>
  <c r="CD74" i="103"/>
  <c r="CD66" i="103"/>
  <c r="CD75" i="103"/>
  <c r="CD69" i="103"/>
  <c r="CD78" i="103"/>
  <c r="CD63" i="103"/>
  <c r="CD60" i="103"/>
  <c r="CD68" i="103"/>
  <c r="CD61" i="103"/>
  <c r="CD58" i="103"/>
  <c r="CD84" i="103"/>
  <c r="CD52" i="103"/>
  <c r="CD47" i="103"/>
  <c r="CD38" i="103"/>
  <c r="CD81" i="103"/>
  <c r="CD45" i="103"/>
  <c r="CD35" i="103"/>
  <c r="CD44" i="103"/>
  <c r="CD41" i="103"/>
  <c r="CD46" i="103"/>
  <c r="CD51" i="103"/>
  <c r="CD27" i="103"/>
  <c r="CD22" i="103"/>
  <c r="CD34" i="103"/>
  <c r="CD28" i="103"/>
  <c r="CD39" i="103"/>
  <c r="CD29" i="103"/>
  <c r="CD11" i="103"/>
  <c r="CD24" i="103"/>
  <c r="CD18" i="103"/>
  <c r="CD14" i="103"/>
  <c r="CE7" i="103"/>
  <c r="CD17" i="103"/>
  <c r="CD42" i="103"/>
  <c r="CD31" i="103"/>
  <c r="CD20" i="103"/>
  <c r="CD12" i="103"/>
  <c r="CD16" i="103"/>
  <c r="CD8" i="103"/>
  <c r="CD89" i="103" s="1"/>
  <c r="CD37" i="103"/>
  <c r="CD33" i="103"/>
  <c r="CD23" i="103"/>
  <c r="CD13" i="103"/>
  <c r="CC35" i="103"/>
  <c r="CC27" i="103"/>
  <c r="CC58" i="103"/>
  <c r="CC44" i="103"/>
  <c r="CC74" i="103"/>
  <c r="CC62" i="103"/>
  <c r="CC70" i="103"/>
  <c r="CC93" i="103"/>
  <c r="CB13" i="101"/>
  <c r="CB11" i="101"/>
  <c r="CB31" i="101"/>
  <c r="CB53" i="101"/>
  <c r="CB45" i="101"/>
  <c r="CB59" i="101"/>
  <c r="CB64" i="101"/>
  <c r="CB51" i="101"/>
  <c r="CB81" i="101"/>
  <c r="CB86" i="101"/>
  <c r="CB96" i="101"/>
  <c r="CB12" i="101"/>
  <c r="CB27" i="101"/>
  <c r="CB23" i="101"/>
  <c r="CB28" i="101"/>
  <c r="CB39" i="101"/>
  <c r="CB52" i="101"/>
  <c r="CB67" i="101"/>
  <c r="CB70" i="101"/>
  <c r="CB82" i="101"/>
  <c r="CB89" i="101"/>
  <c r="CB33" i="101"/>
  <c r="CB36" i="101"/>
  <c r="CB34" i="101"/>
  <c r="CB48" i="101"/>
  <c r="CB40" i="101"/>
  <c r="CB71" i="101"/>
  <c r="CB74" i="101"/>
  <c r="CB79" i="101"/>
  <c r="CB97" i="101"/>
  <c r="CC91" i="101"/>
  <c r="CC90" i="101"/>
  <c r="CC96" i="101"/>
  <c r="CC85" i="101"/>
  <c r="CC81" i="101"/>
  <c r="CC55" i="101"/>
  <c r="CC72" i="101"/>
  <c r="CC44" i="101"/>
  <c r="CC59" i="101"/>
  <c r="CC70" i="101"/>
  <c r="CC57" i="101"/>
  <c r="CC38" i="101"/>
  <c r="CC34" i="101"/>
  <c r="CC40" i="101"/>
  <c r="CC58" i="101"/>
  <c r="CC20" i="101"/>
  <c r="CC26" i="101"/>
  <c r="CD7" i="101"/>
  <c r="CC22" i="101"/>
  <c r="CC8" i="101"/>
  <c r="CC97" i="101" s="1"/>
  <c r="CC16" i="101"/>
  <c r="CC11" i="101"/>
  <c r="CB55" i="101"/>
  <c r="CB42" i="101"/>
  <c r="CB46" i="101"/>
  <c r="CB50" i="101"/>
  <c r="CB49" i="101"/>
  <c r="CB72" i="101"/>
  <c r="CB83" i="101"/>
  <c r="CB75" i="101"/>
  <c r="CB94" i="101"/>
  <c r="CB14" i="101"/>
  <c r="CB26" i="101"/>
  <c r="CB29" i="101"/>
  <c r="CB66" i="101"/>
  <c r="CB38" i="101"/>
  <c r="CB56" i="101"/>
  <c r="CB63" i="101"/>
  <c r="CB73" i="101"/>
  <c r="CB84" i="101"/>
  <c r="CB91" i="101"/>
  <c r="CB18" i="101"/>
  <c r="CB19" i="101"/>
  <c r="CB20" i="101"/>
  <c r="CB35" i="101"/>
  <c r="CB25" i="101"/>
  <c r="CB47" i="101"/>
  <c r="CB68" i="101"/>
  <c r="CB77" i="101"/>
  <c r="CB78" i="101"/>
  <c r="CB93" i="101"/>
  <c r="CB57" i="99"/>
  <c r="CB56" i="99"/>
  <c r="CB63" i="99"/>
  <c r="CB72" i="99"/>
  <c r="CB80" i="99"/>
  <c r="CB94" i="99"/>
  <c r="CB50" i="99"/>
  <c r="CB64" i="99"/>
  <c r="CB68" i="99"/>
  <c r="CB81" i="99"/>
  <c r="CB90" i="99"/>
  <c r="CB91" i="99"/>
  <c r="CB14" i="99"/>
  <c r="CB28" i="99"/>
  <c r="CB26" i="99"/>
  <c r="CB45" i="99"/>
  <c r="CB62" i="99"/>
  <c r="CB58" i="99"/>
  <c r="CB70" i="99"/>
  <c r="CB78" i="99"/>
  <c r="CB95" i="99"/>
  <c r="CB96" i="99"/>
  <c r="CC91" i="99"/>
  <c r="CC90" i="99"/>
  <c r="CC72" i="99"/>
  <c r="CC73" i="99"/>
  <c r="CC52" i="99"/>
  <c r="CC68" i="99"/>
  <c r="CC60" i="99"/>
  <c r="CC44" i="99"/>
  <c r="CC34" i="99"/>
  <c r="CD7" i="99"/>
  <c r="CC22" i="99"/>
  <c r="CC8" i="99"/>
  <c r="CC85" i="99" s="1"/>
  <c r="CC48" i="99"/>
  <c r="CC15" i="99"/>
  <c r="CB42" i="99"/>
  <c r="CB31" i="99"/>
  <c r="CB47" i="99"/>
  <c r="CB93" i="99"/>
  <c r="CB73" i="99"/>
  <c r="CB79" i="99"/>
  <c r="CB66" i="99"/>
  <c r="CB92" i="99"/>
  <c r="CB18" i="99"/>
  <c r="CB20" i="99"/>
  <c r="CB53" i="99"/>
  <c r="CB34" i="99"/>
  <c r="CB33" i="99"/>
  <c r="CB44" i="99"/>
  <c r="CB51" i="99"/>
  <c r="CB75" i="99"/>
  <c r="CB83" i="99"/>
  <c r="CB35" i="97"/>
  <c r="CB41" i="97"/>
  <c r="CB38" i="97"/>
  <c r="CB52" i="97"/>
  <c r="CB70" i="97"/>
  <c r="CB60" i="97"/>
  <c r="CB75" i="97"/>
  <c r="CB90" i="97"/>
  <c r="CB91" i="97"/>
  <c r="CB19" i="97"/>
  <c r="CB18" i="97"/>
  <c r="CB37" i="97"/>
  <c r="CB42" i="97"/>
  <c r="CB59" i="97"/>
  <c r="CB55" i="97"/>
  <c r="CB73" i="97"/>
  <c r="CB63" i="97"/>
  <c r="CB72" i="97"/>
  <c r="CB86" i="97"/>
  <c r="CB88" i="97"/>
  <c r="CB45" i="97"/>
  <c r="CB31" i="97"/>
  <c r="CB47" i="97"/>
  <c r="CB61" i="97"/>
  <c r="CB26" i="97"/>
  <c r="CB40" i="97"/>
  <c r="CB93" i="97"/>
  <c r="CB82" i="97"/>
  <c r="CB81" i="97"/>
  <c r="CB95" i="97"/>
  <c r="CB96" i="97"/>
  <c r="CB56" i="97"/>
  <c r="CB30" i="97"/>
  <c r="CB22" i="97"/>
  <c r="CB24" i="97"/>
  <c r="CB29" i="97"/>
  <c r="CB84" i="97"/>
  <c r="CB50" i="97"/>
  <c r="CB57" i="97"/>
  <c r="CB69" i="97"/>
  <c r="CB92" i="97"/>
  <c r="CB39" i="97"/>
  <c r="CB64" i="97"/>
  <c r="CB25" i="97"/>
  <c r="CB74" i="97"/>
  <c r="CC94" i="97"/>
  <c r="CC85" i="97"/>
  <c r="CC97" i="97"/>
  <c r="CC89" i="97"/>
  <c r="CC95" i="97"/>
  <c r="CC86" i="97"/>
  <c r="CC93" i="97"/>
  <c r="CC83" i="97"/>
  <c r="CC74" i="97"/>
  <c r="CC66" i="97"/>
  <c r="CC81" i="97"/>
  <c r="CC72" i="97"/>
  <c r="CC84" i="97"/>
  <c r="CC75" i="97"/>
  <c r="CC67" i="97"/>
  <c r="CC88" i="97"/>
  <c r="CC82" i="97"/>
  <c r="CC71" i="97"/>
  <c r="CC77" i="97"/>
  <c r="CC55" i="97"/>
  <c r="CC96" i="97"/>
  <c r="CC58" i="97"/>
  <c r="CC62" i="97"/>
  <c r="CC52" i="97"/>
  <c r="CC79" i="97"/>
  <c r="CC68" i="97"/>
  <c r="CC64" i="97"/>
  <c r="CC59" i="97"/>
  <c r="CC51" i="97"/>
  <c r="CC37" i="97"/>
  <c r="CC70" i="97"/>
  <c r="CC80" i="97"/>
  <c r="CC48" i="97"/>
  <c r="CC35" i="97"/>
  <c r="CC41" i="97"/>
  <c r="CC38" i="97"/>
  <c r="CC69" i="97"/>
  <c r="CC53" i="97"/>
  <c r="CC29" i="97"/>
  <c r="CC26" i="97"/>
  <c r="CC17" i="97"/>
  <c r="CC36" i="97"/>
  <c r="CC33" i="97"/>
  <c r="CC15" i="97"/>
  <c r="CC61" i="97"/>
  <c r="CC42" i="97"/>
  <c r="CC50" i="97"/>
  <c r="CC46" i="97"/>
  <c r="CC34" i="97"/>
  <c r="CC27" i="97"/>
  <c r="CC22" i="97"/>
  <c r="CC40" i="97"/>
  <c r="CC18" i="97"/>
  <c r="CC14" i="97"/>
  <c r="CC49" i="97"/>
  <c r="CC39" i="97"/>
  <c r="CC31" i="97"/>
  <c r="CD7" i="97"/>
  <c r="CC20" i="97"/>
  <c r="CC13" i="97"/>
  <c r="CC16" i="97"/>
  <c r="CC11" i="97"/>
  <c r="CC23" i="97"/>
  <c r="CC19" i="97"/>
  <c r="CC12" i="97"/>
  <c r="CC8" i="97"/>
  <c r="CC92" i="97" s="1"/>
  <c r="CC30" i="97"/>
  <c r="CB68" i="97"/>
  <c r="CB44" i="97"/>
  <c r="CB67" i="97"/>
  <c r="CB78" i="97"/>
  <c r="CB89" i="97"/>
  <c r="CB17" i="97"/>
  <c r="CB11" i="97"/>
  <c r="CB27" i="97"/>
  <c r="CB12" i="97"/>
  <c r="CB14" i="97"/>
  <c r="CB79" i="97"/>
  <c r="CB58" i="97"/>
  <c r="CB53" i="97"/>
  <c r="CB83" i="97"/>
  <c r="CB97" i="97"/>
  <c r="CB16" i="97"/>
  <c r="CB15" i="97"/>
  <c r="CB28" i="97"/>
  <c r="CB20" i="97"/>
  <c r="CB23" i="97"/>
  <c r="CB34" i="97"/>
  <c r="CB49" i="97"/>
  <c r="CB62" i="97"/>
  <c r="CB71" i="97"/>
  <c r="CE8" i="95"/>
  <c r="CE94" i="95" s="1"/>
  <c r="CF7" i="95"/>
  <c r="CC14" i="59" l="1"/>
  <c r="CC12" i="59"/>
  <c r="CC82" i="59"/>
  <c r="CC11" i="59"/>
  <c r="CC31" i="59"/>
  <c r="CC81" i="59"/>
  <c r="CC80" i="59"/>
  <c r="CC20" i="59"/>
  <c r="CC19" i="59"/>
  <c r="CC15" i="59"/>
  <c r="CC34" i="59"/>
  <c r="CC67" i="59"/>
  <c r="CC56" i="59"/>
  <c r="CC84" i="59"/>
  <c r="CC18" i="59"/>
  <c r="CC36" i="59"/>
  <c r="CC46" i="59"/>
  <c r="CC66" i="59"/>
  <c r="CC72" i="59"/>
  <c r="CC90" i="59"/>
  <c r="CC33" i="59"/>
  <c r="CC26" i="59"/>
  <c r="CC57" i="59"/>
  <c r="CC55" i="59"/>
  <c r="CC92" i="59"/>
  <c r="CC60" i="59"/>
  <c r="CC71" i="59"/>
  <c r="CC94" i="59"/>
  <c r="CC27" i="59"/>
  <c r="CC41" i="59"/>
  <c r="CC28" i="59"/>
  <c r="CC53" i="59"/>
  <c r="CC70" i="59"/>
  <c r="CC42" i="59"/>
  <c r="CC47" i="59"/>
  <c r="CC30" i="59"/>
  <c r="CC69" i="59"/>
  <c r="CC59" i="59"/>
  <c r="CC48" i="59"/>
  <c r="CC77" i="59"/>
  <c r="CC78" i="59"/>
  <c r="CC79" i="59"/>
  <c r="CC95" i="59"/>
  <c r="CC16" i="59"/>
  <c r="CC17" i="59"/>
  <c r="CC35" i="59"/>
  <c r="CC49" i="59"/>
  <c r="CC63" i="59"/>
  <c r="CC85" i="59"/>
  <c r="CC64" i="59"/>
  <c r="CC88" i="59"/>
  <c r="CC89" i="59"/>
  <c r="CC29" i="59"/>
  <c r="CC24" i="59"/>
  <c r="CC39" i="59"/>
  <c r="CC44" i="59"/>
  <c r="CC52" i="59"/>
  <c r="CC45" i="59"/>
  <c r="CC74" i="59"/>
  <c r="CC68" i="59"/>
  <c r="CC75" i="59"/>
  <c r="CC97" i="59"/>
  <c r="CD8" i="59"/>
  <c r="CD95" i="59" s="1"/>
  <c r="CE7" i="59"/>
  <c r="CD11" i="59"/>
  <c r="CC25" i="59"/>
  <c r="CC13" i="59"/>
  <c r="CC22" i="59"/>
  <c r="CC23" i="59"/>
  <c r="CC40" i="59"/>
  <c r="CC51" i="59"/>
  <c r="CC50" i="59"/>
  <c r="CC83" i="59"/>
  <c r="CC61" i="59"/>
  <c r="CC93" i="59"/>
  <c r="CC91" i="59"/>
  <c r="CC37" i="59"/>
  <c r="CC73" i="59"/>
  <c r="CC62" i="59"/>
  <c r="CC58" i="59"/>
  <c r="CC96" i="59"/>
  <c r="CC23" i="113"/>
  <c r="CC36" i="113"/>
  <c r="CC30" i="113"/>
  <c r="CC29" i="113"/>
  <c r="CC63" i="113"/>
  <c r="CC71" i="113"/>
  <c r="CC96" i="113"/>
  <c r="CC82" i="113"/>
  <c r="CC97" i="113"/>
  <c r="CC14" i="113"/>
  <c r="CC24" i="113"/>
  <c r="CC20" i="113"/>
  <c r="CC46" i="113"/>
  <c r="CC48" i="113"/>
  <c r="CC47" i="113"/>
  <c r="CC59" i="113"/>
  <c r="CC84" i="113"/>
  <c r="CC60" i="113"/>
  <c r="CC79" i="113"/>
  <c r="CC94" i="113"/>
  <c r="CC26" i="113"/>
  <c r="CC34" i="113"/>
  <c r="CC51" i="113"/>
  <c r="CC45" i="113"/>
  <c r="CC56" i="113"/>
  <c r="CC67" i="113"/>
  <c r="CC61" i="113"/>
  <c r="CC69" i="113"/>
  <c r="CC90" i="113"/>
  <c r="CC91" i="113"/>
  <c r="CD85" i="113"/>
  <c r="CD88" i="113"/>
  <c r="CD75" i="113"/>
  <c r="CD67" i="113"/>
  <c r="CD47" i="113"/>
  <c r="CD66" i="113"/>
  <c r="CD44" i="113"/>
  <c r="CD58" i="113"/>
  <c r="CD55" i="113"/>
  <c r="CD17" i="113"/>
  <c r="CD8" i="113"/>
  <c r="CD97" i="113" s="1"/>
  <c r="CE7" i="113"/>
  <c r="CD12" i="113"/>
  <c r="CC55" i="113"/>
  <c r="CC37" i="113"/>
  <c r="CC31" i="113"/>
  <c r="CC53" i="113"/>
  <c r="CC44" i="113"/>
  <c r="CC62" i="113"/>
  <c r="CC70" i="113"/>
  <c r="CC78" i="113"/>
  <c r="CC86" i="113"/>
  <c r="CC17" i="113"/>
  <c r="CC16" i="113"/>
  <c r="CC33" i="113"/>
  <c r="CC22" i="113"/>
  <c r="CC41" i="113"/>
  <c r="CC57" i="113"/>
  <c r="CC52" i="113"/>
  <c r="CC72" i="113"/>
  <c r="CC80" i="113"/>
  <c r="CC95" i="113"/>
  <c r="CC11" i="113"/>
  <c r="CC18" i="113"/>
  <c r="CC19" i="113"/>
  <c r="CC27" i="113"/>
  <c r="CC50" i="113"/>
  <c r="CC49" i="113"/>
  <c r="CC58" i="113"/>
  <c r="CC81" i="113"/>
  <c r="CC77" i="113"/>
  <c r="CD60" i="111"/>
  <c r="CD81" i="111"/>
  <c r="CD95" i="111"/>
  <c r="CE95" i="111"/>
  <c r="CE86" i="111"/>
  <c r="CE73" i="111"/>
  <c r="CE78" i="111"/>
  <c r="CE36" i="111"/>
  <c r="CE63" i="111"/>
  <c r="CE60" i="111"/>
  <c r="CE57" i="111"/>
  <c r="CE85" i="111"/>
  <c r="CE61" i="111"/>
  <c r="CE71" i="111"/>
  <c r="CE64" i="111"/>
  <c r="CE59" i="111"/>
  <c r="CE34" i="111"/>
  <c r="CE74" i="111"/>
  <c r="CE83" i="111"/>
  <c r="CE48" i="111"/>
  <c r="CE40" i="111"/>
  <c r="CE37" i="111"/>
  <c r="CE28" i="111"/>
  <c r="CE44" i="111"/>
  <c r="CE26" i="111"/>
  <c r="CE41" i="111"/>
  <c r="CE31" i="111"/>
  <c r="CE69" i="111"/>
  <c r="CE30" i="111"/>
  <c r="CE11" i="111"/>
  <c r="CE35" i="111"/>
  <c r="CE84" i="111"/>
  <c r="CE20" i="111"/>
  <c r="CE33" i="111"/>
  <c r="CE27" i="111"/>
  <c r="CE24" i="111"/>
  <c r="CE18" i="111"/>
  <c r="CE29" i="111"/>
  <c r="CE8" i="111"/>
  <c r="CE93" i="111" s="1"/>
  <c r="CE17" i="111"/>
  <c r="CE23" i="111"/>
  <c r="CD46" i="111"/>
  <c r="CD23" i="111"/>
  <c r="CD39" i="111"/>
  <c r="CD78" i="111"/>
  <c r="CD91" i="111"/>
  <c r="CD63" i="111"/>
  <c r="CD70" i="111"/>
  <c r="CD92" i="111"/>
  <c r="CD15" i="111"/>
  <c r="CD29" i="111"/>
  <c r="CD11" i="111"/>
  <c r="CD31" i="111"/>
  <c r="CD38" i="111"/>
  <c r="CD49" i="111"/>
  <c r="CD69" i="111"/>
  <c r="CD71" i="111"/>
  <c r="CD79" i="111"/>
  <c r="CD89" i="111"/>
  <c r="CD20" i="111"/>
  <c r="CD37" i="111"/>
  <c r="CD42" i="111"/>
  <c r="CD45" i="111"/>
  <c r="CD77" i="111"/>
  <c r="CD52" i="111"/>
  <c r="CD82" i="111"/>
  <c r="CD96" i="111"/>
  <c r="CD88" i="111"/>
  <c r="CD97" i="111"/>
  <c r="CD28" i="111"/>
  <c r="CD35" i="111"/>
  <c r="CD51" i="111"/>
  <c r="CD44" i="111"/>
  <c r="CD48" i="111"/>
  <c r="CD58" i="111"/>
  <c r="CD56" i="111"/>
  <c r="CD83" i="111"/>
  <c r="CD41" i="111"/>
  <c r="CD84" i="111"/>
  <c r="CD85" i="111"/>
  <c r="CD12" i="111"/>
  <c r="CD18" i="111"/>
  <c r="CD19" i="111"/>
  <c r="CD53" i="111"/>
  <c r="CD25" i="111"/>
  <c r="CD68" i="111"/>
  <c r="CD61" i="111"/>
  <c r="CD66" i="111"/>
  <c r="CD50" i="111"/>
  <c r="CD86" i="111"/>
  <c r="CC69" i="109"/>
  <c r="CC62" i="109"/>
  <c r="CC38" i="109"/>
  <c r="CC53" i="109"/>
  <c r="CC63" i="109"/>
  <c r="CC81" i="109"/>
  <c r="CC82" i="109"/>
  <c r="CC91" i="109"/>
  <c r="CC58" i="109"/>
  <c r="CC60" i="109"/>
  <c r="CC93" i="109"/>
  <c r="CC96" i="109"/>
  <c r="CD89" i="109"/>
  <c r="CD92" i="109"/>
  <c r="CD91" i="109"/>
  <c r="CD96" i="109"/>
  <c r="CD71" i="109"/>
  <c r="CD74" i="109"/>
  <c r="CD59" i="109"/>
  <c r="CD79" i="109"/>
  <c r="CD93" i="109"/>
  <c r="CD73" i="109"/>
  <c r="CD61" i="109"/>
  <c r="CD72" i="109"/>
  <c r="CD66" i="109"/>
  <c r="CD38" i="109"/>
  <c r="CD78" i="109"/>
  <c r="CD33" i="109"/>
  <c r="CD24" i="109"/>
  <c r="CD45" i="109"/>
  <c r="CD53" i="109"/>
  <c r="CD37" i="109"/>
  <c r="CD56" i="109"/>
  <c r="CD75" i="109"/>
  <c r="CD40" i="109"/>
  <c r="CD58" i="109"/>
  <c r="CD31" i="109"/>
  <c r="CD23" i="109"/>
  <c r="CE7" i="109"/>
  <c r="CD35" i="109"/>
  <c r="CD49" i="109"/>
  <c r="CD19" i="109"/>
  <c r="CD36" i="109"/>
  <c r="CD8" i="109"/>
  <c r="CD95" i="109" s="1"/>
  <c r="CC19" i="109"/>
  <c r="CC34" i="109"/>
  <c r="CC25" i="109"/>
  <c r="CC28" i="109"/>
  <c r="CC27" i="109"/>
  <c r="CC66" i="109"/>
  <c r="CC84" i="109"/>
  <c r="CC74" i="109"/>
  <c r="CC68" i="109"/>
  <c r="CC86" i="109"/>
  <c r="CC44" i="109"/>
  <c r="CC33" i="109"/>
  <c r="CC52" i="109"/>
  <c r="CC26" i="109"/>
  <c r="CC75" i="109"/>
  <c r="CC70" i="109"/>
  <c r="CC80" i="109"/>
  <c r="CC92" i="109"/>
  <c r="CC22" i="109"/>
  <c r="CC73" i="109"/>
  <c r="CC37" i="109"/>
  <c r="CC64" i="109"/>
  <c r="CC35" i="109"/>
  <c r="CC78" i="109"/>
  <c r="CC72" i="109"/>
  <c r="CC90" i="109"/>
  <c r="CE96" i="107"/>
  <c r="CE85" i="107"/>
  <c r="CE74" i="107"/>
  <c r="CE39" i="107"/>
  <c r="CE94" i="107"/>
  <c r="CE66" i="107"/>
  <c r="CE64" i="107"/>
  <c r="CE72" i="107"/>
  <c r="CE55" i="107"/>
  <c r="CE56" i="107"/>
  <c r="CE20" i="107"/>
  <c r="CE58" i="107"/>
  <c r="CE18" i="107"/>
  <c r="CE22" i="107"/>
  <c r="CE41" i="107"/>
  <c r="CE44" i="107"/>
  <c r="CE8" i="107"/>
  <c r="CE97" i="107" s="1"/>
  <c r="CE13" i="107"/>
  <c r="CE26" i="107"/>
  <c r="CE17" i="107"/>
  <c r="CE12" i="107"/>
  <c r="CE28" i="107"/>
  <c r="CE11" i="107"/>
  <c r="CD84" i="107"/>
  <c r="CD89" i="107"/>
  <c r="CD13" i="107"/>
  <c r="CD25" i="107"/>
  <c r="CD26" i="107"/>
  <c r="CD67" i="107"/>
  <c r="CD78" i="107"/>
  <c r="CD57" i="107"/>
  <c r="CD56" i="107"/>
  <c r="CD72" i="107"/>
  <c r="CD88" i="107"/>
  <c r="CD97" i="107"/>
  <c r="CD31" i="107"/>
  <c r="CD28" i="107"/>
  <c r="CD35" i="107"/>
  <c r="CD61" i="107"/>
  <c r="CD73" i="107"/>
  <c r="CD62" i="107"/>
  <c r="CD66" i="107"/>
  <c r="CD96" i="107"/>
  <c r="CD19" i="105"/>
  <c r="CD70" i="105"/>
  <c r="CD16" i="105"/>
  <c r="CD34" i="105"/>
  <c r="CD56" i="105"/>
  <c r="CD49" i="105"/>
  <c r="CD79" i="105"/>
  <c r="CD96" i="105"/>
  <c r="CD75" i="105"/>
  <c r="CD95" i="105"/>
  <c r="CD37" i="105"/>
  <c r="CD83" i="105"/>
  <c r="CD52" i="105"/>
  <c r="CD60" i="105"/>
  <c r="CD59" i="105"/>
  <c r="CD84" i="105"/>
  <c r="CD92" i="105"/>
  <c r="CD27" i="105"/>
  <c r="CD13" i="105"/>
  <c r="CD18" i="105"/>
  <c r="CD41" i="105"/>
  <c r="CD45" i="105"/>
  <c r="CD61" i="105"/>
  <c r="CD69" i="105"/>
  <c r="CD68" i="105"/>
  <c r="CD72" i="105"/>
  <c r="CD89" i="105"/>
  <c r="CD39" i="105"/>
  <c r="CD22" i="105"/>
  <c r="CD50" i="105"/>
  <c r="CD26" i="105"/>
  <c r="CD38" i="105"/>
  <c r="CD64" i="105"/>
  <c r="CD78" i="105"/>
  <c r="CD71" i="105"/>
  <c r="CD81" i="105"/>
  <c r="CD97" i="105"/>
  <c r="CD12" i="105"/>
  <c r="CE89" i="105"/>
  <c r="CE85" i="105"/>
  <c r="CE8" i="105"/>
  <c r="CE92" i="105" s="1"/>
  <c r="CE16" i="105"/>
  <c r="CE25" i="105"/>
  <c r="CD24" i="105"/>
  <c r="CD15" i="105"/>
  <c r="CD42" i="105"/>
  <c r="CD47" i="105"/>
  <c r="CD58" i="105"/>
  <c r="CD66" i="105"/>
  <c r="CD80" i="105"/>
  <c r="CD88" i="105"/>
  <c r="CD85" i="105"/>
  <c r="CD20" i="105"/>
  <c r="CD14" i="105"/>
  <c r="CD29" i="105"/>
  <c r="CD40" i="105"/>
  <c r="CD46" i="105"/>
  <c r="CD57" i="105"/>
  <c r="CD55" i="105"/>
  <c r="CD73" i="105"/>
  <c r="CD77" i="105"/>
  <c r="CD93" i="105"/>
  <c r="CD30" i="103"/>
  <c r="CD53" i="103"/>
  <c r="CD55" i="103"/>
  <c r="CD57" i="103"/>
  <c r="CD72" i="103"/>
  <c r="CD85" i="103"/>
  <c r="CD96" i="103"/>
  <c r="CD94" i="103"/>
  <c r="CD25" i="103"/>
  <c r="CD26" i="103"/>
  <c r="CD36" i="103"/>
  <c r="CD59" i="103"/>
  <c r="CD40" i="103"/>
  <c r="CD67" i="103"/>
  <c r="CD62" i="103"/>
  <c r="CD80" i="103"/>
  <c r="CD86" i="103"/>
  <c r="CD15" i="103"/>
  <c r="CE86" i="103"/>
  <c r="CE83" i="103"/>
  <c r="CE77" i="103"/>
  <c r="CE67" i="103"/>
  <c r="CE52" i="103"/>
  <c r="CE45" i="103"/>
  <c r="CE51" i="103"/>
  <c r="CE31" i="103"/>
  <c r="CE35" i="103"/>
  <c r="CE19" i="103"/>
  <c r="CE34" i="103"/>
  <c r="CE8" i="103"/>
  <c r="CE93" i="103" s="1"/>
  <c r="CE27" i="103"/>
  <c r="CE17" i="103"/>
  <c r="CD19" i="103"/>
  <c r="CD48" i="103"/>
  <c r="CD50" i="103"/>
  <c r="CD49" i="103"/>
  <c r="CD70" i="103"/>
  <c r="CD71" i="103"/>
  <c r="CD77" i="103"/>
  <c r="CD95" i="103"/>
  <c r="CD56" i="103"/>
  <c r="CD82" i="103"/>
  <c r="CD92" i="103"/>
  <c r="CD64" i="103"/>
  <c r="CD79" i="103"/>
  <c r="CD95" i="101"/>
  <c r="CD86" i="101"/>
  <c r="CD90" i="101"/>
  <c r="CD96" i="101"/>
  <c r="CD79" i="101"/>
  <c r="CD71" i="101"/>
  <c r="CD67" i="101"/>
  <c r="CD58" i="101"/>
  <c r="CD61" i="101"/>
  <c r="CD88" i="101"/>
  <c r="CD52" i="101"/>
  <c r="CD47" i="101"/>
  <c r="CD45" i="101"/>
  <c r="CD36" i="101"/>
  <c r="CD74" i="101"/>
  <c r="CD46" i="101"/>
  <c r="CD39" i="101"/>
  <c r="CD34" i="101"/>
  <c r="CD26" i="101"/>
  <c r="CD73" i="101"/>
  <c r="CD42" i="101"/>
  <c r="CD35" i="101"/>
  <c r="CD44" i="101"/>
  <c r="CD33" i="101"/>
  <c r="CD17" i="101"/>
  <c r="CD12" i="101"/>
  <c r="CD20" i="101"/>
  <c r="CD8" i="101"/>
  <c r="CD94" i="101" s="1"/>
  <c r="CD24" i="101"/>
  <c r="CD23" i="101"/>
  <c r="CD13" i="101"/>
  <c r="CE7" i="101"/>
  <c r="CC13" i="101"/>
  <c r="CC24" i="101"/>
  <c r="CC25" i="101"/>
  <c r="CC49" i="101"/>
  <c r="CC28" i="101"/>
  <c r="CC42" i="101"/>
  <c r="CC47" i="101"/>
  <c r="CC71" i="101"/>
  <c r="CC78" i="101"/>
  <c r="CC88" i="101"/>
  <c r="CC94" i="101"/>
  <c r="CC14" i="101"/>
  <c r="CC30" i="101"/>
  <c r="CC48" i="101"/>
  <c r="CC39" i="101"/>
  <c r="CC53" i="101"/>
  <c r="CC68" i="101"/>
  <c r="CC63" i="101"/>
  <c r="CC93" i="101"/>
  <c r="CC86" i="101"/>
  <c r="CC18" i="101"/>
  <c r="CC19" i="101"/>
  <c r="CC37" i="101"/>
  <c r="CC56" i="101"/>
  <c r="CC46" i="101"/>
  <c r="CC84" i="101"/>
  <c r="CC64" i="101"/>
  <c r="CC75" i="101"/>
  <c r="CC80" i="101"/>
  <c r="CC95" i="101"/>
  <c r="CC15" i="101"/>
  <c r="CC27" i="101"/>
  <c r="CC36" i="101"/>
  <c r="CC60" i="101"/>
  <c r="CC66" i="101"/>
  <c r="CC41" i="101"/>
  <c r="CC52" i="101"/>
  <c r="CC74" i="101"/>
  <c r="CC77" i="101"/>
  <c r="CC92" i="101"/>
  <c r="CC12" i="101"/>
  <c r="CC62" i="101"/>
  <c r="CC29" i="101"/>
  <c r="CC23" i="101"/>
  <c r="CC45" i="101"/>
  <c r="CC50" i="101"/>
  <c r="CC61" i="101"/>
  <c r="CC83" i="101"/>
  <c r="CC82" i="101"/>
  <c r="CC89" i="101"/>
  <c r="CC17" i="101"/>
  <c r="CC35" i="101"/>
  <c r="CC33" i="101"/>
  <c r="CC31" i="101"/>
  <c r="CC51" i="101"/>
  <c r="CC69" i="101"/>
  <c r="CC67" i="101"/>
  <c r="CC73" i="101"/>
  <c r="CC79" i="101"/>
  <c r="CC16" i="99"/>
  <c r="CC18" i="99"/>
  <c r="CC24" i="99"/>
  <c r="CC33" i="99"/>
  <c r="CC49" i="99"/>
  <c r="CC47" i="99"/>
  <c r="CC77" i="99"/>
  <c r="CC64" i="99"/>
  <c r="CC63" i="99"/>
  <c r="CC93" i="99"/>
  <c r="CC94" i="99"/>
  <c r="CC13" i="99"/>
  <c r="CC12" i="99"/>
  <c r="CC11" i="99"/>
  <c r="CC20" i="99"/>
  <c r="CC67" i="99"/>
  <c r="CC41" i="99"/>
  <c r="CC61" i="99"/>
  <c r="CC82" i="99"/>
  <c r="CC81" i="99"/>
  <c r="CC86" i="99"/>
  <c r="CC23" i="99"/>
  <c r="CC17" i="99"/>
  <c r="CC35" i="99"/>
  <c r="CC29" i="99"/>
  <c r="CC39" i="99"/>
  <c r="CC57" i="99"/>
  <c r="CC58" i="99"/>
  <c r="CC70" i="99"/>
  <c r="CC69" i="99"/>
  <c r="CC95" i="99"/>
  <c r="CC19" i="99"/>
  <c r="CC25" i="99"/>
  <c r="CC30" i="99"/>
  <c r="CC42" i="99"/>
  <c r="CC51" i="99"/>
  <c r="CC38" i="99"/>
  <c r="CC71" i="99"/>
  <c r="CC79" i="99"/>
  <c r="CC78" i="99"/>
  <c r="CC92" i="99"/>
  <c r="CC28" i="99"/>
  <c r="CC56" i="99"/>
  <c r="CC37" i="99"/>
  <c r="CC26" i="99"/>
  <c r="CC80" i="99"/>
  <c r="CC50" i="99"/>
  <c r="CC96" i="99"/>
  <c r="CC88" i="99"/>
  <c r="CC66" i="99"/>
  <c r="CC89" i="99"/>
  <c r="CD85" i="99"/>
  <c r="CD89" i="99"/>
  <c r="CD92" i="99"/>
  <c r="CD96" i="99"/>
  <c r="CD78" i="99"/>
  <c r="CD69" i="99"/>
  <c r="CD67" i="99"/>
  <c r="CD82" i="99"/>
  <c r="CD73" i="99"/>
  <c r="CD71" i="99"/>
  <c r="CD49" i="99"/>
  <c r="CD83" i="99"/>
  <c r="CD62" i="99"/>
  <c r="CD66" i="99"/>
  <c r="CD57" i="99"/>
  <c r="CD80" i="99"/>
  <c r="CD51" i="99"/>
  <c r="CD39" i="99"/>
  <c r="CD60" i="99"/>
  <c r="CD20" i="99"/>
  <c r="CD35" i="99"/>
  <c r="CD37" i="99"/>
  <c r="CD36" i="99"/>
  <c r="CD30" i="99"/>
  <c r="CD48" i="99"/>
  <c r="CD38" i="99"/>
  <c r="CD14" i="99"/>
  <c r="CE7" i="99"/>
  <c r="CD40" i="99"/>
  <c r="CD17" i="99"/>
  <c r="CD22" i="99"/>
  <c r="CD12" i="99"/>
  <c r="CD33" i="99"/>
  <c r="CD27" i="99"/>
  <c r="CD23" i="99"/>
  <c r="CD13" i="99"/>
  <c r="CD46" i="99"/>
  <c r="CD28" i="99"/>
  <c r="CD19" i="99"/>
  <c r="CD8" i="99"/>
  <c r="CD95" i="99" s="1"/>
  <c r="CD16" i="99"/>
  <c r="CD11" i="99"/>
  <c r="CD18" i="99"/>
  <c r="CD26" i="99"/>
  <c r="CC53" i="99"/>
  <c r="CC31" i="99"/>
  <c r="CC36" i="99"/>
  <c r="CC62" i="99"/>
  <c r="CC46" i="99"/>
  <c r="CC75" i="99"/>
  <c r="CC74" i="99"/>
  <c r="CC97" i="99"/>
  <c r="CC14" i="99"/>
  <c r="CC27" i="99"/>
  <c r="CC40" i="99"/>
  <c r="CC45" i="99"/>
  <c r="CC59" i="99"/>
  <c r="CC55" i="99"/>
  <c r="CC84" i="99"/>
  <c r="CC83" i="99"/>
  <c r="CD97" i="97"/>
  <c r="CD92" i="97"/>
  <c r="CD95" i="97"/>
  <c r="CD86" i="97"/>
  <c r="CD90" i="97"/>
  <c r="CD88" i="97"/>
  <c r="CD78" i="97"/>
  <c r="CD69" i="97"/>
  <c r="CD81" i="97"/>
  <c r="CD84" i="97"/>
  <c r="CD75" i="97"/>
  <c r="CD70" i="97"/>
  <c r="CD82" i="97"/>
  <c r="CD71" i="97"/>
  <c r="CD60" i="97"/>
  <c r="CD77" i="97"/>
  <c r="CD63" i="97"/>
  <c r="CD58" i="97"/>
  <c r="CD83" i="97"/>
  <c r="CD91" i="97"/>
  <c r="CD62" i="97"/>
  <c r="CD52" i="97"/>
  <c r="CD47" i="97"/>
  <c r="CD73" i="97"/>
  <c r="CD55" i="97"/>
  <c r="CD53" i="97"/>
  <c r="CD48" i="97"/>
  <c r="CD80" i="97"/>
  <c r="CD40" i="97"/>
  <c r="CD41" i="97"/>
  <c r="CD38" i="97"/>
  <c r="CD61" i="97"/>
  <c r="CD59" i="97"/>
  <c r="CD57" i="97"/>
  <c r="CD36" i="97"/>
  <c r="CD33" i="97"/>
  <c r="CD24" i="97"/>
  <c r="CD45" i="97"/>
  <c r="CD42" i="97"/>
  <c r="CD30" i="97"/>
  <c r="CD27" i="97"/>
  <c r="CD8" i="97"/>
  <c r="CD94" i="97" s="1"/>
  <c r="CD46" i="97"/>
  <c r="CD34" i="97"/>
  <c r="CD29" i="97"/>
  <c r="CD28" i="97"/>
  <c r="CD25" i="97"/>
  <c r="CD22" i="97"/>
  <c r="CD66" i="97"/>
  <c r="CD44" i="97"/>
  <c r="CD11" i="97"/>
  <c r="CD64" i="97"/>
  <c r="CD51" i="97"/>
  <c r="CD19" i="97"/>
  <c r="CD35" i="97"/>
  <c r="CD13" i="97"/>
  <c r="CE7" i="97"/>
  <c r="CD16" i="97"/>
  <c r="CD39" i="97"/>
  <c r="CD14" i="97"/>
  <c r="CD15" i="97"/>
  <c r="CD37" i="97"/>
  <c r="CD49" i="97"/>
  <c r="CC25" i="97"/>
  <c r="CC24" i="97"/>
  <c r="CC73" i="97"/>
  <c r="CC28" i="97"/>
  <c r="CC47" i="97"/>
  <c r="CC60" i="97"/>
  <c r="CC63" i="97"/>
  <c r="CC90" i="97"/>
  <c r="CC91" i="97"/>
  <c r="CC56" i="97"/>
  <c r="CC45" i="97"/>
  <c r="CC44" i="97"/>
  <c r="CC57" i="97"/>
  <c r="CC78" i="97"/>
  <c r="CE11" i="95"/>
  <c r="CE33" i="95"/>
  <c r="CE20" i="95"/>
  <c r="CE28" i="95"/>
  <c r="CE56" i="95"/>
  <c r="CE35" i="95"/>
  <c r="CE67" i="95"/>
  <c r="CE15" i="95"/>
  <c r="CE78" i="95"/>
  <c r="CE25" i="95"/>
  <c r="CE50" i="95"/>
  <c r="CE62" i="95"/>
  <c r="CE91" i="95"/>
  <c r="CE41" i="95"/>
  <c r="CE77" i="95"/>
  <c r="CE18" i="95"/>
  <c r="CE47" i="95"/>
  <c r="CE72" i="95"/>
  <c r="CE79" i="95"/>
  <c r="CE27" i="95"/>
  <c r="CE29" i="95"/>
  <c r="CE59" i="95"/>
  <c r="CE64" i="95"/>
  <c r="CE81" i="95"/>
  <c r="CE12" i="95"/>
  <c r="CE30" i="95"/>
  <c r="CE73" i="95"/>
  <c r="CE36" i="95"/>
  <c r="CE60" i="95"/>
  <c r="CE88" i="95"/>
  <c r="CE46" i="95"/>
  <c r="CE57" i="95"/>
  <c r="CE74" i="95"/>
  <c r="CE96" i="95"/>
  <c r="CE14" i="95"/>
  <c r="CE34" i="95"/>
  <c r="CE48" i="95"/>
  <c r="CE63" i="95"/>
  <c r="CE84" i="95"/>
  <c r="CE16" i="95"/>
  <c r="CE40" i="95"/>
  <c r="CE66" i="95"/>
  <c r="CE68" i="95"/>
  <c r="CE93" i="95"/>
  <c r="CE13" i="95"/>
  <c r="CE44" i="95"/>
  <c r="CE52" i="95"/>
  <c r="CE51" i="95"/>
  <c r="CE42" i="95"/>
  <c r="CE69" i="95"/>
  <c r="CE86" i="95"/>
  <c r="CE83" i="95"/>
  <c r="CE92" i="95"/>
  <c r="CG7" i="95"/>
  <c r="CF8" i="95"/>
  <c r="CF86" i="95" s="1"/>
  <c r="CE17" i="95"/>
  <c r="CE37" i="95"/>
  <c r="CE22" i="95"/>
  <c r="CE45" i="95"/>
  <c r="CE61" i="95"/>
  <c r="CE71" i="95"/>
  <c r="CE70" i="95"/>
  <c r="CE23" i="95"/>
  <c r="CE38" i="95"/>
  <c r="CE39" i="95"/>
  <c r="CE24" i="95"/>
  <c r="CE26" i="95"/>
  <c r="CE58" i="95"/>
  <c r="CE31" i="95"/>
  <c r="CE80" i="95"/>
  <c r="CE55" i="95"/>
  <c r="CE75" i="95"/>
  <c r="CE53" i="95"/>
  <c r="CE97" i="95"/>
  <c r="CE89" i="95"/>
  <c r="CE90" i="95"/>
  <c r="CE19" i="95"/>
  <c r="CE49" i="95"/>
  <c r="CE95" i="95"/>
  <c r="CE82" i="95"/>
  <c r="CE85" i="95"/>
  <c r="CD28" i="59" l="1"/>
  <c r="CD25" i="59"/>
  <c r="CD17" i="59"/>
  <c r="CD51" i="59"/>
  <c r="CD69" i="59"/>
  <c r="CD96" i="59"/>
  <c r="CD50" i="59"/>
  <c r="CD37" i="59"/>
  <c r="CD39" i="59"/>
  <c r="CD40" i="59"/>
  <c r="CD48" i="59"/>
  <c r="CD56" i="59"/>
  <c r="CD64" i="59"/>
  <c r="CD90" i="59"/>
  <c r="CD14" i="59"/>
  <c r="CD44" i="59"/>
  <c r="CD78" i="59"/>
  <c r="CD34" i="59"/>
  <c r="CD18" i="59"/>
  <c r="CD24" i="59"/>
  <c r="CD70" i="59"/>
  <c r="CD53" i="59"/>
  <c r="CD63" i="59"/>
  <c r="CD55" i="59"/>
  <c r="CD75" i="59"/>
  <c r="CD92" i="59"/>
  <c r="CD13" i="59"/>
  <c r="CD22" i="59"/>
  <c r="CD36" i="59"/>
  <c r="CD41" i="59"/>
  <c r="CD77" i="59"/>
  <c r="CD45" i="59"/>
  <c r="CD72" i="59"/>
  <c r="CD91" i="59"/>
  <c r="CD89" i="59"/>
  <c r="CD23" i="59"/>
  <c r="CD47" i="59"/>
  <c r="CD81" i="59"/>
  <c r="CD29" i="59"/>
  <c r="CD46" i="59"/>
  <c r="CD84" i="59"/>
  <c r="CD49" i="59"/>
  <c r="CD79" i="59"/>
  <c r="CD85" i="59"/>
  <c r="CD12" i="59"/>
  <c r="CD30" i="59"/>
  <c r="CD38" i="59"/>
  <c r="CD80" i="59"/>
  <c r="CD66" i="59"/>
  <c r="CD58" i="59"/>
  <c r="CD88" i="59"/>
  <c r="CD94" i="59"/>
  <c r="CD16" i="59"/>
  <c r="CD20" i="59"/>
  <c r="CD52" i="59"/>
  <c r="CD68" i="59"/>
  <c r="CD57" i="59"/>
  <c r="CD74" i="59"/>
  <c r="CD61" i="59"/>
  <c r="CD86" i="59"/>
  <c r="CD97" i="59"/>
  <c r="CE8" i="59"/>
  <c r="CE88" i="59" s="1"/>
  <c r="CD15" i="59"/>
  <c r="CD26" i="59"/>
  <c r="CD35" i="59"/>
  <c r="CD59" i="59"/>
  <c r="CD60" i="59"/>
  <c r="CD71" i="59"/>
  <c r="CD73" i="59"/>
  <c r="CD93" i="59"/>
  <c r="CD19" i="59"/>
  <c r="CD33" i="59"/>
  <c r="CD27" i="59"/>
  <c r="CD67" i="59"/>
  <c r="CD31" i="59"/>
  <c r="CD42" i="59"/>
  <c r="CD62" i="59"/>
  <c r="CD83" i="59"/>
  <c r="CD82" i="59"/>
  <c r="CD14" i="113"/>
  <c r="CD30" i="113"/>
  <c r="CD16" i="113"/>
  <c r="CD28" i="113"/>
  <c r="CD25" i="113"/>
  <c r="CD24" i="113"/>
  <c r="CD57" i="113"/>
  <c r="CD62" i="113"/>
  <c r="CD79" i="113"/>
  <c r="CD93" i="113"/>
  <c r="CD94" i="113"/>
  <c r="CE92" i="113"/>
  <c r="CE95" i="113"/>
  <c r="CE86" i="113"/>
  <c r="CE77" i="113"/>
  <c r="CE80" i="113"/>
  <c r="CE91" i="113"/>
  <c r="CE83" i="113"/>
  <c r="CE79" i="113"/>
  <c r="CE75" i="113"/>
  <c r="CE67" i="113"/>
  <c r="CE58" i="113"/>
  <c r="CE73" i="113"/>
  <c r="CE72" i="113"/>
  <c r="CE63" i="113"/>
  <c r="CE56" i="113"/>
  <c r="CE71" i="113"/>
  <c r="CE52" i="113"/>
  <c r="CE50" i="113"/>
  <c r="CE41" i="113"/>
  <c r="CE53" i="113"/>
  <c r="CE48" i="113"/>
  <c r="CE39" i="113"/>
  <c r="CE51" i="113"/>
  <c r="CE28" i="113"/>
  <c r="CE49" i="113"/>
  <c r="CE40" i="113"/>
  <c r="CE24" i="113"/>
  <c r="CE57" i="113"/>
  <c r="CE47" i="113"/>
  <c r="CE29" i="113"/>
  <c r="CE30" i="113"/>
  <c r="CE62" i="113"/>
  <c r="CE35" i="113"/>
  <c r="CE44" i="113"/>
  <c r="CE34" i="113"/>
  <c r="CE14" i="113"/>
  <c r="CE20" i="113"/>
  <c r="CE22" i="113"/>
  <c r="CE15" i="113"/>
  <c r="CE13" i="113"/>
  <c r="CE38" i="113"/>
  <c r="CE17" i="113"/>
  <c r="CE8" i="113"/>
  <c r="CE90" i="113" s="1"/>
  <c r="CD20" i="113"/>
  <c r="CD18" i="113"/>
  <c r="CD36" i="113"/>
  <c r="CD34" i="113"/>
  <c r="CD33" i="113"/>
  <c r="CD60" i="113"/>
  <c r="CD56" i="113"/>
  <c r="CD83" i="113"/>
  <c r="CD90" i="113"/>
  <c r="CD11" i="113"/>
  <c r="CD39" i="113"/>
  <c r="CD13" i="113"/>
  <c r="CD40" i="113"/>
  <c r="CD42" i="113"/>
  <c r="CD41" i="113"/>
  <c r="CD68" i="113"/>
  <c r="CD64" i="113"/>
  <c r="CD91" i="113"/>
  <c r="CD86" i="113"/>
  <c r="CD22" i="113"/>
  <c r="CD19" i="113"/>
  <c r="CD26" i="113"/>
  <c r="CD46" i="113"/>
  <c r="CD51" i="113"/>
  <c r="CD50" i="113"/>
  <c r="CD53" i="113"/>
  <c r="CD84" i="113"/>
  <c r="CD80" i="113"/>
  <c r="CD95" i="113"/>
  <c r="CD29" i="113"/>
  <c r="CD27" i="113"/>
  <c r="CD69" i="113"/>
  <c r="CD49" i="113"/>
  <c r="CD48" i="113"/>
  <c r="CD52" i="113"/>
  <c r="CD72" i="113"/>
  <c r="CD81" i="113"/>
  <c r="CD77" i="113"/>
  <c r="CD92" i="113"/>
  <c r="CD15" i="113"/>
  <c r="CD35" i="113"/>
  <c r="CD61" i="113"/>
  <c r="CD70" i="113"/>
  <c r="CD59" i="113"/>
  <c r="CD71" i="113"/>
  <c r="CD74" i="113"/>
  <c r="CD96" i="113"/>
  <c r="CD73" i="113"/>
  <c r="CD89" i="113"/>
  <c r="CD37" i="113"/>
  <c r="CD23" i="113"/>
  <c r="CD31" i="113"/>
  <c r="CD45" i="113"/>
  <c r="CD38" i="113"/>
  <c r="CD78" i="113"/>
  <c r="CD63" i="113"/>
  <c r="CD82" i="113"/>
  <c r="CE82" i="111"/>
  <c r="CE92" i="111"/>
  <c r="CE12" i="111"/>
  <c r="CE14" i="111"/>
  <c r="CE51" i="111"/>
  <c r="CE25" i="111"/>
  <c r="CE39" i="111"/>
  <c r="CE77" i="111"/>
  <c r="CE75" i="111"/>
  <c r="CE45" i="111"/>
  <c r="CE79" i="111"/>
  <c r="CE89" i="111"/>
  <c r="CE13" i="111"/>
  <c r="CE50" i="111"/>
  <c r="CE22" i="111"/>
  <c r="CE16" i="111"/>
  <c r="CE49" i="111"/>
  <c r="CE42" i="111"/>
  <c r="CE80" i="111"/>
  <c r="CE91" i="111"/>
  <c r="CE53" i="111"/>
  <c r="CE94" i="111"/>
  <c r="CE97" i="111"/>
  <c r="CE46" i="111"/>
  <c r="CE81" i="111"/>
  <c r="CE90" i="111"/>
  <c r="CE62" i="111"/>
  <c r="CE88" i="111"/>
  <c r="CE55" i="111"/>
  <c r="CE68" i="111"/>
  <c r="CE52" i="111"/>
  <c r="CE66" i="111"/>
  <c r="CE67" i="111"/>
  <c r="CE96" i="111"/>
  <c r="CE15" i="111"/>
  <c r="CE38" i="111"/>
  <c r="CE19" i="111"/>
  <c r="CE47" i="111"/>
  <c r="CE58" i="111"/>
  <c r="CE56" i="111"/>
  <c r="CE72" i="111"/>
  <c r="CE70" i="111"/>
  <c r="CD18" i="109"/>
  <c r="CD57" i="109"/>
  <c r="CD51" i="109"/>
  <c r="CD22" i="109"/>
  <c r="CD41" i="109"/>
  <c r="CD50" i="109"/>
  <c r="CD83" i="109"/>
  <c r="CD63" i="109"/>
  <c r="CD80" i="109"/>
  <c r="CD97" i="109"/>
  <c r="CD12" i="109"/>
  <c r="CD16" i="109"/>
  <c r="CD34" i="109"/>
  <c r="CD30" i="109"/>
  <c r="CD44" i="109"/>
  <c r="CD55" i="109"/>
  <c r="CD69" i="109"/>
  <c r="CD67" i="109"/>
  <c r="CD86" i="109"/>
  <c r="CD85" i="109"/>
  <c r="CD17" i="109"/>
  <c r="CD14" i="109"/>
  <c r="CD26" i="109"/>
  <c r="CD46" i="109"/>
  <c r="CD39" i="109"/>
  <c r="CD47" i="109"/>
  <c r="CD64" i="109"/>
  <c r="CD82" i="109"/>
  <c r="CD70" i="109"/>
  <c r="CD88" i="109"/>
  <c r="CD94" i="109"/>
  <c r="CD11" i="109"/>
  <c r="CE94" i="109"/>
  <c r="CE81" i="109"/>
  <c r="CE8" i="109"/>
  <c r="CE97" i="109" s="1"/>
  <c r="CD25" i="109"/>
  <c r="CD42" i="109"/>
  <c r="CD48" i="109"/>
  <c r="CD20" i="109"/>
  <c r="CD77" i="109"/>
  <c r="CD60" i="109"/>
  <c r="CD84" i="109"/>
  <c r="CD90" i="109"/>
  <c r="CD27" i="109"/>
  <c r="CD13" i="109"/>
  <c r="CD28" i="109"/>
  <c r="CD52" i="109"/>
  <c r="CD15" i="109"/>
  <c r="CD29" i="109"/>
  <c r="CD81" i="109"/>
  <c r="CD68" i="109"/>
  <c r="CD62" i="109"/>
  <c r="CE82" i="107"/>
  <c r="CE48" i="107"/>
  <c r="CE78" i="107"/>
  <c r="CE81" i="107"/>
  <c r="CE93" i="107"/>
  <c r="CE23" i="107"/>
  <c r="CE25" i="107"/>
  <c r="CE40" i="107"/>
  <c r="CE45" i="107"/>
  <c r="CE35" i="107"/>
  <c r="CE70" i="107"/>
  <c r="CE52" i="107"/>
  <c r="CE59" i="107"/>
  <c r="CE60" i="107"/>
  <c r="CE90" i="107"/>
  <c r="CE51" i="107"/>
  <c r="CE49" i="107"/>
  <c r="CE50" i="107"/>
  <c r="CE46" i="107"/>
  <c r="CE57" i="107"/>
  <c r="CE68" i="107"/>
  <c r="CE69" i="107"/>
  <c r="CE86" i="107"/>
  <c r="CE77" i="107"/>
  <c r="CE71" i="107"/>
  <c r="CE80" i="107"/>
  <c r="CE95" i="107"/>
  <c r="CE16" i="107"/>
  <c r="CE47" i="107"/>
  <c r="CE61" i="107"/>
  <c r="CE33" i="107"/>
  <c r="CE38" i="107"/>
  <c r="CE34" i="107"/>
  <c r="CE53" i="107"/>
  <c r="CE84" i="107"/>
  <c r="CE79" i="107"/>
  <c r="CE92" i="107"/>
  <c r="CE27" i="107"/>
  <c r="CE19" i="107"/>
  <c r="CE15" i="107"/>
  <c r="CE37" i="107"/>
  <c r="CE83" i="107"/>
  <c r="CE42" i="107"/>
  <c r="CE63" i="107"/>
  <c r="CE73" i="107"/>
  <c r="CE91" i="107"/>
  <c r="CE89" i="107"/>
  <c r="CE14" i="107"/>
  <c r="CE36" i="107"/>
  <c r="CE29" i="107"/>
  <c r="CE24" i="107"/>
  <c r="CE31" i="107"/>
  <c r="CE62" i="107"/>
  <c r="CE30" i="107"/>
  <c r="CE67" i="107"/>
  <c r="CE75" i="107"/>
  <c r="CE88" i="107"/>
  <c r="CE31" i="105"/>
  <c r="CE64" i="105"/>
  <c r="CE83" i="105"/>
  <c r="CE47" i="105"/>
  <c r="CE14" i="105"/>
  <c r="CE27" i="105"/>
  <c r="CE51" i="105"/>
  <c r="CE26" i="105"/>
  <c r="CE39" i="105"/>
  <c r="CE53" i="105"/>
  <c r="CE81" i="105"/>
  <c r="CE66" i="105"/>
  <c r="CE80" i="105"/>
  <c r="CE96" i="105"/>
  <c r="CE20" i="105"/>
  <c r="CE12" i="105"/>
  <c r="CE46" i="105"/>
  <c r="CE19" i="105"/>
  <c r="CE28" i="105"/>
  <c r="CE60" i="105"/>
  <c r="CE44" i="105"/>
  <c r="CE68" i="105"/>
  <c r="CE73" i="105"/>
  <c r="CE77" i="105"/>
  <c r="CE93" i="105"/>
  <c r="CE18" i="105"/>
  <c r="CE88" i="105"/>
  <c r="CE23" i="105"/>
  <c r="CE17" i="105"/>
  <c r="CE13" i="105"/>
  <c r="CE49" i="105"/>
  <c r="CE48" i="105"/>
  <c r="CE56" i="105"/>
  <c r="CE58" i="105"/>
  <c r="CE62" i="105"/>
  <c r="CE91" i="105"/>
  <c r="CE90" i="105"/>
  <c r="CE15" i="105"/>
  <c r="CE30" i="105"/>
  <c r="CE45" i="105"/>
  <c r="CE22" i="105"/>
  <c r="CE34" i="105"/>
  <c r="CE41" i="105"/>
  <c r="CE71" i="105"/>
  <c r="CE67" i="105"/>
  <c r="CE72" i="105"/>
  <c r="CE79" i="105"/>
  <c r="CE86" i="105"/>
  <c r="CE38" i="105"/>
  <c r="CE78" i="105"/>
  <c r="CE42" i="105"/>
  <c r="CE37" i="105"/>
  <c r="CE55" i="105"/>
  <c r="CE24" i="105"/>
  <c r="CE29" i="105"/>
  <c r="CE50" i="105"/>
  <c r="CE52" i="105"/>
  <c r="CE63" i="105"/>
  <c r="CE82" i="105"/>
  <c r="CE75" i="105"/>
  <c r="CE95" i="105"/>
  <c r="CE35" i="105"/>
  <c r="CE70" i="105"/>
  <c r="CE57" i="105"/>
  <c r="CE94" i="105"/>
  <c r="CE97" i="105"/>
  <c r="CE40" i="105"/>
  <c r="CE33" i="105"/>
  <c r="CE11" i="105"/>
  <c r="CE36" i="105"/>
  <c r="CE59" i="105"/>
  <c r="CE61" i="105"/>
  <c r="CE69" i="105"/>
  <c r="CE74" i="105"/>
  <c r="CE84" i="105"/>
  <c r="CE22" i="103"/>
  <c r="CE12" i="103"/>
  <c r="CE23" i="103"/>
  <c r="CE30" i="103"/>
  <c r="CE37" i="103"/>
  <c r="CE44" i="103"/>
  <c r="CE62" i="103"/>
  <c r="CE74" i="103"/>
  <c r="CE78" i="103"/>
  <c r="CE90" i="103"/>
  <c r="CE14" i="103"/>
  <c r="CE33" i="103"/>
  <c r="CE42" i="103"/>
  <c r="CE48" i="103"/>
  <c r="CE84" i="103"/>
  <c r="CE70" i="103"/>
  <c r="CE71" i="103"/>
  <c r="CE80" i="103"/>
  <c r="CE95" i="103"/>
  <c r="CE15" i="103"/>
  <c r="CE18" i="103"/>
  <c r="CE36" i="103"/>
  <c r="CE61" i="103"/>
  <c r="CE53" i="103"/>
  <c r="CE57" i="103"/>
  <c r="CE72" i="103"/>
  <c r="CE79" i="103"/>
  <c r="CE82" i="103"/>
  <c r="CE92" i="103"/>
  <c r="CE16" i="103"/>
  <c r="CE24" i="103"/>
  <c r="CE39" i="103"/>
  <c r="CE38" i="103"/>
  <c r="CE64" i="103"/>
  <c r="CE60" i="103"/>
  <c r="CE94" i="103"/>
  <c r="CE59" i="103"/>
  <c r="CE91" i="103"/>
  <c r="CE89" i="103"/>
  <c r="CE11" i="103"/>
  <c r="CE26" i="103"/>
  <c r="CE20" i="103"/>
  <c r="CE40" i="103"/>
  <c r="CE46" i="103"/>
  <c r="CE41" i="103"/>
  <c r="CE63" i="103"/>
  <c r="CE75" i="103"/>
  <c r="CE68" i="103"/>
  <c r="CE88" i="103"/>
  <c r="CE97" i="103"/>
  <c r="CE13" i="103"/>
  <c r="CE28" i="103"/>
  <c r="CE29" i="103"/>
  <c r="CE25" i="103"/>
  <c r="CE56" i="103"/>
  <c r="CE50" i="103"/>
  <c r="CE73" i="103"/>
  <c r="CE69" i="103"/>
  <c r="CE81" i="103"/>
  <c r="CE96" i="103"/>
  <c r="CE49" i="103"/>
  <c r="CE58" i="103"/>
  <c r="CE47" i="103"/>
  <c r="CE55" i="103"/>
  <c r="CE66" i="103"/>
  <c r="CE85" i="103"/>
  <c r="CD16" i="101"/>
  <c r="CD22" i="101"/>
  <c r="CD25" i="101"/>
  <c r="CD40" i="101"/>
  <c r="CD55" i="101"/>
  <c r="CD53" i="101"/>
  <c r="CD59" i="101"/>
  <c r="CD72" i="101"/>
  <c r="CD83" i="101"/>
  <c r="CD92" i="101"/>
  <c r="CD14" i="101"/>
  <c r="CD51" i="101"/>
  <c r="CD57" i="101"/>
  <c r="CD62" i="101"/>
  <c r="CD41" i="101"/>
  <c r="CD68" i="101"/>
  <c r="CD77" i="101"/>
  <c r="CD80" i="101"/>
  <c r="CD89" i="101"/>
  <c r="CD18" i="101"/>
  <c r="CD19" i="101"/>
  <c r="CD30" i="101"/>
  <c r="CD63" i="101"/>
  <c r="CD66" i="101"/>
  <c r="CD50" i="101"/>
  <c r="CD56" i="101"/>
  <c r="CD81" i="101"/>
  <c r="CD82" i="101"/>
  <c r="CD97" i="101"/>
  <c r="CE97" i="101"/>
  <c r="CE89" i="101"/>
  <c r="CE92" i="101"/>
  <c r="CE93" i="101"/>
  <c r="CE96" i="101"/>
  <c r="CE88" i="101"/>
  <c r="CE94" i="101"/>
  <c r="CE85" i="101"/>
  <c r="CE79" i="101"/>
  <c r="CE82" i="101"/>
  <c r="CE74" i="101"/>
  <c r="CE84" i="101"/>
  <c r="CE71" i="101"/>
  <c r="CE64" i="101"/>
  <c r="CE91" i="101"/>
  <c r="CE68" i="101"/>
  <c r="CE59" i="101"/>
  <c r="CE62" i="101"/>
  <c r="CE50" i="101"/>
  <c r="CE41" i="101"/>
  <c r="CE53" i="101"/>
  <c r="CE45" i="101"/>
  <c r="CE75" i="101"/>
  <c r="CE39" i="101"/>
  <c r="CE70" i="101"/>
  <c r="CE63" i="101"/>
  <c r="CE57" i="101"/>
  <c r="CE73" i="101"/>
  <c r="CE51" i="101"/>
  <c r="CE46" i="101"/>
  <c r="CE38" i="101"/>
  <c r="CE31" i="101"/>
  <c r="CE72" i="101"/>
  <c r="CE67" i="101"/>
  <c r="CE26" i="101"/>
  <c r="CE47" i="101"/>
  <c r="CE35" i="101"/>
  <c r="CE29" i="101"/>
  <c r="CE55" i="101"/>
  <c r="CE37" i="101"/>
  <c r="CE36" i="101"/>
  <c r="CE30" i="101"/>
  <c r="CE58" i="101"/>
  <c r="CE25" i="101"/>
  <c r="CE18" i="101"/>
  <c r="CE42" i="101"/>
  <c r="CE33" i="101"/>
  <c r="CE22" i="101"/>
  <c r="CE27" i="101"/>
  <c r="CE28" i="101"/>
  <c r="CE24" i="101"/>
  <c r="CE17" i="101"/>
  <c r="CE12" i="101"/>
  <c r="CE11" i="101"/>
  <c r="CE20" i="101"/>
  <c r="CE15" i="101"/>
  <c r="CE8" i="101"/>
  <c r="CE95" i="101" s="1"/>
  <c r="CE23" i="101"/>
  <c r="CE13" i="101"/>
  <c r="CE16" i="101"/>
  <c r="CE19" i="101"/>
  <c r="CE14" i="101"/>
  <c r="CD29" i="101"/>
  <c r="CD70" i="101"/>
  <c r="CD37" i="101"/>
  <c r="CD31" i="101"/>
  <c r="CD48" i="101"/>
  <c r="CD69" i="101"/>
  <c r="CD64" i="101"/>
  <c r="CD84" i="101"/>
  <c r="CD91" i="101"/>
  <c r="CD85" i="101"/>
  <c r="CD11" i="101"/>
  <c r="CD15" i="101"/>
  <c r="CD49" i="101"/>
  <c r="CD27" i="101"/>
  <c r="CD28" i="101"/>
  <c r="CD60" i="101"/>
  <c r="CD38" i="101"/>
  <c r="CD78" i="101"/>
  <c r="CD75" i="101"/>
  <c r="CD93" i="101"/>
  <c r="CD25" i="99"/>
  <c r="CD29" i="99"/>
  <c r="CD63" i="99"/>
  <c r="CD53" i="99"/>
  <c r="CD58" i="99"/>
  <c r="CD79" i="99"/>
  <c r="CD88" i="99"/>
  <c r="CD97" i="99"/>
  <c r="CE97" i="99"/>
  <c r="CE89" i="99"/>
  <c r="CE93" i="99"/>
  <c r="CE88" i="99"/>
  <c r="CE91" i="99"/>
  <c r="CE75" i="99"/>
  <c r="CE79" i="99"/>
  <c r="CE70" i="99"/>
  <c r="CE68" i="99"/>
  <c r="CE80" i="99"/>
  <c r="CE71" i="99"/>
  <c r="CE62" i="99"/>
  <c r="CE56" i="99"/>
  <c r="CE74" i="99"/>
  <c r="CE59" i="99"/>
  <c r="CE50" i="99"/>
  <c r="CE45" i="99"/>
  <c r="CE36" i="99"/>
  <c r="CE51" i="99"/>
  <c r="CE39" i="99"/>
  <c r="CE53" i="99"/>
  <c r="CE48" i="99"/>
  <c r="CE37" i="99"/>
  <c r="CE78" i="99"/>
  <c r="CE24" i="99"/>
  <c r="CE55" i="99"/>
  <c r="CE33" i="99"/>
  <c r="CE27" i="99"/>
  <c r="CE29" i="99"/>
  <c r="CE20" i="99"/>
  <c r="CE17" i="99"/>
  <c r="CE22" i="99"/>
  <c r="CE8" i="99"/>
  <c r="CE92" i="99" s="1"/>
  <c r="CE18" i="99"/>
  <c r="CE19" i="99"/>
  <c r="CE16" i="99"/>
  <c r="CE30" i="99"/>
  <c r="CE44" i="99"/>
  <c r="CE31" i="99"/>
  <c r="CE11" i="99"/>
  <c r="CE23" i="99"/>
  <c r="CE13" i="99"/>
  <c r="CD44" i="99"/>
  <c r="CD45" i="99"/>
  <c r="CD74" i="99"/>
  <c r="CD68" i="99"/>
  <c r="CD75" i="99"/>
  <c r="CD93" i="99"/>
  <c r="CD94" i="99"/>
  <c r="CD55" i="99"/>
  <c r="CD47" i="99"/>
  <c r="CD56" i="99"/>
  <c r="CD77" i="99"/>
  <c r="CD84" i="99"/>
  <c r="CD90" i="99"/>
  <c r="CD31" i="99"/>
  <c r="CD50" i="99"/>
  <c r="CD42" i="99"/>
  <c r="CD41" i="99"/>
  <c r="CD61" i="99"/>
  <c r="CD91" i="99"/>
  <c r="CD72" i="99"/>
  <c r="CD86" i="99"/>
  <c r="CD15" i="99"/>
  <c r="CD34" i="99"/>
  <c r="CD24" i="99"/>
  <c r="CD59" i="99"/>
  <c r="CD52" i="99"/>
  <c r="CD70" i="99"/>
  <c r="CD64" i="99"/>
  <c r="CD81" i="99"/>
  <c r="CD89" i="97"/>
  <c r="CE8" i="97"/>
  <c r="CE96" i="97" s="1"/>
  <c r="CD12" i="97"/>
  <c r="CD56" i="97"/>
  <c r="CD50" i="97"/>
  <c r="CD68" i="97"/>
  <c r="CD79" i="97"/>
  <c r="CD96" i="97"/>
  <c r="CD85" i="97"/>
  <c r="CD23" i="97"/>
  <c r="CD26" i="97"/>
  <c r="CD17" i="97"/>
  <c r="CD18" i="97"/>
  <c r="CD20" i="97"/>
  <c r="CD31" i="97"/>
  <c r="CD74" i="97"/>
  <c r="CD72" i="97"/>
  <c r="CD67" i="97"/>
  <c r="CD93" i="97"/>
  <c r="CF25" i="95"/>
  <c r="CF11" i="95"/>
  <c r="CF22" i="95"/>
  <c r="CF14" i="95"/>
  <c r="CF69" i="95"/>
  <c r="CF27" i="95"/>
  <c r="CF17" i="95"/>
  <c r="CF58" i="95"/>
  <c r="CF13" i="95"/>
  <c r="CF57" i="95"/>
  <c r="CF26" i="95"/>
  <c r="CF31" i="95"/>
  <c r="CF19" i="95"/>
  <c r="CF63" i="95"/>
  <c r="CF24" i="95"/>
  <c r="CF20" i="95"/>
  <c r="CF28" i="95"/>
  <c r="CF51" i="95"/>
  <c r="CF91" i="95"/>
  <c r="CF64" i="95"/>
  <c r="CF37" i="95"/>
  <c r="CF41" i="95"/>
  <c r="CF93" i="95"/>
  <c r="CF68" i="95"/>
  <c r="CF82" i="95"/>
  <c r="CF80" i="95"/>
  <c r="CF77" i="95"/>
  <c r="CF15" i="95"/>
  <c r="CF29" i="95"/>
  <c r="CF23" i="95"/>
  <c r="CF36" i="95"/>
  <c r="CF44" i="95"/>
  <c r="CF30" i="95"/>
  <c r="CF39" i="95"/>
  <c r="CF48" i="95"/>
  <c r="CF85" i="95"/>
  <c r="CF59" i="95"/>
  <c r="CF83" i="95"/>
  <c r="CF33" i="95"/>
  <c r="CF16" i="95"/>
  <c r="CF34" i="95"/>
  <c r="CF55" i="95"/>
  <c r="CF12" i="95"/>
  <c r="CF40" i="95"/>
  <c r="CF45" i="95"/>
  <c r="CF46" i="95"/>
  <c r="CF78" i="95"/>
  <c r="CF61" i="95"/>
  <c r="CF73" i="95"/>
  <c r="CF66" i="95"/>
  <c r="CF97" i="95"/>
  <c r="CF96" i="95"/>
  <c r="CF56" i="95"/>
  <c r="CF35" i="95"/>
  <c r="CF18" i="95"/>
  <c r="CF42" i="95"/>
  <c r="CF49" i="95"/>
  <c r="CF47" i="95"/>
  <c r="CF72" i="95"/>
  <c r="CF62" i="95"/>
  <c r="CF74" i="95"/>
  <c r="CF92" i="95"/>
  <c r="CF71" i="95"/>
  <c r="CF89" i="95"/>
  <c r="CF50" i="95"/>
  <c r="CF53" i="95"/>
  <c r="CF52" i="95"/>
  <c r="CF70" i="95"/>
  <c r="CF75" i="95"/>
  <c r="CF79" i="95"/>
  <c r="CF81" i="95"/>
  <c r="CF88" i="95"/>
  <c r="CF95" i="95"/>
  <c r="CH7" i="95"/>
  <c r="CG8" i="95"/>
  <c r="CG85" i="95" s="1"/>
  <c r="CF84" i="95"/>
  <c r="CF67" i="95"/>
  <c r="CF94" i="95"/>
  <c r="CF90" i="95"/>
  <c r="CF38" i="95"/>
  <c r="CF60" i="95"/>
  <c r="CE39" i="59" l="1"/>
  <c r="CE25" i="59"/>
  <c r="CE18" i="59"/>
  <c r="CE20" i="59"/>
  <c r="CE84" i="59"/>
  <c r="CE55" i="59"/>
  <c r="CE67" i="59"/>
  <c r="CE72" i="59"/>
  <c r="CE59" i="59"/>
  <c r="CE34" i="59"/>
  <c r="CE14" i="59"/>
  <c r="CE40" i="59"/>
  <c r="CE30" i="59"/>
  <c r="CE29" i="59"/>
  <c r="CE46" i="59"/>
  <c r="CE70" i="59"/>
  <c r="CE77" i="59"/>
  <c r="CE68" i="59"/>
  <c r="CE96" i="59"/>
  <c r="CE15" i="59"/>
  <c r="CE11" i="59"/>
  <c r="CE24" i="59"/>
  <c r="CE50" i="59"/>
  <c r="CE60" i="59"/>
  <c r="CE51" i="59"/>
  <c r="CE81" i="59"/>
  <c r="CE86" i="59"/>
  <c r="CE73" i="59"/>
  <c r="CE90" i="59"/>
  <c r="CE37" i="59"/>
  <c r="CE47" i="59"/>
  <c r="CE42" i="59"/>
  <c r="CE38" i="59"/>
  <c r="CE64" i="59"/>
  <c r="CE74" i="59"/>
  <c r="CE93" i="59"/>
  <c r="CE16" i="59"/>
  <c r="CE31" i="59"/>
  <c r="CE27" i="59"/>
  <c r="CE61" i="59"/>
  <c r="CE26" i="59"/>
  <c r="CE71" i="59"/>
  <c r="CE56" i="59"/>
  <c r="CE78" i="59"/>
  <c r="CE75" i="59"/>
  <c r="CE95" i="59"/>
  <c r="CE52" i="59"/>
  <c r="CE17" i="59"/>
  <c r="CE22" i="59"/>
  <c r="CE36" i="59"/>
  <c r="CE33" i="59"/>
  <c r="CE35" i="59"/>
  <c r="CE48" i="59"/>
  <c r="CE62" i="59"/>
  <c r="CE80" i="59"/>
  <c r="CE79" i="59"/>
  <c r="CE92" i="59"/>
  <c r="CE94" i="59"/>
  <c r="CE13" i="59"/>
  <c r="CE19" i="59"/>
  <c r="CE49" i="59"/>
  <c r="CE41" i="59"/>
  <c r="CE44" i="59"/>
  <c r="CE57" i="59"/>
  <c r="CE66" i="59"/>
  <c r="CE83" i="59"/>
  <c r="CE82" i="59"/>
  <c r="CE89" i="59"/>
  <c r="CE12" i="59"/>
  <c r="CE23" i="59"/>
  <c r="CE28" i="59"/>
  <c r="CE53" i="59"/>
  <c r="CE45" i="59"/>
  <c r="CE58" i="59"/>
  <c r="CE63" i="59"/>
  <c r="CE69" i="59"/>
  <c r="CE85" i="59"/>
  <c r="CE91" i="59"/>
  <c r="CE97" i="59"/>
  <c r="CE89" i="113"/>
  <c r="CE12" i="113"/>
  <c r="CE69" i="113"/>
  <c r="CE16" i="113"/>
  <c r="CE25" i="113"/>
  <c r="CE37" i="113"/>
  <c r="CE27" i="113"/>
  <c r="CE85" i="113"/>
  <c r="CE82" i="113"/>
  <c r="CE84" i="113"/>
  <c r="CE88" i="113"/>
  <c r="CE97" i="113"/>
  <c r="CE31" i="113"/>
  <c r="CE23" i="113"/>
  <c r="CE33" i="113"/>
  <c r="CE46" i="113"/>
  <c r="CE36" i="113"/>
  <c r="CE64" i="113"/>
  <c r="CE59" i="113"/>
  <c r="CE94" i="113"/>
  <c r="CE96" i="113"/>
  <c r="CE61" i="113"/>
  <c r="CE55" i="113"/>
  <c r="CE45" i="113"/>
  <c r="CE70" i="113"/>
  <c r="CE68" i="113"/>
  <c r="CE78" i="113"/>
  <c r="CE93" i="113"/>
  <c r="CE11" i="113"/>
  <c r="CE26" i="113"/>
  <c r="CE18" i="113"/>
  <c r="CE19" i="113"/>
  <c r="CE42" i="113"/>
  <c r="CE66" i="113"/>
  <c r="CE60" i="113"/>
  <c r="CE81" i="113"/>
  <c r="CE74" i="113"/>
  <c r="CE71" i="109"/>
  <c r="CE16" i="109"/>
  <c r="CE50" i="109"/>
  <c r="CE40" i="109"/>
  <c r="CE39" i="109"/>
  <c r="CE31" i="109"/>
  <c r="CE38" i="109"/>
  <c r="CE34" i="109"/>
  <c r="CE15" i="109"/>
  <c r="CE70" i="109"/>
  <c r="CE53" i="109"/>
  <c r="CE74" i="109"/>
  <c r="CE90" i="109"/>
  <c r="CE17" i="109"/>
  <c r="CE12" i="109"/>
  <c r="CE68" i="109"/>
  <c r="CE46" i="109"/>
  <c r="CE42" i="109"/>
  <c r="CE24" i="109"/>
  <c r="CE73" i="109"/>
  <c r="CE69" i="109"/>
  <c r="CE84" i="109"/>
  <c r="CE86" i="109"/>
  <c r="CE30" i="109"/>
  <c r="CE14" i="109"/>
  <c r="CE26" i="109"/>
  <c r="CE56" i="109"/>
  <c r="CE51" i="109"/>
  <c r="CE33" i="109"/>
  <c r="CE72" i="109"/>
  <c r="CE82" i="109"/>
  <c r="CE96" i="109"/>
  <c r="CE95" i="109"/>
  <c r="CE48" i="109"/>
  <c r="CE11" i="109"/>
  <c r="CE58" i="109"/>
  <c r="CE60" i="109"/>
  <c r="CE18" i="109"/>
  <c r="CE41" i="109"/>
  <c r="CE64" i="109"/>
  <c r="CE77" i="109"/>
  <c r="CE83" i="109"/>
  <c r="CE92" i="109"/>
  <c r="CE49" i="109"/>
  <c r="CE61" i="109"/>
  <c r="CE52" i="109"/>
  <c r="CE62" i="109"/>
  <c r="CE23" i="109"/>
  <c r="CE20" i="109"/>
  <c r="CE67" i="109"/>
  <c r="CE25" i="109"/>
  <c r="CE55" i="109"/>
  <c r="CE45" i="109"/>
  <c r="CE88" i="109"/>
  <c r="CE66" i="109"/>
  <c r="CE13" i="109"/>
  <c r="CE22" i="109"/>
  <c r="CE59" i="109"/>
  <c r="CE28" i="109"/>
  <c r="CE27" i="109"/>
  <c r="CE44" i="109"/>
  <c r="CE91" i="109"/>
  <c r="CE78" i="109"/>
  <c r="CE85" i="109"/>
  <c r="CE89" i="109"/>
  <c r="CE37" i="109"/>
  <c r="CE93" i="109"/>
  <c r="CE35" i="109"/>
  <c r="CE19" i="109"/>
  <c r="CE29" i="109"/>
  <c r="CE63" i="109"/>
  <c r="CE79" i="109"/>
  <c r="CE36" i="109"/>
  <c r="CE47" i="109"/>
  <c r="CE57" i="109"/>
  <c r="CE75" i="109"/>
  <c r="CE80" i="109"/>
  <c r="CE69" i="101"/>
  <c r="CE78" i="101"/>
  <c r="CE83" i="101"/>
  <c r="CE90" i="101"/>
  <c r="CE40" i="101"/>
  <c r="CE48" i="101"/>
  <c r="CE81" i="101"/>
  <c r="CE52" i="101"/>
  <c r="CE80" i="101"/>
  <c r="CE86" i="101"/>
  <c r="CE34" i="101"/>
  <c r="CE44" i="101"/>
  <c r="CE56" i="101"/>
  <c r="CE49" i="101"/>
  <c r="CE60" i="101"/>
  <c r="CE66" i="101"/>
  <c r="CE61" i="101"/>
  <c r="CE77" i="101"/>
  <c r="CE67" i="99"/>
  <c r="CE96" i="99"/>
  <c r="CE14" i="99"/>
  <c r="CE26" i="99"/>
  <c r="CE40" i="99"/>
  <c r="CE35" i="99"/>
  <c r="CE64" i="99"/>
  <c r="CE47" i="99"/>
  <c r="CE52" i="99"/>
  <c r="CE77" i="99"/>
  <c r="CE84" i="99"/>
  <c r="CE90" i="99"/>
  <c r="CE15" i="99"/>
  <c r="CE28" i="99"/>
  <c r="CE41" i="99"/>
  <c r="CE34" i="99"/>
  <c r="CE57" i="99"/>
  <c r="CE61" i="99"/>
  <c r="CE73" i="99"/>
  <c r="CE63" i="99"/>
  <c r="CE86" i="99"/>
  <c r="CE49" i="99"/>
  <c r="CE38" i="99"/>
  <c r="CE42" i="99"/>
  <c r="CE66" i="99"/>
  <c r="CE69" i="99"/>
  <c r="CE82" i="99"/>
  <c r="CE72" i="99"/>
  <c r="CE95" i="99"/>
  <c r="CE60" i="99"/>
  <c r="CE12" i="99"/>
  <c r="CE25" i="99"/>
  <c r="CE46" i="99"/>
  <c r="CE58" i="99"/>
  <c r="CE94" i="99"/>
  <c r="CE83" i="99"/>
  <c r="CE85" i="99"/>
  <c r="CE81" i="99"/>
  <c r="CE40" i="97"/>
  <c r="CE66" i="97"/>
  <c r="CE61" i="97"/>
  <c r="CE29" i="97"/>
  <c r="CE38" i="97"/>
  <c r="CE53" i="97"/>
  <c r="CE50" i="97"/>
  <c r="CE55" i="97"/>
  <c r="CE93" i="97"/>
  <c r="CE34" i="97"/>
  <c r="CE16" i="97"/>
  <c r="CE28" i="97"/>
  <c r="CE42" i="97"/>
  <c r="CE33" i="97"/>
  <c r="CE51" i="97"/>
  <c r="CE74" i="97"/>
  <c r="CE63" i="97"/>
  <c r="CE79" i="97"/>
  <c r="CE90" i="97"/>
  <c r="CE12" i="97"/>
  <c r="CE25" i="97"/>
  <c r="CE60" i="97"/>
  <c r="CE70" i="97"/>
  <c r="CE17" i="97"/>
  <c r="CE23" i="97"/>
  <c r="CE48" i="97"/>
  <c r="CE27" i="97"/>
  <c r="CE52" i="97"/>
  <c r="CE56" i="97"/>
  <c r="CE78" i="97"/>
  <c r="CE67" i="97"/>
  <c r="CE84" i="97"/>
  <c r="CE86" i="97"/>
  <c r="CE75" i="97"/>
  <c r="CE72" i="97"/>
  <c r="CE11" i="97"/>
  <c r="CE22" i="97"/>
  <c r="CE80" i="97"/>
  <c r="CE83" i="97"/>
  <c r="CE92" i="97"/>
  <c r="CE18" i="97"/>
  <c r="CE14" i="97"/>
  <c r="CE37" i="97"/>
  <c r="CE24" i="97"/>
  <c r="CE26" i="97"/>
  <c r="CE45" i="97"/>
  <c r="CE94" i="97"/>
  <c r="CE73" i="97"/>
  <c r="CE91" i="97"/>
  <c r="CE89" i="97"/>
  <c r="CE30" i="97"/>
  <c r="CE77" i="97"/>
  <c r="CE44" i="97"/>
  <c r="CE15" i="97"/>
  <c r="CE69" i="97"/>
  <c r="CE81" i="97"/>
  <c r="CE36" i="97"/>
  <c r="CE31" i="97"/>
  <c r="CE62" i="97"/>
  <c r="CE39" i="97"/>
  <c r="CE49" i="97"/>
  <c r="CE35" i="97"/>
  <c r="CE59" i="97"/>
  <c r="CE58" i="97"/>
  <c r="CE82" i="97"/>
  <c r="CE88" i="97"/>
  <c r="CE97" i="97"/>
  <c r="CE13" i="97"/>
  <c r="CE95" i="97"/>
  <c r="CE64" i="97"/>
  <c r="CE19" i="97"/>
  <c r="CE20" i="97"/>
  <c r="CE71" i="97"/>
  <c r="CE46" i="97"/>
  <c r="CE57" i="97"/>
  <c r="CE47" i="97"/>
  <c r="CE41" i="97"/>
  <c r="CE68" i="97"/>
  <c r="CE85" i="97"/>
  <c r="CG34" i="95"/>
  <c r="CG15" i="95"/>
  <c r="CG60" i="95"/>
  <c r="CG24" i="95"/>
  <c r="CG55" i="95"/>
  <c r="CG18" i="95"/>
  <c r="CG14" i="95"/>
  <c r="CG49" i="95"/>
  <c r="CG51" i="95"/>
  <c r="CG53" i="95"/>
  <c r="CG13" i="95"/>
  <c r="CG28" i="95"/>
  <c r="CG27" i="95"/>
  <c r="CG59" i="95"/>
  <c r="CG57" i="95"/>
  <c r="CG63" i="95"/>
  <c r="CG74" i="95"/>
  <c r="CG92" i="95"/>
  <c r="CG83" i="95"/>
  <c r="CG84" i="95"/>
  <c r="CG88" i="95"/>
  <c r="CG19" i="95"/>
  <c r="CG36" i="95"/>
  <c r="CG31" i="95"/>
  <c r="CG75" i="95"/>
  <c r="CG11" i="95"/>
  <c r="CG38" i="95"/>
  <c r="CG29" i="95"/>
  <c r="CG41" i="95"/>
  <c r="CG66" i="95"/>
  <c r="CG95" i="95"/>
  <c r="CG86" i="95"/>
  <c r="CG89" i="95"/>
  <c r="CG90" i="95"/>
  <c r="CG94" i="95"/>
  <c r="CG22" i="95"/>
  <c r="CG33" i="95"/>
  <c r="CH8" i="95"/>
  <c r="CH84" i="95" s="1"/>
  <c r="CI7" i="95"/>
  <c r="CG12" i="95"/>
  <c r="CG17" i="95"/>
  <c r="CG39" i="95"/>
  <c r="CG45" i="95"/>
  <c r="CG44" i="95"/>
  <c r="CG68" i="95"/>
  <c r="CG97" i="95"/>
  <c r="CG58" i="95"/>
  <c r="CG93" i="95"/>
  <c r="CG70" i="95"/>
  <c r="CG46" i="95"/>
  <c r="CG40" i="95"/>
  <c r="CG71" i="95"/>
  <c r="CG64" i="95"/>
  <c r="CG96" i="95"/>
  <c r="CG77" i="95"/>
  <c r="CG20" i="95"/>
  <c r="CG16" i="95"/>
  <c r="CG30" i="95"/>
  <c r="CG42" i="95"/>
  <c r="CG73" i="95"/>
  <c r="CG47" i="95"/>
  <c r="CG72" i="95"/>
  <c r="CG67" i="95"/>
  <c r="CG91" i="95"/>
  <c r="CG78" i="95"/>
  <c r="CG56" i="95"/>
  <c r="CG26" i="95"/>
  <c r="CG25" i="95"/>
  <c r="CG23" i="95"/>
  <c r="CG35" i="95"/>
  <c r="CG48" i="95"/>
  <c r="CG62" i="95"/>
  <c r="CG61" i="95"/>
  <c r="CG50" i="95"/>
  <c r="CG82" i="95"/>
  <c r="CG80" i="95"/>
  <c r="CG69" i="95"/>
  <c r="CG81" i="95"/>
  <c r="CG79" i="95"/>
  <c r="CG37" i="95"/>
  <c r="CG52" i="95"/>
  <c r="CH11" i="95" l="1"/>
  <c r="CH13" i="95"/>
  <c r="CH67" i="95"/>
  <c r="CH26" i="95"/>
  <c r="CH85" i="95"/>
  <c r="CH19" i="95"/>
  <c r="CH33" i="95"/>
  <c r="CH92" i="95"/>
  <c r="CH94" i="95"/>
  <c r="CH23" i="95"/>
  <c r="CH46" i="95"/>
  <c r="CH82" i="95"/>
  <c r="CH36" i="95"/>
  <c r="CH25" i="95"/>
  <c r="CH45" i="95"/>
  <c r="CH53" i="95"/>
  <c r="CH97" i="95"/>
  <c r="CH17" i="95"/>
  <c r="CH27" i="95"/>
  <c r="CH77" i="95"/>
  <c r="CH88" i="95"/>
  <c r="CH91" i="95"/>
  <c r="CH24" i="95"/>
  <c r="CH31" i="95"/>
  <c r="CH40" i="95"/>
  <c r="CH68" i="95"/>
  <c r="CH14" i="95"/>
  <c r="CH20" i="95"/>
  <c r="CH44" i="95"/>
  <c r="CH96" i="95"/>
  <c r="CH34" i="95"/>
  <c r="CH37" i="95"/>
  <c r="CH62" i="95"/>
  <c r="CH63" i="95"/>
  <c r="CH22" i="95"/>
  <c r="CH12" i="95"/>
  <c r="CH15" i="95"/>
  <c r="CH18" i="95"/>
  <c r="CH16" i="95"/>
  <c r="CH59" i="95"/>
  <c r="CH42" i="95"/>
  <c r="CH66" i="95"/>
  <c r="CH39" i="95"/>
  <c r="CH90" i="95"/>
  <c r="CH61" i="95"/>
  <c r="CH83" i="95"/>
  <c r="CH80" i="95"/>
  <c r="CH89" i="95"/>
  <c r="CH28" i="95"/>
  <c r="CH35" i="95"/>
  <c r="CH51" i="95"/>
  <c r="CH30" i="95"/>
  <c r="CH29" i="95"/>
  <c r="CH38" i="95"/>
  <c r="CH58" i="95"/>
  <c r="CH79" i="95"/>
  <c r="CH52" i="95"/>
  <c r="CH64" i="95"/>
  <c r="CH57" i="95"/>
  <c r="CH95" i="95"/>
  <c r="CH86" i="95"/>
  <c r="CH93" i="95"/>
  <c r="CI8" i="95"/>
  <c r="CI95" i="95" s="1"/>
  <c r="CH47" i="95"/>
  <c r="CH41" i="95"/>
  <c r="CH48" i="95"/>
  <c r="CH74" i="95"/>
  <c r="CH56" i="95"/>
  <c r="CH70" i="95"/>
  <c r="CH71" i="95"/>
  <c r="CH69" i="95"/>
  <c r="CH78" i="95"/>
  <c r="CH49" i="95"/>
  <c r="CH55" i="95"/>
  <c r="CH50" i="95"/>
  <c r="CH60" i="95"/>
  <c r="CH72" i="95"/>
  <c r="CH81" i="95"/>
  <c r="CH73" i="95"/>
  <c r="CH75" i="95"/>
  <c r="CI49" i="95" l="1"/>
  <c r="CI39" i="95"/>
  <c r="CI58" i="95"/>
  <c r="CI64" i="95"/>
  <c r="CI24" i="95"/>
  <c r="CI12" i="95"/>
  <c r="CI88" i="95"/>
  <c r="CI90" i="95"/>
  <c r="CI26" i="95"/>
  <c r="CI46" i="95"/>
  <c r="CI13" i="95"/>
  <c r="CI69" i="95"/>
  <c r="CI79" i="95"/>
  <c r="CI20" i="95"/>
  <c r="CI52" i="95"/>
  <c r="CI30" i="95"/>
  <c r="CI72" i="95"/>
  <c r="CI33" i="95"/>
  <c r="CI36" i="95"/>
  <c r="CI81" i="95"/>
  <c r="CI27" i="95"/>
  <c r="CI89" i="95"/>
  <c r="CI84" i="95"/>
  <c r="CI18" i="95"/>
  <c r="CI44" i="95"/>
  <c r="CI51" i="95"/>
  <c r="CI29" i="95"/>
  <c r="CI47" i="95"/>
  <c r="CI23" i="95"/>
  <c r="CI50" i="95"/>
  <c r="CI73" i="95"/>
  <c r="CI77" i="95"/>
  <c r="CI68" i="95"/>
  <c r="CI48" i="95"/>
  <c r="CI31" i="95"/>
  <c r="CI34" i="95"/>
  <c r="CI59" i="95"/>
  <c r="CI94" i="95"/>
  <c r="CI86" i="95"/>
  <c r="CI14" i="95"/>
  <c r="CI17" i="95"/>
  <c r="CI22" i="95"/>
  <c r="CI40" i="95"/>
  <c r="CI70" i="95"/>
  <c r="CI66" i="95"/>
  <c r="CI97" i="95"/>
  <c r="CI16" i="95"/>
  <c r="CI19" i="95"/>
  <c r="CI28" i="95"/>
  <c r="CI41" i="95"/>
  <c r="CI38" i="95"/>
  <c r="CI56" i="95"/>
  <c r="CI92" i="95"/>
  <c r="CI37" i="95"/>
  <c r="CI11" i="95"/>
  <c r="CI25" i="95"/>
  <c r="CI42" i="95"/>
  <c r="CI78" i="95"/>
  <c r="CI55" i="95"/>
  <c r="CI80" i="95"/>
  <c r="CI45" i="95"/>
  <c r="CI67" i="95"/>
  <c r="CI62" i="95"/>
  <c r="CI85" i="95"/>
  <c r="CI96" i="95"/>
  <c r="CI75" i="95"/>
  <c r="CI91" i="95"/>
  <c r="CI83" i="95"/>
  <c r="CI93" i="95"/>
  <c r="CI57" i="95"/>
  <c r="CI15" i="95"/>
  <c r="CI53" i="95"/>
  <c r="CI35" i="95"/>
  <c r="CI71" i="95"/>
  <c r="CI61" i="95"/>
  <c r="CI60" i="95"/>
  <c r="CI63" i="95"/>
  <c r="CI82" i="95"/>
  <c r="CI74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B9" authorId="0" shapeId="0" xr:uid="{00000000-0006-0000-03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B10" authorId="0" shapeId="0" xr:uid="{00000000-0006-0000-03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B11" authorId="0" shapeId="0" xr:uid="{00000000-0006-0000-03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B16" authorId="0" shapeId="0" xr:uid="{00000000-0006-0000-03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B17" authorId="0" shapeId="0" xr:uid="{00000000-0006-0000-03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B18" authorId="0" shapeId="0" xr:uid="{00000000-0006-0000-03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B19" authorId="0" shapeId="0" xr:uid="{00000000-0006-0000-03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B20" authorId="0" shapeId="0" xr:uid="{00000000-0006-0000-03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B21" authorId="0" shapeId="0" xr:uid="{00000000-0006-0000-03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B22" authorId="0" shapeId="0" xr:uid="{00000000-0006-0000-03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B23" authorId="0" shapeId="0" xr:uid="{00000000-0006-0000-03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B24" authorId="0" shapeId="0" xr:uid="{00000000-0006-0000-03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B25" authorId="0" shapeId="0" xr:uid="{00000000-0006-0000-03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B26" authorId="0" shapeId="0" xr:uid="{00000000-0006-0000-03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B27" authorId="1" shapeId="0" xr:uid="{00000000-0006-0000-03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04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04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04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04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04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04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04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04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04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04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04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04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04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04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04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05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05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05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05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05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05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05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05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05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05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T5" authorId="0" shapeId="0" xr:uid="{00000000-0006-0000-05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V5" authorId="0" shapeId="0" xr:uid="{00000000-0006-0000-05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X5" authorId="0" shapeId="0" xr:uid="{00000000-0006-0000-05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Y5" authorId="0" shapeId="0" xr:uid="{00000000-0006-0000-05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06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06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06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06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06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06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06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06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06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06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06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06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06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06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06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07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07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07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07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07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07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07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07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07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07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07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07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07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07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08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08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08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08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08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08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08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08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08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08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08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08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08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08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08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09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09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09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09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09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09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09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09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09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09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09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09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09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09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0A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0A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0A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0A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0A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0A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0A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0A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0A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0A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0A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0A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0A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0A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0A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0B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0B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0B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0B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0B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0B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0B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0B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0B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0B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0B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0B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0B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0B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0C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0C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0C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0C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0C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0C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0C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0C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0C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0C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0C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0C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0C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0C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0C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0D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0D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0D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0D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0D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0D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0D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0D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0D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0D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0D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0D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0D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0D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0E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0E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0E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0E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0E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0E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0E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0E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0E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0E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0E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0E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0E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0E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0E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0F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0F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0F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0F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0F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0F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0F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0F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0F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0F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0F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0F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0F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0F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10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10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10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10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10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10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10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10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10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10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10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10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10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10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10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11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11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11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11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11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11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11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11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11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11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11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11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11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11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12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12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12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12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12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12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12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12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12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12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12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12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12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12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12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13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13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13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13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13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13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13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13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13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13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13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13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13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13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14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14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14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14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14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14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14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14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14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14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14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14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14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14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14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15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15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15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15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15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15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15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15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15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15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15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15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15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15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16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16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16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16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16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16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16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16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16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16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16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16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16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16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16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17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17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17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17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17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17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17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17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17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17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17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17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17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17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Sang-kuk.Lee</author>
    <author>김은령</author>
  </authors>
  <commentList>
    <comment ref="A9" authorId="0" shapeId="0" xr:uid="{00000000-0006-0000-1800-000001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누적계획 태스크 수</t>
        </r>
      </text>
    </comment>
    <comment ref="A10" authorId="0" shapeId="0" xr:uid="{00000000-0006-0000-1800-000002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누적실적 태스크 수</t>
        </r>
      </text>
    </comment>
    <comment ref="A11" authorId="0" shapeId="0" xr:uid="{00000000-0006-0000-1800-000003000000}">
      <text>
        <r>
          <rPr>
            <b/>
            <sz val="9"/>
            <color indexed="81"/>
            <rFont val="굴림"/>
            <family val="3"/>
            <charset val="129"/>
          </rPr>
          <t>전체 공정에 대한 진척 점검일자 기준 
실적율
= (시점누적실적
   /시점누적계획)
   * 100</t>
        </r>
      </text>
    </comment>
    <comment ref="A16" authorId="0" shapeId="0" xr:uid="{00000000-0006-0000-1800-000004000000}">
      <text>
        <r>
          <rPr>
            <b/>
            <sz val="9"/>
            <color indexed="81"/>
            <rFont val="굴림"/>
            <family val="3"/>
            <charset val="129"/>
          </rPr>
          <t>해당 단계에 가중치</t>
        </r>
      </text>
    </comment>
    <comment ref="A17" authorId="0" shapeId="0" xr:uid="{00000000-0006-0000-1800-000005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 태스크 수</t>
        </r>
      </text>
    </comment>
    <comment ref="A18" authorId="0" shapeId="0" xr:uid="{00000000-0006-0000-1800-000006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 태스크 수</t>
        </r>
      </text>
    </comment>
    <comment ref="A19" authorId="0" shapeId="0" xr:uid="{00000000-0006-0000-1800-000007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누적편차 태스크 수
= (단계별 시점 누적실적) - (단계별 시점 누적계획)</t>
        </r>
      </text>
    </comment>
    <comment ref="A20" authorId="0" shapeId="0" xr:uid="{00000000-0006-0000-1800-000008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누적계획율</t>
        </r>
      </text>
    </comment>
    <comment ref="A21" authorId="0" shapeId="0" xr:uid="{00000000-0006-0000-1800-000009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누적실적율</t>
        </r>
      </text>
    </comment>
    <comment ref="A22" authorId="0" shapeId="0" xr:uid="{00000000-0006-0000-1800-00000A000000}">
      <text>
        <r>
          <rPr>
            <b/>
            <sz val="9"/>
            <color indexed="81"/>
            <rFont val="굴림"/>
            <family val="3"/>
            <charset val="129"/>
          </rPr>
          <t>해당 단계에 대한 진척 점검일자 기준 
계획대비 실적율
= (단계별 시점 누적실적 * 100) / (단계별 시점 누적계획)</t>
        </r>
      </text>
    </comment>
    <comment ref="A23" authorId="0" shapeId="0" xr:uid="{00000000-0006-0000-1800-00000B000000}">
      <text>
        <r>
          <rPr>
            <b/>
            <sz val="9"/>
            <color indexed="81"/>
            <rFont val="굴림"/>
            <family val="3"/>
            <charset val="129"/>
          </rPr>
          <t>해당 단계의 진척관리 기준일자 이전에 
계획된 태스크 수</t>
        </r>
      </text>
    </comment>
    <comment ref="A24" authorId="0" shapeId="0" xr:uid="{00000000-0006-0000-1800-00000C000000}">
      <text>
        <r>
          <rPr>
            <b/>
            <sz val="9"/>
            <color indexed="81"/>
            <rFont val="굴림"/>
            <family val="3"/>
            <charset val="129"/>
          </rPr>
          <t>해당 단계의 진행중인 태스크 수
= 종료계획일자 이전
  진행율 100% 미만</t>
        </r>
      </text>
    </comment>
    <comment ref="A25" authorId="0" shapeId="0" xr:uid="{00000000-0006-0000-1800-00000D000000}">
      <text>
        <r>
          <rPr>
            <b/>
            <sz val="9"/>
            <color indexed="81"/>
            <rFont val="굴림"/>
            <family val="3"/>
            <charset val="129"/>
          </rPr>
          <t>해당 단계의 종료된 태스크 수
= 진행율 100%</t>
        </r>
      </text>
    </comment>
    <comment ref="A26" authorId="0" shapeId="0" xr:uid="{00000000-0006-0000-1800-00000E000000}">
      <text>
        <r>
          <rPr>
            <b/>
            <sz val="9"/>
            <color indexed="81"/>
            <rFont val="굴림"/>
            <family val="3"/>
            <charset val="129"/>
          </rPr>
          <t>해당 단계의 지연된 태스크 수
= 종료계획일자 이후
  진행율 100% 미만</t>
        </r>
      </text>
    </comment>
    <comment ref="A27" authorId="1" shapeId="0" xr:uid="{00000000-0006-0000-1800-00000F000000}">
      <text>
        <r>
          <rPr>
            <b/>
            <sz val="9"/>
            <color indexed="81"/>
            <rFont val="굴림"/>
            <family val="3"/>
            <charset val="129"/>
          </rPr>
          <t>프로젝트 기준서가 작성되고 나면 각 단계별 계획된 Review 문서 갯수를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김은령</author>
  </authors>
  <commentList>
    <comment ref="I5" authorId="0" shapeId="0" xr:uid="{00000000-0006-0000-1900-000001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단계 가중치와 단계 내에서 각 Task에서의 가중치를 입력한다.
가중치를 부여할 경우 투입되는 자원을 고려하여 비례할 수 있도록 한다. 
① 착수, 분석, 설계, 개발, 테스트, 전개, 종료 등 각 단계의 가중치의 합이 100이 되도록 부여한다. 
② 단계별 태스크의 가중치의 합이 단계별로 각각 100이 되도록 부여한다. 만약 분석 단계 17개의 태스크가 있다면 17개 태스크의 가중치합이 100이 되어야 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5" authorId="0" shapeId="0" xr:uid="{00000000-0006-0000-1900-000002000000}">
      <text>
        <r>
          <rPr>
            <b/>
            <sz val="9"/>
            <color indexed="81"/>
            <rFont val="굴림"/>
            <family val="3"/>
            <charset val="129"/>
          </rPr>
          <t>점검일자에 입력된 날짜를 기준으로 계획과 비교하여 각 태스크별 진행되어야 할 퍼센트이다. 이 부분은 수식에 의해 자동 계산됨.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K5" authorId="0" shapeId="0" xr:uid="{00000000-0006-0000-1900-000003000000}">
      <text>
        <r>
          <rPr>
            <b/>
            <sz val="9"/>
            <color indexed="81"/>
            <rFont val="굴림"/>
            <family val="3"/>
            <charset val="129"/>
          </rPr>
          <t>점검일자를 기준으로 관리자가 각 태스크별 진척율을 백분율로 입력한다.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L5" authorId="0" shapeId="0" xr:uid="{00000000-0006-0000-1900-000004000000}">
      <text>
        <r>
          <rPr>
            <b/>
            <sz val="9"/>
            <color indexed="81"/>
            <rFont val="굴림"/>
            <family val="3"/>
            <charset val="129"/>
          </rPr>
          <t xml:space="preserve">각 태스크의 '시점계획완료율'을 프로젝트 전체 진척율로 기준하여 자동 계산되는 부분이다. </t>
        </r>
      </text>
    </comment>
    <comment ref="M5" authorId="0" shapeId="0" xr:uid="{00000000-0006-0000-1900-000005000000}">
      <text>
        <r>
          <rPr>
            <b/>
            <sz val="9"/>
            <color indexed="81"/>
            <rFont val="굴림"/>
            <family val="3"/>
            <charset val="129"/>
          </rPr>
          <t>각 태스크의 '시점실적완료율'을 프로젝트 전체 진척율로 기준하여 자동 계산되는 부분이다.</t>
        </r>
      </text>
    </comment>
    <comment ref="N5" authorId="0" shapeId="0" xr:uid="{00000000-0006-0000-1900-000006000000}">
      <text>
        <r>
          <rPr>
            <b/>
            <sz val="9"/>
            <color indexed="81"/>
            <rFont val="굴림"/>
            <family val="3"/>
            <charset val="129"/>
          </rPr>
          <t>각 단계 가중치를 반영한 계획대비 실적 진척율을 자동계산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O5" authorId="0" shapeId="0" xr:uid="{00000000-0006-0000-1900-000007000000}">
      <text>
        <r>
          <rPr>
            <b/>
            <sz val="9"/>
            <color indexed="81"/>
            <rFont val="굴림"/>
            <family val="3"/>
            <charset val="129"/>
          </rPr>
          <t>각 태스크의 실제 진행상태를 자동으로 알려 줌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P5" authorId="0" shapeId="0" xr:uid="{00000000-0006-0000-1900-000008000000}">
      <text>
        <r>
          <rPr>
            <b/>
            <sz val="9"/>
            <color indexed="81"/>
            <rFont val="굴림"/>
            <family val="3"/>
            <charset val="129"/>
          </rPr>
          <t xml:space="preserve">해당 태스트의 계획된 시작일자를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Q5" authorId="0" shapeId="0" xr:uid="{00000000-0006-0000-1900-000009000000}">
      <text>
        <r>
          <rPr>
            <b/>
            <sz val="9"/>
            <color indexed="81"/>
            <rFont val="굴림"/>
            <family val="3"/>
            <charset val="129"/>
          </rPr>
          <t>해당 태스트의 계획된 완료일자를 기입한다.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R5" authorId="0" shapeId="0" xr:uid="{00000000-0006-0000-1900-00000A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시작한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S5" authorId="0" shapeId="0" xr:uid="{00000000-0006-0000-1900-00000B000000}">
      <text>
        <r>
          <rPr>
            <b/>
            <sz val="9"/>
            <color indexed="81"/>
            <rFont val="굴림"/>
            <family val="3"/>
            <charset val="129"/>
          </rPr>
          <t xml:space="preserve">진척 점검 시 해당 태스크의 실제 작업을 완료한 일자를 기입한다. </t>
        </r>
        <r>
          <rPr>
            <sz val="9"/>
            <color indexed="81"/>
            <rFont val="굴림"/>
            <family val="3"/>
            <charset val="129"/>
          </rPr>
          <t xml:space="preserve">
. 
</t>
        </r>
      </text>
    </comment>
    <comment ref="T5" authorId="0" shapeId="0" xr:uid="{00000000-0006-0000-1900-00000C000000}">
      <text>
        <r>
          <rPr>
            <b/>
            <sz val="9"/>
            <color indexed="81"/>
            <rFont val="굴림"/>
            <family val="3"/>
            <charset val="129"/>
          </rPr>
          <t>해당작업전에 선행되어 완료되어야 할 작업의 No를 입력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U5" authorId="0" shapeId="0" xr:uid="{00000000-0006-0000-1900-00000D000000}">
      <text>
        <r>
          <rPr>
            <b/>
            <sz val="9"/>
            <color indexed="81"/>
            <rFont val="굴림"/>
            <family val="3"/>
            <charset val="129"/>
          </rPr>
          <t xml:space="preserve">선행작업의 종료일자와 해당작업의 시작일의 여유기간
즉, 기간이 "0"이하일 경우 관리대상이 됨
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V5" authorId="0" shapeId="0" xr:uid="{00000000-0006-0000-1900-00000E000000}">
      <text>
        <r>
          <rPr>
            <b/>
            <sz val="9"/>
            <color indexed="81"/>
            <rFont val="굴림"/>
            <family val="3"/>
            <charset val="129"/>
          </rPr>
          <t xml:space="preserve">휴일이 포함된 기간이므로 휴일을 고려해야 함
</t>
        </r>
        <r>
          <rPr>
            <sz val="9"/>
            <color indexed="81"/>
            <rFont val="굴림"/>
            <family val="3"/>
            <charset val="129"/>
          </rPr>
          <t xml:space="preserve">
액</t>
        </r>
      </text>
    </comment>
  </commentList>
</comments>
</file>

<file path=xl/sharedStrings.xml><?xml version="1.0" encoding="utf-8"?>
<sst xmlns="http://schemas.openxmlformats.org/spreadsheetml/2006/main" count="2522" uniqueCount="317">
  <si>
    <t>가중치</t>
    <phoneticPr fontId="4" type="noConversion"/>
  </si>
  <si>
    <t>구분</t>
    <phoneticPr fontId="4" type="noConversion"/>
  </si>
  <si>
    <t>시작계획일</t>
    <phoneticPr fontId="4" type="noConversion"/>
  </si>
  <si>
    <t>실제시작일</t>
    <phoneticPr fontId="4" type="noConversion"/>
  </si>
  <si>
    <t>No</t>
    <phoneticPr fontId="4" type="noConversion"/>
  </si>
  <si>
    <t>결과물</t>
    <phoneticPr fontId="4" type="noConversion"/>
  </si>
  <si>
    <t>담당자</t>
    <phoneticPr fontId="4" type="noConversion"/>
  </si>
  <si>
    <t>진행
상태</t>
    <phoneticPr fontId="4" type="noConversion"/>
  </si>
  <si>
    <t>4</t>
    <phoneticPr fontId="4" type="noConversion"/>
  </si>
  <si>
    <t>4.3</t>
  </si>
  <si>
    <t>4.4</t>
  </si>
  <si>
    <t>4.5</t>
  </si>
  <si>
    <t>4.6</t>
  </si>
  <si>
    <t>4.7</t>
  </si>
  <si>
    <t>4.8</t>
  </si>
  <si>
    <t>4.9</t>
  </si>
  <si>
    <t>4.10</t>
  </si>
  <si>
    <t>5.1</t>
    <phoneticPr fontId="4" type="noConversion"/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</si>
  <si>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</si>
  <si>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</si>
  <si>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</si>
  <si>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</si>
  <si>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</si>
  <si>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</si>
  <si>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</si>
  <si>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</si>
  <si>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</si>
  <si>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6.1</t>
    <phoneticPr fontId="4" type="noConversion"/>
  </si>
  <si>
    <t>6.4</t>
  </si>
  <si>
    <t>6.5</t>
  </si>
  <si>
    <t>6.6</t>
  </si>
  <si>
    <t>6.7</t>
  </si>
  <si>
    <t>6.8</t>
  </si>
  <si>
    <t>6.9</t>
  </si>
  <si>
    <t>6.10</t>
  </si>
  <si>
    <t>7.1</t>
    <phoneticPr fontId="4" type="noConversion"/>
  </si>
  <si>
    <t>7.3</t>
  </si>
  <si>
    <t>7.4</t>
  </si>
  <si>
    <t>7.5</t>
  </si>
  <si>
    <t>8.1</t>
    <phoneticPr fontId="4" type="noConversion"/>
  </si>
  <si>
    <t>8.3</t>
  </si>
  <si>
    <t>단계별 가중치</t>
    <phoneticPr fontId="4" type="noConversion"/>
  </si>
  <si>
    <t>각 단계 Review율</t>
    <phoneticPr fontId="4" type="noConversion"/>
  </si>
  <si>
    <t>합계</t>
    <phoneticPr fontId="4" type="noConversion"/>
  </si>
  <si>
    <t>시점 누적계획율</t>
    <phoneticPr fontId="4" type="noConversion"/>
  </si>
  <si>
    <t>시점 누적실적율</t>
    <phoneticPr fontId="4" type="noConversion"/>
  </si>
  <si>
    <t>시점 누적편차</t>
    <phoneticPr fontId="4" type="noConversion"/>
  </si>
  <si>
    <t>계획대비 실적율</t>
    <phoneticPr fontId="4" type="noConversion"/>
  </si>
  <si>
    <t xml:space="preserve">     - 시점 누적계획</t>
    <phoneticPr fontId="4" type="noConversion"/>
  </si>
  <si>
    <t xml:space="preserve">     - 시점 누적실적</t>
    <phoneticPr fontId="4" type="noConversion"/>
  </si>
  <si>
    <t xml:space="preserve">     - 계획대비 실적율</t>
    <phoneticPr fontId="4" type="noConversion"/>
  </si>
  <si>
    <t>3. 각 단계별 상세 진행 현황</t>
    <phoneticPr fontId="4" type="noConversion"/>
  </si>
  <si>
    <t>4. 각 단계별 상세 진행 현황 그래프</t>
    <phoneticPr fontId="4" type="noConversion"/>
  </si>
  <si>
    <t>작업기간</t>
    <phoneticPr fontId="4" type="noConversion"/>
  </si>
  <si>
    <t>CP</t>
    <phoneticPr fontId="4" type="noConversion"/>
  </si>
  <si>
    <t>8</t>
    <phoneticPr fontId="4" type="noConversion"/>
  </si>
  <si>
    <t>1.1</t>
    <phoneticPr fontId="4" type="noConversion"/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</si>
  <si>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</si>
  <si>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</si>
  <si>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</si>
  <si>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</si>
  <si>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</si>
  <si>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</si>
  <si>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</si>
  <si>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</si>
  <si>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</si>
  <si>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  <phoneticPr fontId="4" type="noConversion"/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</si>
  <si>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</si>
  <si>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</si>
  <si>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</si>
  <si>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</si>
  <si>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</si>
  <si>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</si>
  <si>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</si>
  <si>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</si>
  <si>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</si>
  <si>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</t>
    <phoneticPr fontId="4" type="noConversion"/>
  </si>
  <si>
    <t>3</t>
    <phoneticPr fontId="4" type="noConversion"/>
  </si>
  <si>
    <t>5</t>
    <phoneticPr fontId="4" type="noConversion"/>
  </si>
  <si>
    <t>6</t>
    <phoneticPr fontId="4" type="noConversion"/>
  </si>
  <si>
    <t>7</t>
    <phoneticPr fontId="4" type="noConversion"/>
  </si>
  <si>
    <t>3.1</t>
    <phoneticPr fontId="4" type="noConversion"/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</si>
  <si>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</si>
  <si>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</si>
  <si>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</si>
  <si>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</si>
  <si>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</si>
  <si>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</si>
  <si>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</si>
  <si>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</si>
  <si>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</si>
  <si>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4.2</t>
  </si>
  <si>
    <t>종료계획일</t>
    <phoneticPr fontId="4" type="noConversion"/>
  </si>
  <si>
    <t>실제종료일</t>
    <phoneticPr fontId="4" type="noConversion"/>
  </si>
  <si>
    <t>시점
가중치
계획</t>
    <phoneticPr fontId="4" type="noConversion"/>
  </si>
  <si>
    <t>시점
계획
완료율</t>
    <phoneticPr fontId="4" type="noConversion"/>
  </si>
  <si>
    <t>시점
실적
완료율</t>
    <phoneticPr fontId="4" type="noConversion"/>
  </si>
  <si>
    <t>선행
태스크No</t>
    <phoneticPr fontId="4" type="noConversion"/>
  </si>
  <si>
    <t>액티비티</t>
    <phoneticPr fontId="4" type="noConversion"/>
  </si>
  <si>
    <t>태스크</t>
    <phoneticPr fontId="4" type="noConversion"/>
  </si>
  <si>
    <t>12월</t>
    <phoneticPr fontId="4" type="noConversion"/>
  </si>
  <si>
    <t>단계별 시점 누적계획</t>
    <phoneticPr fontId="4" type="noConversion"/>
  </si>
  <si>
    <t>단계별 시점 누적실적</t>
    <phoneticPr fontId="4" type="noConversion"/>
  </si>
  <si>
    <t>진행중인 태스크 수</t>
  </si>
  <si>
    <t>종료된 태스크 수</t>
  </si>
  <si>
    <t>지연된 태스크 수</t>
  </si>
  <si>
    <t>계획된 태스크 수</t>
  </si>
  <si>
    <t>계획된 Review 문서</t>
    <phoneticPr fontId="4" type="noConversion"/>
  </si>
  <si>
    <t>완료된 Review 문서</t>
    <phoneticPr fontId="4" type="noConversion"/>
  </si>
  <si>
    <t>4.1</t>
    <phoneticPr fontId="4" type="noConversion"/>
  </si>
  <si>
    <t>7.6</t>
  </si>
  <si>
    <t>7.7</t>
  </si>
  <si>
    <t>시점
가중치
실적</t>
    <phoneticPr fontId="4" type="noConversion"/>
  </si>
  <si>
    <t>시점
편차</t>
    <phoneticPr fontId="4" type="noConversion"/>
  </si>
  <si>
    <t>8.4</t>
  </si>
  <si>
    <t>8.5</t>
  </si>
  <si>
    <t>8.6</t>
  </si>
  <si>
    <t>8.7</t>
  </si>
  <si>
    <t>8.8</t>
  </si>
  <si>
    <t>8.9</t>
  </si>
  <si>
    <t>8.10</t>
  </si>
  <si>
    <t>09월</t>
    <phoneticPr fontId="4" type="noConversion"/>
  </si>
  <si>
    <t>세부 태스크-1</t>
    <phoneticPr fontId="4" type="noConversion"/>
  </si>
  <si>
    <t>세부 태스크-2</t>
    <phoneticPr fontId="4" type="noConversion"/>
  </si>
  <si>
    <t>범위명</t>
    <phoneticPr fontId="4" type="noConversion"/>
  </si>
  <si>
    <t>버전</t>
    <phoneticPr fontId="4" type="noConversion"/>
  </si>
  <si>
    <t>3. 각 범위별 상세 진행 현황</t>
    <phoneticPr fontId="4" type="noConversion"/>
  </si>
  <si>
    <t>범위별 가중치</t>
    <phoneticPr fontId="4" type="noConversion"/>
  </si>
  <si>
    <t>범위별 시점 누적계획</t>
    <phoneticPr fontId="4" type="noConversion"/>
  </si>
  <si>
    <t>범위별 시점 누적실적</t>
    <phoneticPr fontId="4" type="noConversion"/>
  </si>
  <si>
    <t>4. 각 범위별 상세 진행 현황 그래프</t>
    <phoneticPr fontId="4" type="noConversion"/>
  </si>
  <si>
    <t>07월</t>
    <phoneticPr fontId="4" type="noConversion"/>
  </si>
  <si>
    <t>08월</t>
    <phoneticPr fontId="4" type="noConversion"/>
  </si>
  <si>
    <t>1W</t>
    <phoneticPr fontId="4" type="noConversion"/>
  </si>
  <si>
    <t>10월</t>
    <phoneticPr fontId="4" type="noConversion"/>
  </si>
  <si>
    <t>(범위명)</t>
    <phoneticPr fontId="4" type="noConversion"/>
  </si>
  <si>
    <t>프로세스</t>
    <phoneticPr fontId="4" type="noConversion"/>
  </si>
  <si>
    <t>8.2</t>
  </si>
  <si>
    <t>7.2</t>
  </si>
  <si>
    <t>7.8</t>
  </si>
  <si>
    <t>1. 관리책임자</t>
    <phoneticPr fontId="4" type="noConversion"/>
  </si>
  <si>
    <t>2. 전체 진행 현황</t>
    <phoneticPr fontId="4" type="noConversion"/>
  </si>
  <si>
    <t>6.2</t>
  </si>
  <si>
    <t>6.3</t>
  </si>
  <si>
    <t>7.9</t>
  </si>
  <si>
    <t>7.10</t>
  </si>
  <si>
    <t>전체 누적계획</t>
    <phoneticPr fontId="4" type="noConversion"/>
  </si>
  <si>
    <t>전체 누적실적</t>
    <phoneticPr fontId="4" type="noConversion"/>
  </si>
  <si>
    <t>전체 누적편차</t>
    <phoneticPr fontId="4" type="noConversion"/>
  </si>
  <si>
    <t>1. 점검마감일자</t>
    <phoneticPr fontId="4" type="noConversion"/>
  </si>
  <si>
    <t>01월</t>
    <phoneticPr fontId="4" type="noConversion"/>
  </si>
  <si>
    <t>02월</t>
    <phoneticPr fontId="4" type="noConversion"/>
  </si>
  <si>
    <t>03월</t>
    <phoneticPr fontId="4" type="noConversion"/>
  </si>
  <si>
    <t>04월</t>
    <phoneticPr fontId="4" type="noConversion"/>
  </si>
  <si>
    <t>05월</t>
    <phoneticPr fontId="4" type="noConversion"/>
  </si>
  <si>
    <t>06월</t>
    <phoneticPr fontId="4" type="noConversion"/>
  </si>
  <si>
    <t>11월</t>
    <phoneticPr fontId="4" type="noConversion"/>
  </si>
  <si>
    <t>26W</t>
  </si>
  <si>
    <t>27W</t>
  </si>
  <si>
    <t>28W</t>
  </si>
  <si>
    <t>29W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</si>
  <si>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</si>
  <si>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</si>
  <si>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</si>
  <si>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</si>
  <si>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</si>
  <si>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</si>
  <si>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</si>
  <si>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</si>
  <si>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</si>
  <si>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39W</t>
  </si>
  <si>
    <t>40W</t>
  </si>
  <si>
    <t>41W</t>
  </si>
  <si>
    <t>42W</t>
  </si>
  <si>
    <t>43W</t>
  </si>
  <si>
    <t>44W</t>
  </si>
  <si>
    <t>45W</t>
  </si>
  <si>
    <t>46W</t>
  </si>
  <si>
    <t>48W</t>
  </si>
  <si>
    <t>49W</t>
  </si>
  <si>
    <t>50W</t>
  </si>
  <si>
    <t>51W</t>
  </si>
  <si>
    <t>52W</t>
  </si>
  <si>
    <t>53W</t>
  </si>
  <si>
    <t>2W</t>
  </si>
  <si>
    <t>3W</t>
  </si>
  <si>
    <t>6W</t>
  </si>
  <si>
    <t>7W</t>
  </si>
  <si>
    <t>8W</t>
  </si>
  <si>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</si>
  <si>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</si>
  <si>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</si>
  <si>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</si>
  <si>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</si>
  <si>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</si>
  <si>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</si>
  <si>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</si>
  <si>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</si>
  <si>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</si>
  <si>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19W</t>
  </si>
  <si>
    <t>20W</t>
  </si>
  <si>
    <t>21W</t>
  </si>
  <si>
    <t>22W</t>
  </si>
  <si>
    <t>24W</t>
  </si>
  <si>
    <t>25W</t>
  </si>
  <si>
    <t>단계1</t>
    <phoneticPr fontId="4" type="noConversion"/>
  </si>
  <si>
    <t>단계2</t>
    <phoneticPr fontId="4" type="noConversion"/>
  </si>
  <si>
    <t>단계4</t>
    <phoneticPr fontId="4" type="noConversion"/>
  </si>
  <si>
    <t>단계3</t>
    <phoneticPr fontId="4" type="noConversion"/>
  </si>
  <si>
    <t>단계5</t>
    <phoneticPr fontId="4" type="noConversion"/>
  </si>
  <si>
    <t>단계6</t>
    <phoneticPr fontId="4" type="noConversion"/>
  </si>
  <si>
    <t>단계7</t>
    <phoneticPr fontId="4" type="noConversion"/>
  </si>
  <si>
    <t>단계8</t>
    <phoneticPr fontId="4" type="noConversion"/>
  </si>
  <si>
    <t>진척점검 보고서 (템플릿)</t>
    <phoneticPr fontId="4" type="noConversion"/>
  </si>
  <si>
    <t>23W</t>
  </si>
  <si>
    <t>47W</t>
  </si>
  <si>
    <t>01. 구분명</t>
    <phoneticPr fontId="4" type="noConversion"/>
  </si>
  <si>
    <t>02. 구분명</t>
    <phoneticPr fontId="4" type="noConversion"/>
  </si>
  <si>
    <t>03. 구분명</t>
    <phoneticPr fontId="4" type="noConversion"/>
  </si>
  <si>
    <t>04. 구분명</t>
    <phoneticPr fontId="4" type="noConversion"/>
  </si>
  <si>
    <t>책임자</t>
    <phoneticPr fontId="4" type="noConversion"/>
  </si>
  <si>
    <t>주관기관 로고</t>
    <phoneticPr fontId="4" type="noConversion"/>
  </si>
  <si>
    <t>문서코드:</t>
    <phoneticPr fontId="4" type="noConversion"/>
  </si>
  <si>
    <t>작 성 일:</t>
    <phoneticPr fontId="4" type="noConversion"/>
  </si>
  <si>
    <t>사업명 입력</t>
    <phoneticPr fontId="4" type="noConversion"/>
  </si>
  <si>
    <t>사업기간:</t>
    <phoneticPr fontId="4" type="noConversion"/>
  </si>
  <si>
    <t>20XX.XX.XX ~ 20XX.XX.XX</t>
    <phoneticPr fontId="4" type="noConversion"/>
  </si>
  <si>
    <t>프로젝트코드-범위코드-단계코드-XXX_문서명</t>
    <phoneticPr fontId="4" type="noConversion"/>
  </si>
  <si>
    <t>관리부서:</t>
    <phoneticPr fontId="4" type="noConversion"/>
  </si>
  <si>
    <t>부서명</t>
    <phoneticPr fontId="4" type="noConversion"/>
  </si>
  <si>
    <t>버    전:</t>
    <phoneticPr fontId="4" type="noConversion"/>
  </si>
  <si>
    <t>Ver.X.X</t>
    <phoneticPr fontId="4" type="noConversion"/>
  </si>
  <si>
    <t>작 성 자:</t>
    <phoneticPr fontId="4" type="noConversion"/>
  </si>
  <si>
    <t>작성자명 및 직함</t>
    <phoneticPr fontId="4" type="noConversion"/>
  </si>
  <si>
    <t>20XX. XX. XX</t>
    <phoneticPr fontId="4" type="noConversion"/>
  </si>
  <si>
    <t>승 인 자:</t>
    <phoneticPr fontId="4" type="noConversion"/>
  </si>
  <si>
    <t>승인자명 및 직함</t>
    <phoneticPr fontId="4" type="noConversion"/>
  </si>
  <si>
    <t>문  서  승  인</t>
    <phoneticPr fontId="4" type="noConversion"/>
  </si>
  <si>
    <t>구분</t>
    <phoneticPr fontId="4" type="noConversion"/>
  </si>
  <si>
    <t>소속</t>
    <phoneticPr fontId="4" type="noConversion"/>
  </si>
  <si>
    <t>이름</t>
    <phoneticPr fontId="4" type="noConversion"/>
  </si>
  <si>
    <t>일자</t>
    <phoneticPr fontId="4" type="noConversion"/>
  </si>
  <si>
    <t>서명</t>
    <phoneticPr fontId="4" type="noConversion"/>
  </si>
  <si>
    <t>승인</t>
    <phoneticPr fontId="4" type="noConversion"/>
  </si>
  <si>
    <t>검토</t>
    <phoneticPr fontId="4" type="noConversion"/>
  </si>
  <si>
    <t>작성</t>
    <phoneticPr fontId="4" type="noConversion"/>
  </si>
  <si>
    <t>제·개정 이력</t>
    <phoneticPr fontId="4" type="noConversion"/>
  </si>
  <si>
    <t>작성일자</t>
    <phoneticPr fontId="4" type="noConversion"/>
  </si>
  <si>
    <t>작성자</t>
    <phoneticPr fontId="4" type="noConversion"/>
  </si>
  <si>
    <t>검토자</t>
    <phoneticPr fontId="4" type="noConversion"/>
  </si>
  <si>
    <t>최초작성</t>
    <phoneticPr fontId="4" type="noConversion"/>
  </si>
  <si>
    <t>1) 변경내용 : 변경이 발생되는 위치와 변경 내용을 자세히 기록(장/절)하고 변경 내용을 기술한다.</t>
    <phoneticPr fontId="4" type="noConversion"/>
  </si>
  <si>
    <t>5. 휴일 리스트</t>
    <phoneticPr fontId="4" type="noConversion"/>
  </si>
  <si>
    <t>월일</t>
    <phoneticPr fontId="4" type="noConversion"/>
  </si>
  <si>
    <t>내용</t>
    <phoneticPr fontId="4" type="noConversion"/>
  </si>
  <si>
    <t>신정</t>
    <phoneticPr fontId="4" type="noConversion"/>
  </si>
  <si>
    <t>설날</t>
    <phoneticPr fontId="4" type="noConversion"/>
  </si>
  <si>
    <t>(주5일 근무제 기준, 평일에 휴일인 날)</t>
    <phoneticPr fontId="4" type="noConversion"/>
  </si>
  <si>
    <t>추석</t>
    <phoneticPr fontId="4" type="noConversion"/>
  </si>
  <si>
    <t>54W</t>
  </si>
  <si>
    <t>55W</t>
  </si>
  <si>
    <t>56W</t>
  </si>
  <si>
    <t>57W</t>
  </si>
  <si>
    <t>58W</t>
  </si>
  <si>
    <t>59W</t>
  </si>
  <si>
    <t>60W</t>
  </si>
  <si>
    <t>61W</t>
  </si>
  <si>
    <t>05.구분명</t>
    <phoneticPr fontId="4" type="noConversion"/>
  </si>
  <si>
    <t>06.구분명</t>
    <phoneticPr fontId="4" type="noConversion"/>
  </si>
  <si>
    <t>07.구분명</t>
    <phoneticPr fontId="4" type="noConversion"/>
  </si>
  <si>
    <t>08.구분명</t>
    <phoneticPr fontId="4" type="noConversion"/>
  </si>
  <si>
    <t>09.구분명</t>
    <phoneticPr fontId="4" type="noConversion"/>
  </si>
  <si>
    <t>10.구분명</t>
    <phoneticPr fontId="4" type="noConversion"/>
  </si>
  <si>
    <t>소제목</t>
    <phoneticPr fontId="4" type="noConversion"/>
  </si>
  <si>
    <t>진척점검 보고서 (전체)</t>
    <phoneticPr fontId="4" type="noConversion"/>
  </si>
  <si>
    <t>한글날</t>
    <phoneticPr fontId="4" type="noConversion"/>
  </si>
  <si>
    <t>부처님오신날</t>
    <phoneticPr fontId="4" type="noConversion"/>
  </si>
  <si>
    <t>어린이날</t>
    <phoneticPr fontId="4" type="noConversion"/>
  </si>
  <si>
    <t>진척점검 보고서 (01.범위명)</t>
    <phoneticPr fontId="4" type="noConversion"/>
  </si>
  <si>
    <t>진척점검 보고서 (02.범위명)</t>
    <phoneticPr fontId="4" type="noConversion"/>
  </si>
  <si>
    <t>진척점검 보고서 (03.범위명)</t>
    <phoneticPr fontId="4" type="noConversion"/>
  </si>
  <si>
    <t>진척점검 보고서 (04.범위명)</t>
    <phoneticPr fontId="4" type="noConversion"/>
  </si>
  <si>
    <t>진척점검 보고서 (05.범위명)</t>
    <phoneticPr fontId="4" type="noConversion"/>
  </si>
  <si>
    <t>진척점검 보고서 (06.범위명)</t>
    <phoneticPr fontId="4" type="noConversion"/>
  </si>
  <si>
    <t>진척점검 보고서 (07.범위명)</t>
    <phoneticPr fontId="4" type="noConversion"/>
  </si>
  <si>
    <t>진척점검 보고서 (08.범위명)</t>
    <phoneticPr fontId="4" type="noConversion"/>
  </si>
  <si>
    <t>진척점검 보고서 (09.범위명)</t>
    <phoneticPr fontId="4" type="noConversion"/>
  </si>
  <si>
    <r>
      <t xml:space="preserve">변경내용 </t>
    </r>
    <r>
      <rPr>
        <b/>
        <sz val="6"/>
        <rFont val="맑은 고딕"/>
        <family val="3"/>
        <charset val="129"/>
      </rPr>
      <t>1)</t>
    </r>
    <phoneticPr fontId="4" type="noConversion"/>
  </si>
  <si>
    <t>진척점검 보고서 (10.범위명)</t>
    <phoneticPr fontId="4" type="noConversion"/>
  </si>
  <si>
    <r>
      <t xml:space="preserve">사 </t>
    </r>
    <r>
      <rPr>
        <sz val="5"/>
        <color theme="1" tint="0.34998626667073579"/>
        <rFont val="맑은 고딕"/>
        <family val="3"/>
        <charset val="129"/>
      </rPr>
      <t xml:space="preserve"> </t>
    </r>
    <r>
      <rPr>
        <sz val="11"/>
        <color theme="1" tint="0.34998626667073579"/>
        <rFont val="맑은 고딕"/>
        <family val="3"/>
        <charset val="129"/>
      </rPr>
      <t xml:space="preserve">업 </t>
    </r>
    <r>
      <rPr>
        <sz val="5"/>
        <color theme="1" tint="0.34998626667073579"/>
        <rFont val="맑은 고딕"/>
        <family val="3"/>
        <charset val="129"/>
      </rPr>
      <t xml:space="preserve"> </t>
    </r>
    <r>
      <rPr>
        <sz val="11"/>
        <color theme="1" tint="0.34998626667073579"/>
        <rFont val="맑은 고딕"/>
        <family val="3"/>
        <charset val="129"/>
      </rPr>
      <t>명:</t>
    </r>
    <phoneticPr fontId="4" type="noConversion"/>
  </si>
  <si>
    <t>4W</t>
  </si>
  <si>
    <t>5W</t>
  </si>
  <si>
    <t>삼일절</t>
    <phoneticPr fontId="4" type="noConversion"/>
  </si>
  <si>
    <t>근로자의날</t>
    <phoneticPr fontId="4" type="noConversion"/>
  </si>
  <si>
    <t>현충일</t>
    <phoneticPr fontId="4" type="noConversion"/>
  </si>
  <si>
    <t>광복절</t>
    <phoneticPr fontId="4" type="noConversion"/>
  </si>
  <si>
    <t>개천절</t>
    <phoneticPr fontId="4" type="noConversion"/>
  </si>
  <si>
    <t>크리스마스</t>
    <phoneticPr fontId="4" type="noConversion"/>
  </si>
  <si>
    <t>㈜브이웨이의 승인없이 본 문서의 전부 또는 일부에 대한 복사, 배포, 사용을 금지합니다.</t>
    <phoneticPr fontId="4" type="noConversion"/>
  </si>
  <si>
    <t>일정관리 및 통제표 (2025년)</t>
    <phoneticPr fontId="4" type="noConversion"/>
  </si>
  <si>
    <t>삼일절(대체공휴일)</t>
    <phoneticPr fontId="4" type="noConversion"/>
  </si>
  <si>
    <t>2026년 1월</t>
    <phoneticPr fontId="4" type="noConversion"/>
  </si>
  <si>
    <t>2026년 2월</t>
    <phoneticPr fontId="4" type="noConversion"/>
  </si>
  <si>
    <t>계획시작일</t>
    <phoneticPr fontId="4" type="noConversion"/>
  </si>
  <si>
    <t>계획종료일</t>
    <phoneticPr fontId="4" type="noConversion"/>
  </si>
  <si>
    <t>가중치
계획</t>
    <phoneticPr fontId="4" type="noConversion"/>
  </si>
  <si>
    <t>가중치
실적</t>
    <phoneticPr fontId="4" type="noConversion"/>
  </si>
  <si>
    <t>편차</t>
    <phoneticPr fontId="4" type="noConversion"/>
  </si>
  <si>
    <t>O</t>
    <phoneticPr fontId="4" type="noConversion"/>
  </si>
  <si>
    <t>X</t>
    <phoneticPr fontId="4" type="noConversion"/>
  </si>
  <si>
    <t>일정
준수
여부</t>
    <phoneticPr fontId="4" type="noConversion"/>
  </si>
  <si>
    <t>계획
진척</t>
    <phoneticPr fontId="4" type="noConversion"/>
  </si>
  <si>
    <t>실제
진척</t>
    <phoneticPr fontId="4" type="noConversion"/>
  </si>
  <si>
    <t>계획공수</t>
    <phoneticPr fontId="4" type="noConversion"/>
  </si>
  <si>
    <t>실제공수</t>
    <phoneticPr fontId="4" type="noConversion"/>
  </si>
  <si>
    <t>계획
작업기간</t>
    <phoneticPr fontId="4" type="noConversion"/>
  </si>
  <si>
    <t>실제
작업기간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</si>
</sst>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);[Red]\(0\)"/>
    <numFmt numFmtId="177" formatCode="mm&quot;월&quot;\ dd&quot;일&quot;"/>
    <numFmt numFmtId="178" formatCode="0.0%"/>
    <numFmt numFmtId="179" formatCode="0.00_ ;[Red]\-0.00\ "/>
    <numFmt numFmtId="180" formatCode="0_ ;[Red]\-0\ "/>
    <numFmt numFmtId="181" formatCode="#,##0_ "/>
    <numFmt numFmtId="182" formatCode="0.00_ "/>
    <numFmt numFmtId="183" formatCode="0.00_);\(0.00\)"/>
    <numFmt numFmtId="184" formatCode="0.0_);[Red]\(0.0\)"/>
  </numFmts>
  <fonts count="5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12"/>
      <name val="바탕체"/>
      <family val="1"/>
      <charset val="129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Arial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6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바탕"/>
      <family val="1"/>
      <charset val="129"/>
    </font>
    <font>
      <sz val="11"/>
      <name val="굴림체"/>
      <family val="3"/>
      <charset val="129"/>
    </font>
    <font>
      <sz val="8"/>
      <name val="바탕"/>
      <family val="1"/>
      <charset val="129"/>
    </font>
    <font>
      <sz val="30"/>
      <name val="HY헤드라인M"/>
      <family val="1"/>
      <charset val="129"/>
    </font>
    <font>
      <sz val="20"/>
      <name val="HY헤드라인M"/>
      <family val="1"/>
      <charset val="129"/>
    </font>
    <font>
      <sz val="18"/>
      <name val="HY헤드라인M"/>
      <family val="1"/>
      <charset val="129"/>
    </font>
    <font>
      <b/>
      <sz val="28"/>
      <name val="바탕"/>
      <family val="1"/>
      <charset val="129"/>
    </font>
    <font>
      <sz val="12"/>
      <name val="바탕"/>
      <family val="1"/>
      <charset val="129"/>
    </font>
    <font>
      <sz val="12"/>
      <name val="굴림체"/>
      <family val="3"/>
      <charset val="129"/>
    </font>
    <font>
      <sz val="11"/>
      <name val="바탕체"/>
      <family val="1"/>
      <charset val="129"/>
    </font>
    <font>
      <b/>
      <sz val="13"/>
      <name val="바탕"/>
      <family val="1"/>
      <charset val="129"/>
    </font>
    <font>
      <b/>
      <sz val="13"/>
      <name val="바탕체"/>
      <family val="1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b/>
      <sz val="8"/>
      <name val="바탕"/>
      <family val="1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</font>
    <font>
      <b/>
      <u/>
      <sz val="14"/>
      <name val="맑은 고딕"/>
      <family val="3"/>
      <charset val="129"/>
    </font>
    <font>
      <sz val="8"/>
      <name val="맑은 고딕"/>
      <family val="3"/>
      <charset val="129"/>
    </font>
    <font>
      <b/>
      <sz val="20"/>
      <name val="맑은 고딕"/>
      <family val="3"/>
      <charset val="129"/>
    </font>
    <font>
      <b/>
      <sz val="18"/>
      <name val="맑은 고딕"/>
      <family val="3"/>
      <charset val="129"/>
    </font>
    <font>
      <b/>
      <sz val="12"/>
      <name val="맑은 고딕"/>
      <family val="3"/>
      <charset val="129"/>
    </font>
    <font>
      <sz val="20"/>
      <name val="맑은 고딕"/>
      <family val="3"/>
      <charset val="129"/>
    </font>
    <font>
      <sz val="18"/>
      <name val="맑은 고딕"/>
      <family val="3"/>
      <charset val="129"/>
    </font>
    <font>
      <b/>
      <sz val="28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 tint="0.34998626667073579"/>
      <name val="맑은 고딕"/>
      <family val="3"/>
      <charset val="129"/>
    </font>
    <font>
      <sz val="5"/>
      <color theme="1" tint="0.34998626667073579"/>
      <name val="맑은 고딕"/>
      <family val="3"/>
      <charset val="129"/>
    </font>
    <font>
      <sz val="12"/>
      <name val="맑은 고딕"/>
      <family val="3"/>
      <charset val="129"/>
    </font>
    <font>
      <b/>
      <sz val="30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lightDown">
        <fgColor theme="0" tint="-0.14996795556505021"/>
        <bgColor rgb="FFF8F8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ck">
        <color theme="4" tint="-0.2499465926084170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theme="4" tint="-0.24994659260841701"/>
      </top>
      <bottom style="hair">
        <color auto="1"/>
      </bottom>
      <diagonal/>
    </border>
    <border>
      <left style="hair">
        <color auto="1"/>
      </left>
      <right/>
      <top style="thick">
        <color theme="4" tint="-0.2499465926084170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79">
    <xf numFmtId="0" fontId="0" fillId="0" borderId="0"/>
    <xf numFmtId="0" fontId="8" fillId="0" borderId="0"/>
    <xf numFmtId="0" fontId="9" fillId="2" borderId="0">
      <alignment horizontal="center" vertical="center"/>
    </xf>
    <xf numFmtId="49" fontId="5" fillId="0" borderId="1">
      <alignment vertical="center"/>
    </xf>
    <xf numFmtId="9" fontId="3" fillId="0" borderId="0" applyFont="0" applyFill="0" applyBorder="0" applyAlignment="0" applyProtection="0"/>
    <xf numFmtId="0" fontId="10" fillId="3" borderId="0">
      <alignment vertical="center"/>
    </xf>
    <xf numFmtId="181" fontId="5" fillId="0" borderId="1">
      <alignment horizontal="right" vertical="center"/>
    </xf>
    <xf numFmtId="0" fontId="11" fillId="4" borderId="0">
      <alignment vertical="center"/>
    </xf>
    <xf numFmtId="0" fontId="12" fillId="5" borderId="2">
      <alignment vertical="center"/>
    </xf>
    <xf numFmtId="0" fontId="10" fillId="3" borderId="0">
      <alignment vertical="center"/>
    </xf>
    <xf numFmtId="0" fontId="13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 applyFill="0" applyBorder="0">
      <alignment vertical="center"/>
    </xf>
  </cellStyleXfs>
  <cellXfs count="302">
    <xf numFmtId="0" fontId="0" fillId="0" borderId="0" xfId="0"/>
    <xf numFmtId="0" fontId="19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19" fillId="0" borderId="3" xfId="0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177" fontId="16" fillId="0" borderId="0" xfId="0" applyNumberFormat="1" applyFont="1"/>
    <xf numFmtId="0" fontId="17" fillId="0" borderId="0" xfId="0" applyFont="1" applyAlignment="1">
      <alignment vertical="center"/>
    </xf>
    <xf numFmtId="0" fontId="17" fillId="6" borderId="10" xfId="0" applyFont="1" applyFill="1" applyBorder="1" applyAlignment="1">
      <alignment horizontal="right" vertical="center"/>
    </xf>
    <xf numFmtId="0" fontId="17" fillId="6" borderId="27" xfId="0" applyFont="1" applyFill="1" applyBorder="1" applyAlignment="1">
      <alignment horizontal="center" vertical="center" wrapText="1"/>
    </xf>
    <xf numFmtId="0" fontId="17" fillId="6" borderId="28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right" vertical="center"/>
    </xf>
    <xf numFmtId="0" fontId="16" fillId="0" borderId="18" xfId="0" applyFont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right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16" fillId="6" borderId="54" xfId="0" applyNumberFormat="1" applyFont="1" applyFill="1" applyBorder="1" applyAlignment="1">
      <alignment horizontal="center" vertical="center"/>
    </xf>
    <xf numFmtId="179" fontId="16" fillId="11" borderId="8" xfId="0" applyNumberFormat="1" applyFont="1" applyFill="1" applyBorder="1" applyAlignment="1">
      <alignment horizontal="center" vertical="center"/>
    </xf>
    <xf numFmtId="2" fontId="21" fillId="11" borderId="8" xfId="0" applyNumberFormat="1" applyFont="1" applyFill="1" applyBorder="1" applyAlignment="1">
      <alignment horizontal="center" vertical="center"/>
    </xf>
    <xf numFmtId="179" fontId="16" fillId="6" borderId="54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right" vertical="center"/>
    </xf>
    <xf numFmtId="9" fontId="16" fillId="11" borderId="8" xfId="0" applyNumberFormat="1" applyFont="1" applyFill="1" applyBorder="1" applyAlignment="1">
      <alignment horizontal="center" vertical="center"/>
    </xf>
    <xf numFmtId="10" fontId="16" fillId="6" borderId="54" xfId="4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right" vertical="center"/>
    </xf>
    <xf numFmtId="9" fontId="16" fillId="7" borderId="15" xfId="0" applyNumberFormat="1" applyFont="1" applyFill="1" applyBorder="1" applyAlignment="1">
      <alignment horizontal="center" vertical="center"/>
    </xf>
    <xf numFmtId="10" fontId="16" fillId="6" borderId="53" xfId="0" applyNumberFormat="1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right" vertical="center"/>
    </xf>
    <xf numFmtId="0" fontId="22" fillId="11" borderId="15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9" fontId="16" fillId="11" borderId="15" xfId="4" applyFont="1" applyFill="1" applyBorder="1" applyAlignment="1">
      <alignment horizontal="center" vertical="center"/>
    </xf>
    <xf numFmtId="9" fontId="16" fillId="6" borderId="25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right" vertical="center"/>
    </xf>
    <xf numFmtId="183" fontId="16" fillId="11" borderId="14" xfId="0" applyNumberFormat="1" applyFont="1" applyFill="1" applyBorder="1" applyAlignment="1">
      <alignment horizontal="center" vertical="center"/>
    </xf>
    <xf numFmtId="183" fontId="16" fillId="14" borderId="14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right" vertical="center"/>
    </xf>
    <xf numFmtId="183" fontId="16" fillId="11" borderId="8" xfId="0" applyNumberFormat="1" applyFont="1" applyFill="1" applyBorder="1" applyAlignment="1">
      <alignment horizontal="center" vertical="center"/>
    </xf>
    <xf numFmtId="183" fontId="16" fillId="14" borderId="8" xfId="0" applyNumberFormat="1" applyFont="1" applyFill="1" applyBorder="1" applyAlignment="1">
      <alignment horizontal="center" vertical="center"/>
    </xf>
    <xf numFmtId="0" fontId="17" fillId="0" borderId="15" xfId="0" applyFont="1" applyBorder="1" applyAlignment="1">
      <alignment horizontal="right" vertical="center"/>
    </xf>
    <xf numFmtId="179" fontId="16" fillId="11" borderId="15" xfId="0" applyNumberFormat="1" applyFont="1" applyFill="1" applyBorder="1" applyAlignment="1">
      <alignment horizontal="center" vertical="center"/>
    </xf>
    <xf numFmtId="179" fontId="16" fillId="14" borderId="1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82" fontId="16" fillId="0" borderId="0" xfId="0" applyNumberFormat="1" applyFont="1" applyAlignment="1">
      <alignment vertical="center"/>
    </xf>
    <xf numFmtId="0" fontId="23" fillId="6" borderId="27" xfId="0" applyFont="1" applyFill="1" applyBorder="1" applyAlignment="1">
      <alignment horizontal="center" vertical="center" wrapText="1"/>
    </xf>
    <xf numFmtId="0" fontId="17" fillId="6" borderId="28" xfId="0" applyFont="1" applyFill="1" applyBorder="1" applyAlignment="1">
      <alignment horizontal="center" vertical="center" wrapText="1"/>
    </xf>
    <xf numFmtId="0" fontId="16" fillId="12" borderId="18" xfId="0" applyFont="1" applyFill="1" applyBorder="1" applyAlignment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2" fontId="16" fillId="7" borderId="8" xfId="0" applyNumberFormat="1" applyFont="1" applyFill="1" applyBorder="1" applyAlignment="1">
      <alignment horizontal="center" vertical="center"/>
    </xf>
    <xf numFmtId="2" fontId="24" fillId="7" borderId="8" xfId="0" applyNumberFormat="1" applyFont="1" applyFill="1" applyBorder="1" applyAlignment="1">
      <alignment horizontal="center" vertical="center"/>
    </xf>
    <xf numFmtId="2" fontId="16" fillId="6" borderId="23" xfId="0" applyNumberFormat="1" applyFont="1" applyFill="1" applyBorder="1" applyAlignment="1">
      <alignment horizontal="center" vertical="center"/>
    </xf>
    <xf numFmtId="179" fontId="16" fillId="7" borderId="8" xfId="0" applyNumberFormat="1" applyFont="1" applyFill="1" applyBorder="1" applyAlignment="1">
      <alignment horizontal="center" vertical="center"/>
    </xf>
    <xf numFmtId="179" fontId="24" fillId="7" borderId="8" xfId="0" applyNumberFormat="1" applyFont="1" applyFill="1" applyBorder="1" applyAlignment="1">
      <alignment horizontal="center" vertical="center"/>
    </xf>
    <xf numFmtId="179" fontId="16" fillId="6" borderId="23" xfId="0" applyNumberFormat="1" applyFont="1" applyFill="1" applyBorder="1" applyAlignment="1">
      <alignment horizontal="center" vertical="center"/>
    </xf>
    <xf numFmtId="9" fontId="16" fillId="7" borderId="8" xfId="0" applyNumberFormat="1" applyFont="1" applyFill="1" applyBorder="1" applyAlignment="1">
      <alignment horizontal="center" vertical="center"/>
    </xf>
    <xf numFmtId="9" fontId="24" fillId="7" borderId="8" xfId="0" applyNumberFormat="1" applyFont="1" applyFill="1" applyBorder="1" applyAlignment="1">
      <alignment horizontal="center" vertical="center"/>
    </xf>
    <xf numFmtId="10" fontId="16" fillId="6" borderId="23" xfId="4" applyNumberFormat="1" applyFont="1" applyFill="1" applyBorder="1" applyAlignment="1">
      <alignment horizontal="center" vertical="center"/>
    </xf>
    <xf numFmtId="9" fontId="24" fillId="7" borderId="15" xfId="0" applyNumberFormat="1" applyFont="1" applyFill="1" applyBorder="1" applyAlignment="1">
      <alignment horizontal="center" vertical="center"/>
    </xf>
    <xf numFmtId="10" fontId="16" fillId="6" borderId="25" xfId="0" applyNumberFormat="1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21" fillId="6" borderId="25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9" fontId="16" fillId="7" borderId="15" xfId="4" applyFont="1" applyFill="1" applyBorder="1" applyAlignment="1">
      <alignment horizontal="center" vertical="center"/>
    </xf>
    <xf numFmtId="9" fontId="24" fillId="7" borderId="15" xfId="4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8" fillId="0" borderId="3" xfId="0" applyFont="1" applyBorder="1" applyAlignment="1">
      <alignment horizontal="center" vertical="center"/>
    </xf>
    <xf numFmtId="180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0" borderId="0" xfId="0" applyFont="1"/>
    <xf numFmtId="0" fontId="25" fillId="3" borderId="4" xfId="0" applyFont="1" applyFill="1" applyBorder="1" applyAlignment="1">
      <alignment horizontal="center" vertical="center"/>
    </xf>
    <xf numFmtId="177" fontId="26" fillId="3" borderId="16" xfId="0" applyNumberFormat="1" applyFont="1" applyFill="1" applyBorder="1" applyAlignment="1">
      <alignment horizontal="center" vertical="center"/>
    </xf>
    <xf numFmtId="177" fontId="26" fillId="3" borderId="17" xfId="0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left" vertical="center"/>
    </xf>
    <xf numFmtId="0" fontId="27" fillId="0" borderId="8" xfId="0" applyFont="1" applyBorder="1" applyAlignment="1">
      <alignment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8" fontId="27" fillId="0" borderId="13" xfId="4" applyNumberFormat="1" applyFont="1" applyFill="1" applyBorder="1" applyAlignment="1">
      <alignment vertical="center"/>
    </xf>
    <xf numFmtId="178" fontId="27" fillId="0" borderId="8" xfId="4" applyNumberFormat="1" applyFont="1" applyFill="1" applyBorder="1" applyAlignment="1">
      <alignment vertical="center"/>
    </xf>
    <xf numFmtId="9" fontId="27" fillId="0" borderId="8" xfId="4" applyFont="1" applyFill="1" applyBorder="1" applyAlignment="1">
      <alignment vertical="center"/>
    </xf>
    <xf numFmtId="179" fontId="27" fillId="0" borderId="8" xfId="0" applyNumberFormat="1" applyFont="1" applyBorder="1" applyAlignment="1">
      <alignment vertical="center"/>
    </xf>
    <xf numFmtId="179" fontId="27" fillId="0" borderId="8" xfId="0" applyNumberFormat="1" applyFont="1" applyBorder="1" applyAlignment="1">
      <alignment horizontal="center" vertical="center"/>
    </xf>
    <xf numFmtId="14" fontId="27" fillId="0" borderId="8" xfId="0" applyNumberFormat="1" applyFont="1" applyBorder="1" applyAlignment="1">
      <alignment horizontal="center" vertical="center"/>
    </xf>
    <xf numFmtId="180" fontId="27" fillId="0" borderId="8" xfId="0" applyNumberFormat="1" applyFont="1" applyBorder="1" applyAlignment="1">
      <alignment horizontal="center" vertical="center"/>
    </xf>
    <xf numFmtId="176" fontId="27" fillId="0" borderId="8" xfId="0" applyNumberFormat="1" applyFont="1" applyBorder="1" applyAlignment="1">
      <alignment vertical="center"/>
    </xf>
    <xf numFmtId="0" fontId="27" fillId="0" borderId="32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14" fillId="0" borderId="51" xfId="0" applyFont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7" fillId="8" borderId="29" xfId="0" applyFont="1" applyFill="1" applyBorder="1" applyAlignment="1">
      <alignment horizontal="left" vertical="center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center" vertical="center"/>
    </xf>
    <xf numFmtId="0" fontId="27" fillId="13" borderId="31" xfId="0" applyFont="1" applyFill="1" applyBorder="1" applyAlignment="1">
      <alignment horizontal="center" vertical="center"/>
    </xf>
    <xf numFmtId="9" fontId="27" fillId="8" borderId="13" xfId="4" applyFont="1" applyFill="1" applyBorder="1" applyAlignment="1">
      <alignment vertical="center"/>
    </xf>
    <xf numFmtId="9" fontId="27" fillId="8" borderId="8" xfId="4" applyFont="1" applyFill="1" applyBorder="1" applyAlignment="1">
      <alignment vertical="center"/>
    </xf>
    <xf numFmtId="179" fontId="27" fillId="8" borderId="8" xfId="0" applyNumberFormat="1" applyFont="1" applyFill="1" applyBorder="1" applyAlignment="1">
      <alignment vertical="center"/>
    </xf>
    <xf numFmtId="179" fontId="27" fillId="8" borderId="8" xfId="0" applyNumberFormat="1" applyFont="1" applyFill="1" applyBorder="1" applyAlignment="1">
      <alignment horizontal="center" vertical="center"/>
    </xf>
    <xf numFmtId="14" fontId="27" fillId="8" borderId="8" xfId="0" applyNumberFormat="1" applyFont="1" applyFill="1" applyBorder="1" applyAlignment="1">
      <alignment horizontal="center" vertical="center"/>
    </xf>
    <xf numFmtId="180" fontId="27" fillId="8" borderId="8" xfId="0" applyNumberFormat="1" applyFont="1" applyFill="1" applyBorder="1" applyAlignment="1">
      <alignment horizontal="center" vertical="center"/>
    </xf>
    <xf numFmtId="176" fontId="27" fillId="8" borderId="8" xfId="0" applyNumberFormat="1" applyFont="1" applyFill="1" applyBorder="1" applyAlignment="1">
      <alignment vertical="center"/>
    </xf>
    <xf numFmtId="0" fontId="27" fillId="8" borderId="20" xfId="0" applyFont="1" applyFill="1" applyBorder="1" applyAlignment="1">
      <alignment vertical="center"/>
    </xf>
    <xf numFmtId="0" fontId="14" fillId="8" borderId="21" xfId="0" applyFont="1" applyFill="1" applyBorder="1" applyAlignment="1">
      <alignment vertical="center"/>
    </xf>
    <xf numFmtId="0" fontId="14" fillId="8" borderId="22" xfId="0" applyFont="1" applyFill="1" applyBorder="1" applyAlignment="1">
      <alignment vertical="center"/>
    </xf>
    <xf numFmtId="0" fontId="14" fillId="8" borderId="20" xfId="0" applyFont="1" applyFill="1" applyBorder="1" applyAlignment="1">
      <alignment vertical="center"/>
    </xf>
    <xf numFmtId="0" fontId="14" fillId="8" borderId="52" xfId="0" applyFont="1" applyFill="1" applyBorder="1" applyAlignment="1">
      <alignment vertical="center"/>
    </xf>
    <xf numFmtId="49" fontId="27" fillId="0" borderId="8" xfId="0" applyNumberFormat="1" applyFont="1" applyBorder="1" applyAlignment="1">
      <alignment horizontal="center" vertical="center"/>
    </xf>
    <xf numFmtId="9" fontId="27" fillId="7" borderId="13" xfId="4" applyFont="1" applyFill="1" applyBorder="1" applyAlignment="1">
      <alignment vertical="center"/>
    </xf>
    <xf numFmtId="179" fontId="27" fillId="7" borderId="8" xfId="0" applyNumberFormat="1" applyFont="1" applyFill="1" applyBorder="1" applyAlignment="1">
      <alignment vertical="center"/>
    </xf>
    <xf numFmtId="179" fontId="27" fillId="7" borderId="8" xfId="0" applyNumberFormat="1" applyFont="1" applyFill="1" applyBorder="1" applyAlignment="1">
      <alignment horizontal="center" vertical="center"/>
    </xf>
    <xf numFmtId="180" fontId="27" fillId="7" borderId="8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49" fontId="27" fillId="8" borderId="8" xfId="0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left" vertical="center" wrapText="1"/>
    </xf>
    <xf numFmtId="0" fontId="27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9" fontId="27" fillId="0" borderId="0" xfId="4" applyFont="1" applyFill="1" applyAlignment="1">
      <alignment vertical="center"/>
    </xf>
    <xf numFmtId="0" fontId="27" fillId="0" borderId="0" xfId="0" applyFont="1" applyAlignment="1">
      <alignment horizontal="center"/>
    </xf>
    <xf numFmtId="180" fontId="27" fillId="0" borderId="0" xfId="0" applyNumberFormat="1" applyFont="1" applyAlignment="1">
      <alignment horizontal="center"/>
    </xf>
    <xf numFmtId="9" fontId="14" fillId="0" borderId="0" xfId="4" applyFont="1" applyFill="1" applyAlignment="1">
      <alignment vertical="center"/>
    </xf>
    <xf numFmtId="180" fontId="14" fillId="0" borderId="0" xfId="0" applyNumberFormat="1" applyFont="1" applyAlignment="1">
      <alignment horizontal="center"/>
    </xf>
    <xf numFmtId="49" fontId="27" fillId="0" borderId="56" xfId="0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left" vertical="center"/>
    </xf>
    <xf numFmtId="0" fontId="27" fillId="0" borderId="56" xfId="0" applyFont="1" applyBorder="1" applyAlignment="1">
      <alignment vertical="center"/>
    </xf>
    <xf numFmtId="0" fontId="27" fillId="0" borderId="57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9" fontId="27" fillId="0" borderId="56" xfId="4" applyFont="1" applyFill="1" applyBorder="1" applyAlignment="1">
      <alignment vertical="center"/>
    </xf>
    <xf numFmtId="179" fontId="27" fillId="7" borderId="56" xfId="0" applyNumberFormat="1" applyFont="1" applyFill="1" applyBorder="1" applyAlignment="1">
      <alignment vertical="center"/>
    </xf>
    <xf numFmtId="179" fontId="27" fillId="7" borderId="56" xfId="0" applyNumberFormat="1" applyFont="1" applyFill="1" applyBorder="1" applyAlignment="1">
      <alignment horizontal="center" vertical="center"/>
    </xf>
    <xf numFmtId="14" fontId="27" fillId="0" borderId="56" xfId="0" applyNumberFormat="1" applyFont="1" applyBorder="1" applyAlignment="1">
      <alignment horizontal="center" vertical="center"/>
    </xf>
    <xf numFmtId="180" fontId="27" fillId="7" borderId="56" xfId="0" applyNumberFormat="1" applyFont="1" applyFill="1" applyBorder="1" applyAlignment="1">
      <alignment horizontal="center" vertical="center"/>
    </xf>
    <xf numFmtId="0" fontId="28" fillId="0" borderId="59" xfId="0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8" fillId="0" borderId="62" xfId="0" applyFont="1" applyBorder="1" applyAlignment="1">
      <alignment vertical="center"/>
    </xf>
    <xf numFmtId="0" fontId="28" fillId="0" borderId="63" xfId="0" applyFont="1" applyBorder="1" applyAlignment="1">
      <alignment vertical="center"/>
    </xf>
    <xf numFmtId="0" fontId="29" fillId="0" borderId="0" xfId="78" applyFont="1">
      <alignment vertical="center"/>
    </xf>
    <xf numFmtId="0" fontId="30" fillId="0" borderId="0" xfId="78" applyFont="1">
      <alignment vertical="center"/>
    </xf>
    <xf numFmtId="0" fontId="31" fillId="0" borderId="0" xfId="78" applyFont="1">
      <alignment vertical="center"/>
    </xf>
    <xf numFmtId="0" fontId="29" fillId="15" borderId="64" xfId="78" applyFont="1" applyFill="1" applyBorder="1">
      <alignment vertical="center"/>
    </xf>
    <xf numFmtId="0" fontId="29" fillId="15" borderId="0" xfId="78" applyFont="1" applyFill="1">
      <alignment vertical="center"/>
    </xf>
    <xf numFmtId="0" fontId="32" fillId="15" borderId="0" xfId="78" applyFont="1" applyFill="1">
      <alignment vertical="center"/>
    </xf>
    <xf numFmtId="0" fontId="33" fillId="15" borderId="0" xfId="78" applyFont="1" applyFill="1">
      <alignment vertical="center"/>
    </xf>
    <xf numFmtId="0" fontId="34" fillId="15" borderId="0" xfId="78" applyFont="1" applyFill="1">
      <alignment vertical="center"/>
    </xf>
    <xf numFmtId="0" fontId="35" fillId="15" borderId="0" xfId="19" applyFont="1" applyFill="1">
      <alignment vertical="center"/>
    </xf>
    <xf numFmtId="0" fontId="29" fillId="15" borderId="0" xfId="78" applyFont="1" applyFill="1" applyBorder="1">
      <alignment vertical="center"/>
    </xf>
    <xf numFmtId="0" fontId="29" fillId="0" borderId="65" xfId="78" applyFont="1" applyBorder="1">
      <alignment vertical="center"/>
    </xf>
    <xf numFmtId="0" fontId="29" fillId="0" borderId="0" xfId="78" applyFont="1" applyBorder="1">
      <alignment vertical="center"/>
    </xf>
    <xf numFmtId="0" fontId="36" fillId="0" borderId="0" xfId="78" applyFont="1" applyBorder="1">
      <alignment vertical="center"/>
    </xf>
    <xf numFmtId="0" fontId="37" fillId="0" borderId="0" xfId="78" applyFont="1">
      <alignment vertical="center"/>
    </xf>
    <xf numFmtId="0" fontId="38" fillId="0" borderId="0" xfId="78" applyFont="1" applyBorder="1">
      <alignment vertical="center"/>
    </xf>
    <xf numFmtId="0" fontId="39" fillId="0" borderId="0" xfId="78" applyFont="1" applyAlignment="1">
      <alignment horizontal="justify" vertical="top"/>
    </xf>
    <xf numFmtId="0" fontId="31" fillId="0" borderId="0" xfId="78" applyFont="1" applyAlignment="1">
      <alignment horizontal="center" vertical="center"/>
    </xf>
    <xf numFmtId="0" fontId="40" fillId="0" borderId="0" xfId="78" applyFont="1" applyAlignment="1">
      <alignment horizontal="justify" vertical="top"/>
    </xf>
    <xf numFmtId="0" fontId="41" fillId="0" borderId="0" xfId="78" applyFont="1" applyAlignment="1">
      <alignment horizontal="center"/>
    </xf>
    <xf numFmtId="0" fontId="38" fillId="0" borderId="0" xfId="19" applyFont="1">
      <alignment vertical="center"/>
    </xf>
    <xf numFmtId="0" fontId="42" fillId="0" borderId="0" xfId="19" applyFont="1">
      <alignment vertical="center"/>
    </xf>
    <xf numFmtId="0" fontId="42" fillId="9" borderId="0" xfId="19" applyFont="1" applyFill="1">
      <alignment vertical="center"/>
    </xf>
    <xf numFmtId="0" fontId="2" fillId="0" borderId="0" xfId="19">
      <alignment vertical="center"/>
    </xf>
    <xf numFmtId="0" fontId="43" fillId="0" borderId="0" xfId="78" applyFont="1" applyAlignment="1">
      <alignment horizontal="justify" vertical="top"/>
    </xf>
    <xf numFmtId="0" fontId="17" fillId="0" borderId="0" xfId="0" applyFont="1"/>
    <xf numFmtId="0" fontId="16" fillId="0" borderId="4" xfId="0" applyFont="1" applyBorder="1"/>
    <xf numFmtId="177" fontId="16" fillId="0" borderId="4" xfId="0" applyNumberFormat="1" applyFont="1" applyBorder="1"/>
    <xf numFmtId="0" fontId="16" fillId="13" borderId="4" xfId="0" applyFont="1" applyFill="1" applyBorder="1" applyAlignment="1">
      <alignment horizontal="center"/>
    </xf>
    <xf numFmtId="0" fontId="14" fillId="0" borderId="70" xfId="0" applyFont="1" applyBorder="1" applyAlignment="1">
      <alignment vertical="center"/>
    </xf>
    <xf numFmtId="0" fontId="14" fillId="8" borderId="13" xfId="0" applyFont="1" applyFill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58" xfId="0" applyFont="1" applyBorder="1" applyAlignment="1">
      <alignment vertical="center"/>
    </xf>
    <xf numFmtId="0" fontId="44" fillId="0" borderId="65" xfId="78" applyFont="1" applyBorder="1">
      <alignment vertical="center"/>
    </xf>
    <xf numFmtId="0" fontId="44" fillId="0" borderId="66" xfId="78" applyFont="1" applyBorder="1">
      <alignment vertical="center"/>
    </xf>
    <xf numFmtId="0" fontId="44" fillId="0" borderId="19" xfId="78" applyFont="1" applyBorder="1">
      <alignment vertical="center"/>
    </xf>
    <xf numFmtId="0" fontId="44" fillId="0" borderId="0" xfId="78" applyFont="1" applyBorder="1">
      <alignment vertical="center"/>
    </xf>
    <xf numFmtId="0" fontId="44" fillId="0" borderId="50" xfId="78" applyFont="1" applyBorder="1">
      <alignment vertical="center"/>
    </xf>
    <xf numFmtId="0" fontId="18" fillId="0" borderId="3" xfId="19" applyFont="1" applyBorder="1">
      <alignment vertical="center"/>
    </xf>
    <xf numFmtId="0" fontId="18" fillId="0" borderId="3" xfId="19" applyFont="1" applyBorder="1" applyAlignment="1">
      <alignment horizontal="center" vertical="center"/>
    </xf>
    <xf numFmtId="0" fontId="14" fillId="0" borderId="3" xfId="19" applyFont="1" applyBorder="1" applyAlignment="1">
      <alignment horizontal="center" vertical="center"/>
    </xf>
    <xf numFmtId="0" fontId="18" fillId="0" borderId="3" xfId="19" applyFont="1" applyBorder="1" applyAlignment="1">
      <alignment horizontal="right" vertical="center"/>
    </xf>
    <xf numFmtId="0" fontId="45" fillId="0" borderId="0" xfId="19" applyFont="1">
      <alignment vertical="center"/>
    </xf>
    <xf numFmtId="0" fontId="46" fillId="0" borderId="0" xfId="19" applyFont="1" applyAlignment="1">
      <alignment horizontal="center" vertical="center"/>
    </xf>
    <xf numFmtId="0" fontId="18" fillId="16" borderId="67" xfId="19" applyFont="1" applyFill="1" applyBorder="1" applyAlignment="1">
      <alignment horizontal="center" vertical="center"/>
    </xf>
    <xf numFmtId="0" fontId="18" fillId="16" borderId="68" xfId="19" applyFont="1" applyFill="1" applyBorder="1" applyAlignment="1">
      <alignment horizontal="center" vertical="center"/>
    </xf>
    <xf numFmtId="0" fontId="18" fillId="16" borderId="69" xfId="19" applyFont="1" applyFill="1" applyBorder="1" applyAlignment="1">
      <alignment horizontal="center" vertical="center"/>
    </xf>
    <xf numFmtId="0" fontId="18" fillId="0" borderId="52" xfId="19" applyFont="1" applyBorder="1" applyAlignment="1">
      <alignment horizontal="center" vertical="center"/>
    </xf>
    <xf numFmtId="0" fontId="45" fillId="0" borderId="21" xfId="19" applyFont="1" applyBorder="1" applyAlignment="1">
      <alignment horizontal="center" vertical="center"/>
    </xf>
    <xf numFmtId="0" fontId="45" fillId="0" borderId="55" xfId="19" applyFont="1" applyBorder="1">
      <alignment vertical="center"/>
    </xf>
    <xf numFmtId="0" fontId="18" fillId="0" borderId="63" xfId="19" applyFont="1" applyBorder="1" applyAlignment="1">
      <alignment horizontal="center" vertical="center"/>
    </xf>
    <xf numFmtId="0" fontId="45" fillId="0" borderId="60" xfId="19" applyFont="1" applyBorder="1" applyAlignment="1">
      <alignment horizontal="center" vertical="center"/>
    </xf>
    <xf numFmtId="0" fontId="45" fillId="0" borderId="61" xfId="19" applyFont="1" applyBorder="1">
      <alignment vertical="center"/>
    </xf>
    <xf numFmtId="0" fontId="14" fillId="0" borderId="0" xfId="19" applyFont="1" applyAlignment="1">
      <alignment horizontal="center" vertical="center"/>
    </xf>
    <xf numFmtId="0" fontId="14" fillId="0" borderId="0" xfId="19" applyFont="1">
      <alignment vertical="center"/>
    </xf>
    <xf numFmtId="0" fontId="46" fillId="0" borderId="0" xfId="19" applyFont="1" applyAlignment="1">
      <alignment horizontal="center"/>
    </xf>
    <xf numFmtId="184" fontId="18" fillId="0" borderId="52" xfId="19" applyNumberFormat="1" applyFont="1" applyBorder="1" applyAlignment="1">
      <alignment horizontal="center" vertical="center"/>
    </xf>
    <xf numFmtId="177" fontId="45" fillId="0" borderId="21" xfId="19" applyNumberFormat="1" applyFont="1" applyBorder="1" applyAlignment="1">
      <alignment horizontal="center" vertical="center"/>
    </xf>
    <xf numFmtId="0" fontId="45" fillId="0" borderId="55" xfId="19" applyFont="1" applyBorder="1" applyAlignment="1">
      <alignment horizontal="left" vertical="center"/>
    </xf>
    <xf numFmtId="0" fontId="45" fillId="0" borderId="55" xfId="19" applyFont="1" applyBorder="1" applyAlignment="1">
      <alignment horizontal="center" vertical="center"/>
    </xf>
    <xf numFmtId="0" fontId="45" fillId="0" borderId="61" xfId="19" applyFont="1" applyBorder="1" applyAlignment="1">
      <alignment horizontal="left" vertical="center"/>
    </xf>
    <xf numFmtId="0" fontId="45" fillId="0" borderId="61" xfId="19" applyFont="1" applyBorder="1" applyAlignment="1">
      <alignment horizontal="center" vertical="center"/>
    </xf>
    <xf numFmtId="0" fontId="47" fillId="0" borderId="0" xfId="19" applyFont="1">
      <alignment vertical="center"/>
    </xf>
    <xf numFmtId="0" fontId="14" fillId="0" borderId="0" xfId="78" applyFont="1">
      <alignment vertical="center"/>
    </xf>
    <xf numFmtId="0" fontId="47" fillId="0" borderId="0" xfId="78" applyFont="1">
      <alignment vertical="center"/>
    </xf>
    <xf numFmtId="0" fontId="48" fillId="0" borderId="0" xfId="19" applyFont="1">
      <alignment vertical="center"/>
    </xf>
    <xf numFmtId="0" fontId="14" fillId="15" borderId="64" xfId="78" applyFont="1" applyFill="1" applyBorder="1">
      <alignment vertical="center"/>
    </xf>
    <xf numFmtId="0" fontId="48" fillId="15" borderId="64" xfId="78" applyFont="1" applyFill="1" applyBorder="1" applyAlignment="1">
      <alignment horizontal="left"/>
    </xf>
    <xf numFmtId="0" fontId="49" fillId="15" borderId="64" xfId="78" applyFont="1" applyFill="1" applyBorder="1" applyAlignment="1">
      <alignment horizontal="right"/>
    </xf>
    <xf numFmtId="0" fontId="14" fillId="15" borderId="0" xfId="78" applyFont="1" applyFill="1">
      <alignment vertical="center"/>
    </xf>
    <xf numFmtId="0" fontId="48" fillId="15" borderId="0" xfId="78" applyFont="1" applyFill="1" applyAlignment="1">
      <alignment horizontal="left"/>
    </xf>
    <xf numFmtId="0" fontId="50" fillId="15" borderId="0" xfId="78" applyFont="1" applyFill="1" applyAlignment="1">
      <alignment horizontal="right"/>
    </xf>
    <xf numFmtId="0" fontId="51" fillId="15" borderId="0" xfId="78" applyFont="1" applyFill="1">
      <alignment vertical="center"/>
    </xf>
    <xf numFmtId="0" fontId="52" fillId="15" borderId="0" xfId="78" applyFont="1" applyFill="1">
      <alignment vertical="center"/>
    </xf>
    <xf numFmtId="0" fontId="48" fillId="15" borderId="0" xfId="78" applyFont="1" applyFill="1" applyAlignment="1">
      <alignment horizontal="right"/>
    </xf>
    <xf numFmtId="0" fontId="53" fillId="15" borderId="0" xfId="19" applyFont="1" applyFill="1">
      <alignment vertical="center"/>
    </xf>
    <xf numFmtId="0" fontId="14" fillId="15" borderId="0" xfId="78" applyFont="1" applyFill="1" applyBorder="1">
      <alignment vertical="center"/>
    </xf>
    <xf numFmtId="0" fontId="54" fillId="15" borderId="0" xfId="78" applyFont="1" applyFill="1" applyBorder="1" applyAlignment="1">
      <alignment horizontal="left"/>
    </xf>
    <xf numFmtId="0" fontId="14" fillId="15" borderId="50" xfId="78" applyFont="1" applyFill="1" applyBorder="1">
      <alignment vertical="center"/>
    </xf>
    <xf numFmtId="0" fontId="14" fillId="15" borderId="50" xfId="78" applyFont="1" applyFill="1" applyBorder="1" applyAlignment="1">
      <alignment horizontal="right" vertical="center"/>
    </xf>
    <xf numFmtId="0" fontId="14" fillId="0" borderId="65" xfId="78" applyFont="1" applyBorder="1">
      <alignment vertical="center"/>
    </xf>
    <xf numFmtId="0" fontId="14" fillId="0" borderId="0" xfId="78" applyFont="1" applyBorder="1">
      <alignment vertical="center"/>
    </xf>
    <xf numFmtId="0" fontId="55" fillId="0" borderId="0" xfId="78" applyFont="1" applyBorder="1">
      <alignment vertical="center"/>
    </xf>
    <xf numFmtId="0" fontId="57" fillId="0" borderId="0" xfId="78" applyFont="1" applyBorder="1">
      <alignment vertical="center"/>
    </xf>
    <xf numFmtId="0" fontId="58" fillId="15" borderId="0" xfId="78" applyFont="1" applyFill="1">
      <alignment vertical="center"/>
    </xf>
    <xf numFmtId="0" fontId="14" fillId="0" borderId="71" xfId="0" applyFont="1" applyBorder="1" applyAlignment="1">
      <alignment vertical="center"/>
    </xf>
    <xf numFmtId="0" fontId="14" fillId="8" borderId="55" xfId="0" applyFont="1" applyFill="1" applyBorder="1" applyAlignment="1">
      <alignment vertical="center"/>
    </xf>
    <xf numFmtId="0" fontId="14" fillId="0" borderId="72" xfId="0" applyFont="1" applyBorder="1" applyAlignment="1">
      <alignment vertical="center"/>
    </xf>
    <xf numFmtId="177" fontId="16" fillId="0" borderId="0" xfId="0" quotePrefix="1" applyNumberFormat="1" applyFont="1" applyAlignment="1">
      <alignment vertical="center"/>
    </xf>
    <xf numFmtId="0" fontId="16" fillId="0" borderId="0" xfId="0" quotePrefix="1" applyFont="1" applyAlignment="1">
      <alignment vertical="center"/>
    </xf>
    <xf numFmtId="176" fontId="27" fillId="17" borderId="8" xfId="0" applyNumberFormat="1" applyFont="1" applyFill="1" applyBorder="1" applyAlignment="1">
      <alignment vertical="center"/>
    </xf>
    <xf numFmtId="176" fontId="27" fillId="17" borderId="56" xfId="0" applyNumberFormat="1" applyFont="1" applyFill="1" applyBorder="1" applyAlignment="1">
      <alignment vertical="center"/>
    </xf>
    <xf numFmtId="9" fontId="27" fillId="8" borderId="8" xfId="0" applyNumberFormat="1" applyFont="1" applyFill="1" applyBorder="1" applyAlignment="1">
      <alignment horizontal="center" vertical="center"/>
    </xf>
    <xf numFmtId="176" fontId="27" fillId="0" borderId="73" xfId="0" applyNumberFormat="1" applyFont="1" applyBorder="1" applyAlignment="1">
      <alignment vertical="center"/>
    </xf>
    <xf numFmtId="176" fontId="27" fillId="8" borderId="29" xfId="0" applyNumberFormat="1" applyFont="1" applyFill="1" applyBorder="1" applyAlignment="1">
      <alignment vertical="center"/>
    </xf>
    <xf numFmtId="176" fontId="27" fillId="17" borderId="29" xfId="0" applyNumberFormat="1" applyFont="1" applyFill="1" applyBorder="1" applyAlignment="1">
      <alignment vertical="center"/>
    </xf>
    <xf numFmtId="176" fontId="27" fillId="17" borderId="57" xfId="0" applyNumberFormat="1" applyFont="1" applyFill="1" applyBorder="1" applyAlignment="1">
      <alignment vertical="center"/>
    </xf>
    <xf numFmtId="0" fontId="31" fillId="0" borderId="0" xfId="78" applyFont="1" applyAlignment="1">
      <alignment horizontal="center" vertical="center"/>
    </xf>
    <xf numFmtId="0" fontId="46" fillId="0" borderId="0" xfId="19" applyFont="1" applyAlignment="1">
      <alignment horizontal="center" vertical="center"/>
    </xf>
    <xf numFmtId="0" fontId="46" fillId="0" borderId="0" xfId="19" applyFont="1" applyAlignment="1">
      <alignment horizontal="center"/>
    </xf>
    <xf numFmtId="0" fontId="20" fillId="0" borderId="0" xfId="0" applyFont="1" applyAlignment="1">
      <alignment horizontal="center" vertical="center"/>
    </xf>
    <xf numFmtId="179" fontId="17" fillId="7" borderId="42" xfId="0" applyNumberFormat="1" applyFont="1" applyFill="1" applyBorder="1" applyAlignment="1">
      <alignment horizontal="center" vertical="center"/>
    </xf>
    <xf numFmtId="179" fontId="17" fillId="7" borderId="4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0" fontId="17" fillId="7" borderId="44" xfId="4" applyNumberFormat="1" applyFont="1" applyFill="1" applyBorder="1" applyAlignment="1">
      <alignment horizontal="center" vertical="center"/>
    </xf>
    <xf numFmtId="10" fontId="17" fillId="7" borderId="45" xfId="4" applyNumberFormat="1" applyFont="1" applyFill="1" applyBorder="1" applyAlignment="1">
      <alignment horizontal="center" vertical="center"/>
    </xf>
    <xf numFmtId="14" fontId="17" fillId="0" borderId="46" xfId="0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7" fillId="7" borderId="48" xfId="0" applyNumberFormat="1" applyFont="1" applyFill="1" applyBorder="1" applyAlignment="1">
      <alignment horizontal="center" vertical="center"/>
    </xf>
    <xf numFmtId="179" fontId="17" fillId="7" borderId="49" xfId="0" applyNumberFormat="1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18" fillId="6" borderId="37" xfId="0" applyFont="1" applyFill="1" applyBorder="1" applyAlignment="1">
      <alignment horizontal="center" vertical="center" wrapText="1"/>
    </xf>
    <xf numFmtId="0" fontId="18" fillId="6" borderId="41" xfId="0" applyFont="1" applyFill="1" applyBorder="1" applyAlignment="1">
      <alignment horizontal="center" vertical="center" wrapText="1"/>
    </xf>
    <xf numFmtId="9" fontId="18" fillId="6" borderId="38" xfId="4" applyFont="1" applyFill="1" applyBorder="1" applyAlignment="1">
      <alignment horizontal="center" vertical="center" wrapText="1"/>
    </xf>
    <xf numFmtId="9" fontId="18" fillId="6" borderId="37" xfId="4" applyFont="1" applyFill="1" applyBorder="1" applyAlignment="1">
      <alignment horizontal="center" vertical="center" wrapText="1"/>
    </xf>
    <xf numFmtId="9" fontId="18" fillId="6" borderId="41" xfId="4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/>
    </xf>
    <xf numFmtId="0" fontId="18" fillId="6" borderId="37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180" fontId="18" fillId="3" borderId="38" xfId="0" applyNumberFormat="1" applyFont="1" applyFill="1" applyBorder="1" applyAlignment="1">
      <alignment horizontal="center" vertical="center" wrapText="1"/>
    </xf>
    <xf numFmtId="180" fontId="18" fillId="3" borderId="37" xfId="0" applyNumberFormat="1" applyFont="1" applyFill="1" applyBorder="1" applyAlignment="1">
      <alignment horizontal="center" vertical="center" wrapText="1"/>
    </xf>
    <xf numFmtId="180" fontId="18" fillId="3" borderId="41" xfId="0" applyNumberFormat="1" applyFont="1" applyFill="1" applyBorder="1" applyAlignment="1">
      <alignment horizontal="center" vertical="center" wrapText="1"/>
    </xf>
  </cellXfs>
  <cellStyles count="79">
    <cellStyle name="Normal_Data Collection Forms" xfId="10" xr:uid="{00000000-0005-0000-0000-000000000000}"/>
    <cellStyle name="대제목" xfId="2" xr:uid="{00000000-0005-0000-0000-000001000000}"/>
    <cellStyle name="문자필드" xfId="3" xr:uid="{00000000-0005-0000-0000-000002000000}"/>
    <cellStyle name="백분율" xfId="4" builtinId="5"/>
    <cellStyle name="백분율 2" xfId="77" xr:uid="{00000000-0005-0000-0000-000004000000}"/>
    <cellStyle name="소제목" xfId="5" xr:uid="{00000000-0005-0000-0000-000005000000}"/>
    <cellStyle name="숫자필드" xfId="6" xr:uid="{00000000-0005-0000-0000-000006000000}"/>
    <cellStyle name="스타일 1" xfId="1" xr:uid="{00000000-0005-0000-0000-000007000000}"/>
    <cellStyle name="중제목" xfId="7" xr:uid="{00000000-0005-0000-0000-000008000000}"/>
    <cellStyle name="표내용" xfId="8" xr:uid="{00000000-0005-0000-0000-000009000000}"/>
    <cellStyle name="표제목" xfId="9" xr:uid="{00000000-0005-0000-0000-00000A000000}"/>
    <cellStyle name="표준" xfId="0" builtinId="0"/>
    <cellStyle name="표준 10" xfId="19" xr:uid="{00000000-0005-0000-0000-00000C000000}"/>
    <cellStyle name="표준 11" xfId="20" xr:uid="{00000000-0005-0000-0000-00000D000000}"/>
    <cellStyle name="표준 12" xfId="21" xr:uid="{00000000-0005-0000-0000-00000E000000}"/>
    <cellStyle name="표준 13" xfId="22" xr:uid="{00000000-0005-0000-0000-00000F000000}"/>
    <cellStyle name="표준 14" xfId="23" xr:uid="{00000000-0005-0000-0000-000010000000}"/>
    <cellStyle name="표준 15" xfId="24" xr:uid="{00000000-0005-0000-0000-000011000000}"/>
    <cellStyle name="표준 16" xfId="25" xr:uid="{00000000-0005-0000-0000-000012000000}"/>
    <cellStyle name="표준 17" xfId="26" xr:uid="{00000000-0005-0000-0000-000013000000}"/>
    <cellStyle name="표준 18" xfId="27" xr:uid="{00000000-0005-0000-0000-000014000000}"/>
    <cellStyle name="표준 19" xfId="28" xr:uid="{00000000-0005-0000-0000-000015000000}"/>
    <cellStyle name="표준 2" xfId="11" xr:uid="{00000000-0005-0000-0000-000016000000}"/>
    <cellStyle name="표준 20" xfId="29" xr:uid="{00000000-0005-0000-0000-000017000000}"/>
    <cellStyle name="표준 21" xfId="30" xr:uid="{00000000-0005-0000-0000-000018000000}"/>
    <cellStyle name="표준 22" xfId="31" xr:uid="{00000000-0005-0000-0000-000019000000}"/>
    <cellStyle name="표준 23" xfId="32" xr:uid="{00000000-0005-0000-0000-00001A000000}"/>
    <cellStyle name="표준 24" xfId="33" xr:uid="{00000000-0005-0000-0000-00001B000000}"/>
    <cellStyle name="표준 25" xfId="34" xr:uid="{00000000-0005-0000-0000-00001C000000}"/>
    <cellStyle name="표준 26" xfId="35" xr:uid="{00000000-0005-0000-0000-00001D000000}"/>
    <cellStyle name="표준 27" xfId="36" xr:uid="{00000000-0005-0000-0000-00001E000000}"/>
    <cellStyle name="표준 28" xfId="37" xr:uid="{00000000-0005-0000-0000-00001F000000}"/>
    <cellStyle name="표준 29" xfId="38" xr:uid="{00000000-0005-0000-0000-000020000000}"/>
    <cellStyle name="표준 3" xfId="12" xr:uid="{00000000-0005-0000-0000-000021000000}"/>
    <cellStyle name="표준 30" xfId="39" xr:uid="{00000000-0005-0000-0000-000022000000}"/>
    <cellStyle name="표준 31" xfId="40" xr:uid="{00000000-0005-0000-0000-000023000000}"/>
    <cellStyle name="표준 32" xfId="41" xr:uid="{00000000-0005-0000-0000-000024000000}"/>
    <cellStyle name="표준 33" xfId="42" xr:uid="{00000000-0005-0000-0000-000025000000}"/>
    <cellStyle name="표준 34" xfId="43" xr:uid="{00000000-0005-0000-0000-000026000000}"/>
    <cellStyle name="표준 35" xfId="44" xr:uid="{00000000-0005-0000-0000-000027000000}"/>
    <cellStyle name="표준 36" xfId="45" xr:uid="{00000000-0005-0000-0000-000028000000}"/>
    <cellStyle name="표준 37" xfId="46" xr:uid="{00000000-0005-0000-0000-000029000000}"/>
    <cellStyle name="표준 38" xfId="47" xr:uid="{00000000-0005-0000-0000-00002A000000}"/>
    <cellStyle name="표준 39" xfId="48" xr:uid="{00000000-0005-0000-0000-00002B000000}"/>
    <cellStyle name="표준 4" xfId="13" xr:uid="{00000000-0005-0000-0000-00002C000000}"/>
    <cellStyle name="표준 40" xfId="49" xr:uid="{00000000-0005-0000-0000-00002D000000}"/>
    <cellStyle name="표준 41" xfId="50" xr:uid="{00000000-0005-0000-0000-00002E000000}"/>
    <cellStyle name="표준 42" xfId="51" xr:uid="{00000000-0005-0000-0000-00002F000000}"/>
    <cellStyle name="표준 43" xfId="52" xr:uid="{00000000-0005-0000-0000-000030000000}"/>
    <cellStyle name="표준 44" xfId="53" xr:uid="{00000000-0005-0000-0000-000031000000}"/>
    <cellStyle name="표준 45" xfId="54" xr:uid="{00000000-0005-0000-0000-000032000000}"/>
    <cellStyle name="표준 46" xfId="55" xr:uid="{00000000-0005-0000-0000-000033000000}"/>
    <cellStyle name="표준 47" xfId="56" xr:uid="{00000000-0005-0000-0000-000034000000}"/>
    <cellStyle name="표준 48" xfId="57" xr:uid="{00000000-0005-0000-0000-000035000000}"/>
    <cellStyle name="표준 49" xfId="58" xr:uid="{00000000-0005-0000-0000-000036000000}"/>
    <cellStyle name="표준 5" xfId="14" xr:uid="{00000000-0005-0000-0000-000037000000}"/>
    <cellStyle name="표준 50" xfId="59" xr:uid="{00000000-0005-0000-0000-000038000000}"/>
    <cellStyle name="표준 51" xfId="60" xr:uid="{00000000-0005-0000-0000-000039000000}"/>
    <cellStyle name="표준 52" xfId="61" xr:uid="{00000000-0005-0000-0000-00003A000000}"/>
    <cellStyle name="표준 53" xfId="62" xr:uid="{00000000-0005-0000-0000-00003B000000}"/>
    <cellStyle name="표준 54" xfId="63" xr:uid="{00000000-0005-0000-0000-00003C000000}"/>
    <cellStyle name="표준 55" xfId="64" xr:uid="{00000000-0005-0000-0000-00003D000000}"/>
    <cellStyle name="표준 56" xfId="65" xr:uid="{00000000-0005-0000-0000-00003E000000}"/>
    <cellStyle name="표준 57" xfId="66" xr:uid="{00000000-0005-0000-0000-00003F000000}"/>
    <cellStyle name="표준 58" xfId="67" xr:uid="{00000000-0005-0000-0000-000040000000}"/>
    <cellStyle name="표준 59" xfId="68" xr:uid="{00000000-0005-0000-0000-000041000000}"/>
    <cellStyle name="표준 6" xfId="15" xr:uid="{00000000-0005-0000-0000-000042000000}"/>
    <cellStyle name="표준 60" xfId="69" xr:uid="{00000000-0005-0000-0000-000043000000}"/>
    <cellStyle name="표준 61" xfId="70" xr:uid="{00000000-0005-0000-0000-000044000000}"/>
    <cellStyle name="표준 62" xfId="71" xr:uid="{00000000-0005-0000-0000-000045000000}"/>
    <cellStyle name="표준 63" xfId="72" xr:uid="{00000000-0005-0000-0000-000046000000}"/>
    <cellStyle name="표준 64" xfId="73" xr:uid="{00000000-0005-0000-0000-000047000000}"/>
    <cellStyle name="표준 65" xfId="74" xr:uid="{00000000-0005-0000-0000-000048000000}"/>
    <cellStyle name="표준 66" xfId="75" xr:uid="{00000000-0005-0000-0000-000049000000}"/>
    <cellStyle name="표준 67" xfId="76" xr:uid="{00000000-0005-0000-0000-00004A000000}"/>
    <cellStyle name="표준 7" xfId="16" xr:uid="{00000000-0005-0000-0000-00004B000000}"/>
    <cellStyle name="표준 8" xfId="17" xr:uid="{00000000-0005-0000-0000-00004C000000}"/>
    <cellStyle name="표준 9" xfId="18" xr:uid="{00000000-0005-0000-0000-00004D000000}"/>
    <cellStyle name="표준_첨부3.표준문서_세로양식" xfId="78" xr:uid="{00000000-0005-0000-0000-00004E000000}"/>
  </cellStyles>
  <dxfs count="11"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  <dxf>
      <font>
        <condense val="0"/>
        <extend val="0"/>
        <color indexed="20"/>
      </font>
      <fill>
        <patternFill>
          <bgColor indexed="20"/>
        </patternFill>
      </fill>
    </dxf>
  </dxfs>
  <tableStyles count="0" defaultTableStyle="TableStyleMedium9" defaultPivotStyle="PivotStyleLight16"/>
  <colors>
    <mruColors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4253933010331932E-2"/>
          <c:y val="3.1800983696475868E-2"/>
          <c:w val="0.94733935020524518"/>
          <c:h val="0.781627997820423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진행현황_전체!$B$20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진행현황_전체!$C$15:$L$15</c:f>
              <c:strCache>
                <c:ptCount val="10"/>
                <c:pt idx="0">
                  <c:v>01. 구분명</c:v>
                </c:pt>
                <c:pt idx="1">
                  <c:v>02. 구분명</c:v>
                </c:pt>
                <c:pt idx="2">
                  <c:v>03. 구분명</c:v>
                </c:pt>
                <c:pt idx="3">
                  <c:v>04. 구분명</c:v>
                </c:pt>
                <c:pt idx="4">
                  <c:v>05.구분명</c:v>
                </c:pt>
                <c:pt idx="5">
                  <c:v>06.구분명</c:v>
                </c:pt>
                <c:pt idx="6">
                  <c:v>07.구분명</c:v>
                </c:pt>
                <c:pt idx="7">
                  <c:v>08.구분명</c:v>
                </c:pt>
                <c:pt idx="8">
                  <c:v>09.구분명</c:v>
                </c:pt>
                <c:pt idx="9">
                  <c:v>10.구분명</c:v>
                </c:pt>
              </c:strCache>
            </c:strRef>
          </c:cat>
          <c:val>
            <c:numRef>
              <c:f>진행현황_전체!$C$20:$L$20</c:f>
              <c:numCache>
                <c:formatCode>0%</c:formatCode>
                <c:ptCount val="10"/>
                <c:pt idx="0">
                  <c:v>1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  <c:pt idx="8">
                  <c:v>0.99999999999999989</c:v>
                </c:pt>
                <c:pt idx="9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1-4331-9C73-FDFFAAFEF456}"/>
            </c:ext>
          </c:extLst>
        </c:ser>
        <c:ser>
          <c:idx val="1"/>
          <c:order val="1"/>
          <c:tx>
            <c:strRef>
              <c:f>진행현황_전체!$B$21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진행현황_전체!$C$15:$L$15</c:f>
              <c:strCache>
                <c:ptCount val="10"/>
                <c:pt idx="0">
                  <c:v>01. 구분명</c:v>
                </c:pt>
                <c:pt idx="1">
                  <c:v>02. 구분명</c:v>
                </c:pt>
                <c:pt idx="2">
                  <c:v>03. 구분명</c:v>
                </c:pt>
                <c:pt idx="3">
                  <c:v>04. 구분명</c:v>
                </c:pt>
                <c:pt idx="4">
                  <c:v>05.구분명</c:v>
                </c:pt>
                <c:pt idx="5">
                  <c:v>06.구분명</c:v>
                </c:pt>
                <c:pt idx="6">
                  <c:v>07.구분명</c:v>
                </c:pt>
                <c:pt idx="7">
                  <c:v>08.구분명</c:v>
                </c:pt>
                <c:pt idx="8">
                  <c:v>09.구분명</c:v>
                </c:pt>
                <c:pt idx="9">
                  <c:v>10.구분명</c:v>
                </c:pt>
              </c:strCache>
            </c:strRef>
          </c:cat>
          <c:val>
            <c:numRef>
              <c:f>진행현황_전체!$C$21:$L$21</c:f>
              <c:numCache>
                <c:formatCode>0%</c:formatCode>
                <c:ptCount val="10"/>
                <c:pt idx="0">
                  <c:v>1.8749999999999999E-2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1-4331-9C73-FDFFAAFEF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132383392"/>
        <c:axId val="-2132382848"/>
        <c:axId val="0"/>
      </c:bar3DChart>
      <c:catAx>
        <c:axId val="-213238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132382848"/>
        <c:crosses val="autoZero"/>
        <c:auto val="1"/>
        <c:lblAlgn val="ctr"/>
        <c:lblOffset val="100"/>
        <c:noMultiLvlLbl val="0"/>
      </c:catAx>
      <c:valAx>
        <c:axId val="-21323828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213238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487154184055975"/>
          <c:y val="0.88357915220231098"/>
          <c:w val="0.29503276842352932"/>
          <c:h val="0.103589896722695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진행현황_01.범위명!$A$20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진행현황_01.범위명!$B$15:$I$15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진행현황_01.범위명!$B$20:$I$20</c:f>
              <c:numCache>
                <c:formatCode>0%</c:formatCode>
                <c:ptCount val="8"/>
                <c:pt idx="0">
                  <c:v>1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E-4308-9DAC-D941FC045ED3}"/>
            </c:ext>
          </c:extLst>
        </c:ser>
        <c:ser>
          <c:idx val="1"/>
          <c:order val="1"/>
          <c:tx>
            <c:strRef>
              <c:f>진행현황_01.범위명!$A$21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진행현황_01.범위명!$B$15:$I$15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진행현황_01.범위명!$B$21:$I$21</c:f>
              <c:numCache>
                <c:formatCode>0%</c:formatCode>
                <c:ptCount val="8"/>
                <c:pt idx="0">
                  <c:v>0.125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E-4308-9DAC-D941FC045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34259296"/>
        <c:axId val="-1834258208"/>
        <c:axId val="0"/>
      </c:bar3DChart>
      <c:catAx>
        <c:axId val="-1834259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834258208"/>
        <c:crosses val="autoZero"/>
        <c:auto val="1"/>
        <c:lblAlgn val="ctr"/>
        <c:lblOffset val="100"/>
        <c:noMultiLvlLbl val="0"/>
      </c:catAx>
      <c:valAx>
        <c:axId val="-18342582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183425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진행현황_02.범위명!$A$20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진행현황_02.범위명!$B$15:$I$15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진행현황_02.범위명!$B$20:$I$20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B87-AA9C-8A728042EC68}"/>
            </c:ext>
          </c:extLst>
        </c:ser>
        <c:ser>
          <c:idx val="1"/>
          <c:order val="1"/>
          <c:tx>
            <c:strRef>
              <c:f>진행현황_02.범위명!$A$21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진행현황_02.범위명!$B$15:$I$15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진행현황_02.범위명!$B$21:$I$21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B87-AA9C-8A728042E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136795952"/>
        <c:axId val="-65924000"/>
        <c:axId val="0"/>
      </c:bar3DChart>
      <c:catAx>
        <c:axId val="-2136795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65924000"/>
        <c:crosses val="autoZero"/>
        <c:auto val="1"/>
        <c:lblAlgn val="ctr"/>
        <c:lblOffset val="100"/>
        <c:noMultiLvlLbl val="0"/>
      </c:catAx>
      <c:valAx>
        <c:axId val="-659240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213679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진행현황_03.범위명!$A$20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진행현황_03.범위명!$B$15:$I$15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진행현황_03.범위명!$B$20:$I$20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8-4380-976F-0C9AEB23036C}"/>
            </c:ext>
          </c:extLst>
        </c:ser>
        <c:ser>
          <c:idx val="1"/>
          <c:order val="1"/>
          <c:tx>
            <c:strRef>
              <c:f>진행현황_03.범위명!$A$21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진행현황_03.범위명!$B$15:$I$15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진행현황_03.범위명!$B$21:$I$21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8-4380-976F-0C9AEB230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65924544"/>
        <c:axId val="-65929440"/>
        <c:axId val="0"/>
      </c:bar3DChart>
      <c:catAx>
        <c:axId val="-65924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65929440"/>
        <c:crosses val="autoZero"/>
        <c:auto val="1"/>
        <c:lblAlgn val="ctr"/>
        <c:lblOffset val="100"/>
        <c:noMultiLvlLbl val="0"/>
      </c:catAx>
      <c:valAx>
        <c:axId val="-659294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6592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진행현황_04.범위명!$A$20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진행현황_04.범위명!$B$15:$I$15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진행현황_04.범위명!$B$20:$I$20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8-4248-955A-132369408B50}"/>
            </c:ext>
          </c:extLst>
        </c:ser>
        <c:ser>
          <c:idx val="1"/>
          <c:order val="1"/>
          <c:tx>
            <c:strRef>
              <c:f>진행현황_04.범위명!$A$21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진행현황_04.범위명!$B$15:$I$15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진행현황_04.범위명!$B$21:$I$21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8-4248-955A-13236940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34260928"/>
        <c:axId val="-1834266368"/>
        <c:axId val="0"/>
      </c:bar3DChart>
      <c:catAx>
        <c:axId val="-1834260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834266368"/>
        <c:crosses val="autoZero"/>
        <c:auto val="1"/>
        <c:lblAlgn val="ctr"/>
        <c:lblOffset val="100"/>
        <c:noMultiLvlLbl val="0"/>
      </c:catAx>
      <c:valAx>
        <c:axId val="-18342663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18342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진행현황_05.범위명!$A$20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진행현황_05.범위명!$B$15:$I$15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진행현황_05.범위명!$B$20:$I$20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F-410F-BBB9-41361E9D8265}"/>
            </c:ext>
          </c:extLst>
        </c:ser>
        <c:ser>
          <c:idx val="1"/>
          <c:order val="1"/>
          <c:tx>
            <c:strRef>
              <c:f>진행현황_05.범위명!$A$21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진행현황_05.범위명!$B$15:$I$15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진행현황_05.범위명!$B$21:$I$21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F-410F-BBB9-41361E9D8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139772176"/>
        <c:axId val="-2139773264"/>
        <c:axId val="0"/>
      </c:bar3DChart>
      <c:catAx>
        <c:axId val="-2139772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139773264"/>
        <c:crosses val="autoZero"/>
        <c:auto val="1"/>
        <c:lblAlgn val="ctr"/>
        <c:lblOffset val="100"/>
        <c:noMultiLvlLbl val="0"/>
      </c:catAx>
      <c:valAx>
        <c:axId val="-21397732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213977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진행현황_06.범위명!$A$20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진행현황_06.범위명!$B$15:$I$15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진행현황_06.범위명!$B$20:$I$20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B-4444-BCC0-748B22C9732E}"/>
            </c:ext>
          </c:extLst>
        </c:ser>
        <c:ser>
          <c:idx val="1"/>
          <c:order val="1"/>
          <c:tx>
            <c:strRef>
              <c:f>진행현황_06.범위명!$A$21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진행현황_06.범위명!$B$15:$I$15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진행현황_06.범위명!$B$21:$I$21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B-4444-BCC0-748B22C9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34259840"/>
        <c:axId val="-1834257664"/>
        <c:axId val="0"/>
      </c:bar3DChart>
      <c:catAx>
        <c:axId val="-183425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834257664"/>
        <c:crosses val="autoZero"/>
        <c:auto val="1"/>
        <c:lblAlgn val="ctr"/>
        <c:lblOffset val="100"/>
        <c:noMultiLvlLbl val="0"/>
      </c:catAx>
      <c:valAx>
        <c:axId val="-18342576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183425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진행현황_07.범위명!$A$20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진행현황_07.범위명!$B$15:$I$15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진행현황_07.범위명!$B$20:$I$20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6-4E3F-BB06-849F5B8D503E}"/>
            </c:ext>
          </c:extLst>
        </c:ser>
        <c:ser>
          <c:idx val="1"/>
          <c:order val="1"/>
          <c:tx>
            <c:strRef>
              <c:f>진행현황_07.범위명!$A$21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진행현황_07.범위명!$B$15:$I$15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진행현황_07.범위명!$B$21:$I$21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6-4E3F-BB06-849F5B8D5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2136783984"/>
        <c:axId val="-2136781808"/>
        <c:axId val="0"/>
      </c:bar3DChart>
      <c:catAx>
        <c:axId val="-2136783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136781808"/>
        <c:crosses val="autoZero"/>
        <c:auto val="1"/>
        <c:lblAlgn val="ctr"/>
        <c:lblOffset val="100"/>
        <c:noMultiLvlLbl val="0"/>
      </c:catAx>
      <c:valAx>
        <c:axId val="-2136781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213678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진행현황_08.범위명!$A$20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진행현황_08.범위명!$B$15:$I$15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진행현황_08.범위명!$B$20:$I$20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4-468A-934D-09C27EC009C4}"/>
            </c:ext>
          </c:extLst>
        </c:ser>
        <c:ser>
          <c:idx val="1"/>
          <c:order val="1"/>
          <c:tx>
            <c:strRef>
              <c:f>진행현황_08.범위명!$A$21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진행현황_08.범위명!$B$15:$I$15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진행현황_08.범위명!$B$21:$I$21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4-468A-934D-09C27EC0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68297504"/>
        <c:axId val="-68295328"/>
        <c:axId val="0"/>
      </c:bar3DChart>
      <c:catAx>
        <c:axId val="-68297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68295328"/>
        <c:crosses val="autoZero"/>
        <c:auto val="1"/>
        <c:lblAlgn val="ctr"/>
        <c:lblOffset val="100"/>
        <c:noMultiLvlLbl val="0"/>
      </c:catAx>
      <c:valAx>
        <c:axId val="-682953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682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진행현황_09.범위명!$A$20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진행현황_09.범위명!$B$15:$I$15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진행현황_09.범위명!$B$20:$I$20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E-4685-81AF-88878DBD9A13}"/>
            </c:ext>
          </c:extLst>
        </c:ser>
        <c:ser>
          <c:idx val="1"/>
          <c:order val="1"/>
          <c:tx>
            <c:strRef>
              <c:f>진행현황_09.범위명!$A$21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진행현황_09.범위명!$B$15:$I$15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진행현황_09.범위명!$B$21:$I$21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E-4685-81AF-88878DBD9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72053680"/>
        <c:axId val="-72050416"/>
        <c:axId val="0"/>
      </c:bar3DChart>
      <c:catAx>
        <c:axId val="-72053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2050416"/>
        <c:crosses val="autoZero"/>
        <c:auto val="1"/>
        <c:lblAlgn val="ctr"/>
        <c:lblOffset val="100"/>
        <c:noMultiLvlLbl val="0"/>
      </c:catAx>
      <c:valAx>
        <c:axId val="-720504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7205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진행현황_10.범위명!$A$20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진행현황_10.범위명!$B$15:$I$15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진행현황_10.범위명!$B$20:$I$20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2-40F0-BD08-E337505EF2DE}"/>
            </c:ext>
          </c:extLst>
        </c:ser>
        <c:ser>
          <c:idx val="1"/>
          <c:order val="1"/>
          <c:tx>
            <c:strRef>
              <c:f>진행현황_10.범위명!$A$21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진행현황_10.범위명!$B$15:$I$15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진행현황_10.범위명!$B$21:$I$21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2-40F0-BD08-E337505EF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863338096"/>
        <c:axId val="-1863347344"/>
        <c:axId val="0"/>
      </c:bar3DChart>
      <c:catAx>
        <c:axId val="-1863338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863347344"/>
        <c:crosses val="autoZero"/>
        <c:auto val="1"/>
        <c:lblAlgn val="ctr"/>
        <c:lblOffset val="100"/>
        <c:noMultiLvlLbl val="0"/>
      </c:catAx>
      <c:valAx>
        <c:axId val="-1863347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186333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2528687013296889E-2"/>
          <c:y val="3.4306738769811863E-2"/>
          <c:w val="0.94162491052254826"/>
          <c:h val="0.758241407986982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진행현황_템플릿!$A$20</c:f>
              <c:strCache>
                <c:ptCount val="1"/>
                <c:pt idx="0">
                  <c:v>시점 누적계획율</c:v>
                </c:pt>
              </c:strCache>
            </c:strRef>
          </c:tx>
          <c:invertIfNegative val="0"/>
          <c:cat>
            <c:strRef>
              <c:f>진행현황_템플릿!$B$15:$I$15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진행현황_템플릿!$B$20:$I$20</c:f>
              <c:numCache>
                <c:formatCode>0%</c:formatCode>
                <c:ptCount val="8"/>
                <c:pt idx="0">
                  <c:v>0.99999999999999989</c:v>
                </c:pt>
                <c:pt idx="1">
                  <c:v>0.99999999999999989</c:v>
                </c:pt>
                <c:pt idx="2">
                  <c:v>0.99999999999999989</c:v>
                </c:pt>
                <c:pt idx="3">
                  <c:v>0.99999999999999989</c:v>
                </c:pt>
                <c:pt idx="4">
                  <c:v>0.99999999999999989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8-459F-B871-B0F33963D769}"/>
            </c:ext>
          </c:extLst>
        </c:ser>
        <c:ser>
          <c:idx val="1"/>
          <c:order val="1"/>
          <c:tx>
            <c:strRef>
              <c:f>진행현황_템플릿!$A$21</c:f>
              <c:strCache>
                <c:ptCount val="1"/>
                <c:pt idx="0">
                  <c:v>시점 누적실적율</c:v>
                </c:pt>
              </c:strCache>
            </c:strRef>
          </c:tx>
          <c:invertIfNegative val="0"/>
          <c:cat>
            <c:strRef>
              <c:f>진행현황_템플릿!$B$15:$I$15</c:f>
              <c:strCache>
                <c:ptCount val="8"/>
                <c:pt idx="0">
                  <c:v>단계1</c:v>
                </c:pt>
                <c:pt idx="1">
                  <c:v>단계2</c:v>
                </c:pt>
                <c:pt idx="2">
                  <c:v>단계3</c:v>
                </c:pt>
                <c:pt idx="3">
                  <c:v>단계4</c:v>
                </c:pt>
                <c:pt idx="4">
                  <c:v>단계5</c:v>
                </c:pt>
                <c:pt idx="5">
                  <c:v>단계6</c:v>
                </c:pt>
                <c:pt idx="6">
                  <c:v>단계7</c:v>
                </c:pt>
                <c:pt idx="7">
                  <c:v>단계8</c:v>
                </c:pt>
              </c:strCache>
            </c:strRef>
          </c:cat>
          <c:val>
            <c:numRef>
              <c:f>진행현황_템플릿!$B$21:$I$21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8-459F-B871-B0F33963D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68300224"/>
        <c:axId val="-68295872"/>
        <c:axId val="0"/>
      </c:bar3DChart>
      <c:catAx>
        <c:axId val="-68300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68295872"/>
        <c:crosses val="autoZero"/>
        <c:auto val="1"/>
        <c:lblAlgn val="ctr"/>
        <c:lblOffset val="100"/>
        <c:noMultiLvlLbl val="0"/>
      </c:catAx>
      <c:valAx>
        <c:axId val="-682958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683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2059987852758076"/>
          <c:y val="0.87981327666556852"/>
          <c:w val="0.35157643001236416"/>
          <c:h val="0.111752251439037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0</xdr:rowOff>
    </xdr:from>
    <xdr:to>
      <xdr:col>5</xdr:col>
      <xdr:colOff>762000</xdr:colOff>
      <xdr:row>1</xdr:row>
      <xdr:rowOff>0</xdr:rowOff>
    </xdr:to>
    <xdr:pic>
      <xdr:nvPicPr>
        <xdr:cNvPr id="2" name="Picture 1" descr="LG_C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177800"/>
          <a:ext cx="6286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672352</xdr:colOff>
      <xdr:row>24</xdr:row>
      <xdr:rowOff>8964</xdr:rowOff>
    </xdr:from>
    <xdr:to>
      <xdr:col>6</xdr:col>
      <xdr:colOff>117377</xdr:colOff>
      <xdr:row>25</xdr:row>
      <xdr:rowOff>161363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D280CEF-6A0C-C7B4-79E6-3DA1496AF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3458" y="5414682"/>
          <a:ext cx="1614484" cy="4571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35</xdr:row>
      <xdr:rowOff>90487</xdr:rowOff>
    </xdr:from>
    <xdr:to>
      <xdr:col>12</xdr:col>
      <xdr:colOff>847724</xdr:colOff>
      <xdr:row>52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243416</xdr:colOff>
      <xdr:row>32</xdr:row>
      <xdr:rowOff>128588</xdr:rowOff>
    </xdr:from>
    <xdr:to>
      <xdr:col>9</xdr:col>
      <xdr:colOff>819149</xdr:colOff>
      <xdr:row>45</xdr:row>
      <xdr:rowOff>21168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32</xdr:row>
      <xdr:rowOff>128587</xdr:rowOff>
    </xdr:from>
    <xdr:to>
      <xdr:col>9</xdr:col>
      <xdr:colOff>819150</xdr:colOff>
      <xdr:row>52</xdr:row>
      <xdr:rowOff>47625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file\&#44277;&#50976;\08_5.LGCNS&#45432;&#53944;&#48513;&#48177;&#50629;(~2004.09)\08.02_CMT&#44288;&#47532;\01.&#54016;&#50629;&#47924;\4.&#44204;&#51201;&#54532;&#47196;&#49464;&#49828;\&#44204;&#51201;&#47784;&#45944;\FP&#44204;&#51201;&#47784;&#45944;(&#49345;&#49464;&#48277;)\FP&#44204;&#51201;&#47784;&#45944;_V1.7(&#52572;&#51333;)_200406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il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9"/>
  <sheetViews>
    <sheetView view="pageBreakPreview" zoomScale="115" zoomScaleNormal="55" zoomScaleSheetLayoutView="115" zoomScalePageLayoutView="55" workbookViewId="0">
      <selection activeCell="D18" sqref="D18"/>
    </sheetView>
  </sheetViews>
  <sheetFormatPr defaultColWidth="8.88671875" defaultRowHeight="13.5"/>
  <cols>
    <col min="1" max="1" width="1.77734375" style="165" customWidth="1"/>
    <col min="2" max="2" width="9.44140625" style="165" customWidth="1"/>
    <col min="3" max="9" width="14.21875" style="165" customWidth="1"/>
    <col min="10" max="16384" width="8.88671875" style="165"/>
  </cols>
  <sheetData>
    <row r="2" spans="1:9" ht="7.35" customHeight="1">
      <c r="A2" s="164"/>
      <c r="B2" s="164"/>
      <c r="C2" s="164"/>
      <c r="D2" s="164"/>
      <c r="E2" s="164"/>
      <c r="F2" s="164"/>
      <c r="G2" s="164"/>
      <c r="H2" s="164"/>
      <c r="I2" s="164"/>
    </row>
    <row r="3" spans="1:9" ht="57.6" customHeight="1">
      <c r="A3" s="164"/>
      <c r="B3" s="226" t="s">
        <v>221</v>
      </c>
      <c r="C3" s="227"/>
      <c r="D3" s="227"/>
      <c r="E3" s="226"/>
      <c r="F3" s="226"/>
      <c r="G3" s="226"/>
      <c r="H3" s="226"/>
      <c r="I3" s="226"/>
    </row>
    <row r="4" spans="1:9" ht="6" customHeight="1" thickBot="1">
      <c r="A4" s="166"/>
      <c r="B4" s="226"/>
      <c r="C4" s="228"/>
      <c r="D4" s="228"/>
      <c r="E4" s="226"/>
      <c r="F4" s="226"/>
      <c r="G4" s="226"/>
      <c r="H4" s="226"/>
      <c r="I4" s="226"/>
    </row>
    <row r="5" spans="1:9" ht="9.6" customHeight="1" thickTop="1">
      <c r="A5" s="167"/>
      <c r="B5" s="229"/>
      <c r="C5" s="230"/>
      <c r="D5" s="230"/>
      <c r="E5" s="229"/>
      <c r="F5" s="229"/>
      <c r="G5" s="229"/>
      <c r="H5" s="229"/>
      <c r="I5" s="231"/>
    </row>
    <row r="6" spans="1:9" ht="22.5" customHeight="1">
      <c r="A6" s="168"/>
      <c r="B6" s="232"/>
      <c r="C6" s="233"/>
      <c r="D6" s="233"/>
      <c r="E6" s="232"/>
      <c r="F6" s="232"/>
      <c r="G6" s="232"/>
      <c r="H6" s="232"/>
      <c r="I6" s="234"/>
    </row>
    <row r="7" spans="1:9" ht="35.450000000000003" customHeight="1">
      <c r="A7" s="169"/>
      <c r="B7" s="247" t="s">
        <v>299</v>
      </c>
      <c r="C7" s="233"/>
      <c r="D7" s="233"/>
      <c r="E7" s="232"/>
      <c r="F7" s="232"/>
      <c r="G7" s="232"/>
      <c r="H7" s="232"/>
      <c r="I7" s="234"/>
    </row>
    <row r="8" spans="1:9" ht="9" customHeight="1">
      <c r="A8" s="170"/>
      <c r="B8" s="235"/>
      <c r="C8" s="233"/>
      <c r="D8" s="233"/>
      <c r="E8" s="232"/>
      <c r="F8" s="232"/>
      <c r="G8" s="232"/>
      <c r="H8" s="232"/>
      <c r="I8" s="234"/>
    </row>
    <row r="9" spans="1:9" ht="22.5" customHeight="1">
      <c r="A9" s="171"/>
      <c r="B9" s="236" t="s">
        <v>273</v>
      </c>
      <c r="C9" s="233"/>
      <c r="D9" s="233"/>
      <c r="E9" s="232"/>
      <c r="F9" s="232"/>
      <c r="G9" s="232"/>
      <c r="H9" s="232"/>
      <c r="I9" s="237"/>
    </row>
    <row r="10" spans="1:9" ht="8.1" customHeight="1">
      <c r="A10" s="172"/>
      <c r="B10" s="238"/>
      <c r="C10" s="238"/>
      <c r="D10" s="238"/>
      <c r="E10" s="238"/>
      <c r="F10" s="238"/>
      <c r="G10" s="238"/>
      <c r="H10" s="238"/>
      <c r="I10" s="238"/>
    </row>
    <row r="11" spans="1:9" ht="7.5" customHeight="1">
      <c r="A11" s="173"/>
      <c r="B11" s="239"/>
      <c r="C11" s="240"/>
      <c r="D11" s="240"/>
      <c r="E11" s="239"/>
      <c r="F11" s="241"/>
      <c r="G11" s="241"/>
      <c r="H11" s="241"/>
      <c r="I11" s="242"/>
    </row>
    <row r="12" spans="1:9" ht="14.45" customHeight="1">
      <c r="A12" s="174"/>
      <c r="B12" s="243"/>
      <c r="C12" s="243"/>
      <c r="D12" s="243"/>
      <c r="E12" s="243"/>
      <c r="F12" s="244"/>
      <c r="G12" s="244"/>
      <c r="H12" s="244"/>
      <c r="I12" s="244"/>
    </row>
    <row r="13" spans="1:9" ht="16.7" customHeight="1">
      <c r="A13" s="175"/>
      <c r="B13" s="245" t="s">
        <v>289</v>
      </c>
      <c r="C13" s="245" t="s">
        <v>224</v>
      </c>
      <c r="D13" s="245"/>
      <c r="E13" s="244"/>
      <c r="F13" s="244"/>
      <c r="G13" s="244"/>
      <c r="H13" s="244"/>
      <c r="I13" s="244"/>
    </row>
    <row r="14" spans="1:9" ht="16.7" customHeight="1">
      <c r="A14" s="175"/>
      <c r="B14" s="245" t="s">
        <v>225</v>
      </c>
      <c r="C14" s="245" t="s">
        <v>226</v>
      </c>
      <c r="D14" s="245"/>
      <c r="E14" s="244"/>
      <c r="F14" s="244"/>
      <c r="G14" s="244"/>
      <c r="H14" s="244"/>
      <c r="I14" s="244"/>
    </row>
    <row r="15" spans="1:9" ht="16.7" customHeight="1">
      <c r="A15" s="175"/>
      <c r="B15" s="245" t="s">
        <v>222</v>
      </c>
      <c r="C15" s="245" t="s">
        <v>227</v>
      </c>
      <c r="D15" s="245"/>
      <c r="E15" s="244"/>
      <c r="F15" s="244"/>
      <c r="G15" s="244"/>
      <c r="H15" s="244"/>
      <c r="I15" s="244"/>
    </row>
    <row r="16" spans="1:9" s="177" customFormat="1" ht="21.75" customHeight="1">
      <c r="A16" s="176"/>
      <c r="B16" s="246"/>
      <c r="C16" s="246"/>
      <c r="D16" s="246"/>
      <c r="E16" s="246"/>
      <c r="F16" s="246"/>
      <c r="G16" s="246"/>
      <c r="H16" s="244"/>
      <c r="I16" s="246"/>
    </row>
    <row r="17" spans="1:9" s="177" customFormat="1" ht="18.600000000000001" customHeight="1">
      <c r="A17" s="176"/>
      <c r="B17" s="176"/>
      <c r="C17" s="176"/>
      <c r="D17" s="176"/>
      <c r="F17" s="165"/>
      <c r="G17" s="196" t="s">
        <v>228</v>
      </c>
      <c r="H17" s="197" t="s">
        <v>229</v>
      </c>
      <c r="I17" s="176"/>
    </row>
    <row r="18" spans="1:9" ht="18.600000000000001" customHeight="1">
      <c r="A18" s="175"/>
      <c r="B18" s="175"/>
      <c r="C18" s="175"/>
      <c r="D18" s="175"/>
      <c r="G18" s="198" t="s">
        <v>230</v>
      </c>
      <c r="H18" s="198" t="s">
        <v>231</v>
      </c>
      <c r="I18" s="175"/>
    </row>
    <row r="19" spans="1:9" ht="18.600000000000001" customHeight="1">
      <c r="A19" s="175"/>
      <c r="B19" s="175"/>
      <c r="C19" s="175"/>
      <c r="D19" s="175"/>
      <c r="G19" s="199" t="s">
        <v>232</v>
      </c>
      <c r="H19" s="199" t="s">
        <v>233</v>
      </c>
      <c r="I19" s="175"/>
    </row>
    <row r="20" spans="1:9" ht="18.600000000000001" customHeight="1">
      <c r="A20" s="175"/>
      <c r="B20" s="175"/>
      <c r="C20" s="175"/>
      <c r="D20" s="175"/>
      <c r="G20" s="198" t="s">
        <v>223</v>
      </c>
      <c r="H20" s="198" t="s">
        <v>234</v>
      </c>
      <c r="I20" s="175"/>
    </row>
    <row r="21" spans="1:9" ht="18.600000000000001" customHeight="1">
      <c r="A21" s="175"/>
      <c r="B21" s="175"/>
      <c r="C21" s="175"/>
      <c r="D21" s="175"/>
      <c r="G21" s="200" t="s">
        <v>235</v>
      </c>
      <c r="H21" s="200" t="s">
        <v>236</v>
      </c>
      <c r="I21" s="175"/>
    </row>
    <row r="22" spans="1:9" ht="18.600000000000001" customHeight="1">
      <c r="A22" s="175"/>
      <c r="B22" s="175"/>
      <c r="C22" s="175"/>
      <c r="D22" s="175"/>
      <c r="G22" s="178"/>
      <c r="H22" s="175"/>
      <c r="I22" s="175"/>
    </row>
    <row r="23" spans="1:9" ht="18.600000000000001" customHeight="1">
      <c r="A23" s="175"/>
      <c r="B23" s="175"/>
      <c r="C23" s="175"/>
      <c r="D23" s="175"/>
      <c r="E23" s="175"/>
      <c r="F23" s="175"/>
      <c r="G23" s="175"/>
      <c r="H23" s="175"/>
      <c r="I23" s="175"/>
    </row>
    <row r="24" spans="1:9">
      <c r="A24" s="175"/>
      <c r="B24" s="175"/>
      <c r="C24" s="175"/>
      <c r="D24" s="175"/>
      <c r="E24" s="175"/>
      <c r="F24" s="175"/>
      <c r="G24" s="175"/>
      <c r="H24" s="175"/>
      <c r="I24" s="175"/>
    </row>
    <row r="25" spans="1:9" ht="24" customHeight="1">
      <c r="A25" s="164"/>
      <c r="B25" s="164"/>
      <c r="C25" s="164"/>
      <c r="D25" s="164"/>
      <c r="E25" s="164"/>
      <c r="F25" s="164"/>
      <c r="G25" s="164"/>
      <c r="H25" s="164"/>
      <c r="I25" s="164"/>
    </row>
    <row r="26" spans="1:9" ht="12.6" customHeight="1">
      <c r="A26" s="164"/>
      <c r="B26" s="164"/>
      <c r="C26" s="164"/>
      <c r="D26" s="164"/>
      <c r="E26" s="164"/>
      <c r="F26" s="179"/>
      <c r="G26" s="164"/>
      <c r="H26" s="164"/>
      <c r="I26" s="179"/>
    </row>
    <row r="27" spans="1:9" ht="9.6" customHeight="1">
      <c r="A27" s="260"/>
      <c r="B27" s="260"/>
      <c r="C27" s="260"/>
      <c r="D27" s="260"/>
      <c r="E27" s="260"/>
      <c r="F27" s="260"/>
      <c r="G27" s="260"/>
      <c r="H27" s="260"/>
      <c r="I27" s="260"/>
    </row>
    <row r="28" spans="1:9" ht="8.4499999999999993" customHeight="1">
      <c r="A28" s="164"/>
      <c r="B28" s="164"/>
      <c r="C28" s="166"/>
      <c r="D28" s="166"/>
      <c r="E28" s="166"/>
      <c r="F28" s="187"/>
      <c r="G28" s="166"/>
      <c r="H28" s="164"/>
      <c r="I28" s="179"/>
    </row>
    <row r="29" spans="1:9" ht="14.45" customHeight="1">
      <c r="A29" s="260" t="s">
        <v>298</v>
      </c>
      <c r="B29" s="260"/>
      <c r="C29" s="260"/>
      <c r="D29" s="260"/>
      <c r="E29" s="260"/>
      <c r="F29" s="260"/>
      <c r="G29" s="260"/>
      <c r="H29" s="260"/>
      <c r="I29" s="260"/>
    </row>
    <row r="30" spans="1:9" ht="14.45" customHeight="1">
      <c r="A30" s="164"/>
      <c r="B30" s="164"/>
      <c r="C30" s="180"/>
      <c r="D30" s="180"/>
      <c r="E30" s="180"/>
      <c r="F30" s="180"/>
      <c r="G30" s="180"/>
      <c r="H30" s="164"/>
      <c r="I30" s="179"/>
    </row>
    <row r="31" spans="1:9" ht="26.45" customHeight="1">
      <c r="A31" s="164"/>
      <c r="B31" s="164"/>
      <c r="C31" s="164"/>
      <c r="D31" s="164"/>
      <c r="E31" s="164"/>
      <c r="F31" s="179"/>
      <c r="G31" s="164"/>
      <c r="H31" s="164"/>
      <c r="I31" s="179"/>
    </row>
    <row r="32" spans="1:9" ht="16.5">
      <c r="F32" s="181"/>
      <c r="I32" s="181"/>
    </row>
    <row r="33" spans="6:9" ht="16.5">
      <c r="F33" s="181"/>
      <c r="I33" s="181"/>
    </row>
    <row r="34" spans="6:9" ht="16.5">
      <c r="F34" s="181"/>
      <c r="I34" s="181"/>
    </row>
    <row r="35" spans="6:9" ht="16.5">
      <c r="F35" s="181"/>
      <c r="I35" s="181"/>
    </row>
    <row r="36" spans="6:9" ht="16.5">
      <c r="F36" s="181"/>
      <c r="I36" s="181"/>
    </row>
    <row r="37" spans="6:9" ht="16.5">
      <c r="F37" s="181"/>
      <c r="I37" s="181"/>
    </row>
    <row r="38" spans="6:9" ht="15" customHeight="1">
      <c r="F38" s="181"/>
      <c r="I38" s="181"/>
    </row>
    <row r="39" spans="6:9">
      <c r="I39" s="182"/>
    </row>
  </sheetData>
  <mergeCells count="2">
    <mergeCell ref="A27:I27"/>
    <mergeCell ref="A29:I29"/>
  </mergeCells>
  <phoneticPr fontId="4" type="noConversion"/>
  <printOptions horizontalCentered="1"/>
  <pageMargins left="0.25" right="0.25" top="0.75" bottom="0.75" header="0.3" footer="0.3"/>
  <pageSetup paperSize="9" scale="9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view="pageBreakPreview" zoomScale="85" zoomScaleNormal="100" zoomScaleSheetLayoutView="85" zoomScalePageLayoutView="55" workbookViewId="0">
      <selection activeCell="B19" sqref="B19"/>
    </sheetView>
  </sheetViews>
  <sheetFormatPr defaultColWidth="8.88671875" defaultRowHeight="12"/>
  <cols>
    <col min="1" max="1" width="8.5546875" style="185" customWidth="1"/>
    <col min="2" max="2" width="38.21875" style="185" customWidth="1"/>
    <col min="3" max="3" width="19.109375" style="185" customWidth="1"/>
    <col min="4" max="4" width="18.21875" style="185" customWidth="1"/>
    <col min="5" max="5" width="16.109375" style="185" customWidth="1"/>
    <col min="6" max="7" width="6.77734375" style="185" customWidth="1"/>
    <col min="8" max="16384" width="8.88671875" style="185"/>
  </cols>
  <sheetData>
    <row r="1" spans="1:5" s="183" customFormat="1" ht="13.5" customHeight="1" thickBot="1">
      <c r="A1" s="201" t="str">
        <f>표지!C13</f>
        <v>사업명 입력</v>
      </c>
      <c r="B1" s="202"/>
      <c r="C1" s="202"/>
      <c r="D1" s="203"/>
      <c r="E1" s="204" t="str">
        <f>표지!B7</f>
        <v>일정관리 및 통제표 (2025년)</v>
      </c>
    </row>
    <row r="2" spans="1:5" s="184" customFormat="1" ht="18.600000000000001" customHeight="1" thickTop="1">
      <c r="A2" s="205"/>
      <c r="B2" s="205"/>
      <c r="C2" s="205"/>
      <c r="D2" s="205"/>
      <c r="E2" s="205"/>
    </row>
    <row r="3" spans="1:5" s="184" customFormat="1" ht="28.5" customHeight="1">
      <c r="A3" s="261" t="s">
        <v>237</v>
      </c>
      <c r="B3" s="261"/>
      <c r="C3" s="261"/>
      <c r="D3" s="261"/>
      <c r="E3" s="261"/>
    </row>
    <row r="4" spans="1:5" s="184" customFormat="1" ht="19.350000000000001" customHeight="1" thickBot="1">
      <c r="A4" s="206"/>
      <c r="B4" s="206"/>
      <c r="C4" s="206"/>
      <c r="D4" s="206"/>
      <c r="E4" s="206"/>
    </row>
    <row r="5" spans="1:5" s="184" customFormat="1" ht="21" customHeight="1" thickTop="1">
      <c r="A5" s="207" t="s">
        <v>238</v>
      </c>
      <c r="B5" s="208" t="s">
        <v>239</v>
      </c>
      <c r="C5" s="208" t="s">
        <v>240</v>
      </c>
      <c r="D5" s="208" t="s">
        <v>241</v>
      </c>
      <c r="E5" s="209" t="s">
        <v>242</v>
      </c>
    </row>
    <row r="6" spans="1:5" s="184" customFormat="1" ht="24" customHeight="1">
      <c r="A6" s="210" t="s">
        <v>243</v>
      </c>
      <c r="B6" s="211"/>
      <c r="C6" s="211"/>
      <c r="D6" s="211"/>
      <c r="E6" s="212"/>
    </row>
    <row r="7" spans="1:5" s="184" customFormat="1" ht="24" customHeight="1">
      <c r="A7" s="210" t="s">
        <v>243</v>
      </c>
      <c r="B7" s="211"/>
      <c r="C7" s="211"/>
      <c r="D7" s="211"/>
      <c r="E7" s="212"/>
    </row>
    <row r="8" spans="1:5" s="184" customFormat="1" ht="24" customHeight="1">
      <c r="A8" s="210" t="s">
        <v>244</v>
      </c>
      <c r="B8" s="211"/>
      <c r="C8" s="211"/>
      <c r="D8" s="211"/>
      <c r="E8" s="212"/>
    </row>
    <row r="9" spans="1:5" s="184" customFormat="1" ht="24" customHeight="1">
      <c r="A9" s="210" t="s">
        <v>244</v>
      </c>
      <c r="B9" s="211"/>
      <c r="C9" s="211"/>
      <c r="D9" s="211"/>
      <c r="E9" s="212"/>
    </row>
    <row r="10" spans="1:5" s="184" customFormat="1" ht="24" customHeight="1">
      <c r="A10" s="213" t="s">
        <v>245</v>
      </c>
      <c r="B10" s="214"/>
      <c r="C10" s="214"/>
      <c r="D10" s="214"/>
      <c r="E10" s="215"/>
    </row>
    <row r="11" spans="1:5" s="184" customFormat="1" ht="13.35" customHeight="1">
      <c r="A11" s="205"/>
      <c r="B11" s="205"/>
      <c r="C11" s="205"/>
      <c r="D11" s="205"/>
      <c r="E11" s="205"/>
    </row>
    <row r="12" spans="1:5" s="184" customFormat="1" ht="13.35" customHeight="1">
      <c r="A12" s="205"/>
      <c r="B12" s="205"/>
      <c r="C12" s="205"/>
      <c r="D12" s="205"/>
      <c r="E12" s="205"/>
    </row>
    <row r="13" spans="1:5" s="184" customFormat="1" ht="13.35" customHeight="1">
      <c r="A13" s="205"/>
      <c r="B13" s="205"/>
      <c r="C13" s="205"/>
      <c r="D13" s="205"/>
      <c r="E13" s="205"/>
    </row>
    <row r="14" spans="1:5" s="184" customFormat="1" ht="13.35" customHeight="1">
      <c r="A14" s="205"/>
      <c r="B14" s="205"/>
      <c r="C14" s="205"/>
      <c r="D14" s="205"/>
      <c r="E14" s="205"/>
    </row>
    <row r="15" spans="1:5" s="184" customFormat="1" ht="13.5" customHeight="1">
      <c r="A15" s="205"/>
      <c r="B15" s="205"/>
      <c r="C15" s="205"/>
      <c r="D15" s="205"/>
      <c r="E15" s="205"/>
    </row>
    <row r="16" spans="1:5" s="184" customFormat="1" ht="13.5" customHeight="1">
      <c r="A16" s="205"/>
      <c r="B16" s="205"/>
      <c r="C16" s="205"/>
      <c r="D16" s="205"/>
      <c r="E16" s="205"/>
    </row>
    <row r="17" spans="1:5" s="184" customFormat="1" ht="13.5" customHeight="1">
      <c r="A17" s="205"/>
      <c r="B17" s="205"/>
      <c r="C17" s="205"/>
      <c r="D17" s="205"/>
      <c r="E17" s="205"/>
    </row>
    <row r="18" spans="1:5" s="184" customFormat="1" ht="13.5" customHeight="1">
      <c r="A18" s="205"/>
      <c r="B18" s="205"/>
      <c r="C18" s="205"/>
      <c r="D18" s="205"/>
      <c r="E18" s="205"/>
    </row>
    <row r="19" spans="1:5" s="184" customFormat="1" ht="13.5" customHeight="1">
      <c r="A19" s="205"/>
      <c r="B19" s="205"/>
      <c r="C19" s="205"/>
      <c r="D19" s="205"/>
      <c r="E19" s="205"/>
    </row>
    <row r="20" spans="1:5" s="184" customFormat="1" ht="13.5" customHeight="1">
      <c r="A20" s="205"/>
      <c r="B20" s="205"/>
      <c r="C20" s="205"/>
      <c r="D20" s="205"/>
      <c r="E20" s="205"/>
    </row>
    <row r="21" spans="1:5" s="184" customFormat="1" ht="13.5" customHeight="1">
      <c r="A21" s="205"/>
      <c r="B21" s="205"/>
      <c r="C21" s="205"/>
      <c r="D21" s="205"/>
      <c r="E21" s="205"/>
    </row>
    <row r="22" spans="1:5" s="184" customFormat="1" ht="13.5" customHeight="1">
      <c r="A22" s="205"/>
      <c r="B22" s="205"/>
      <c r="C22" s="205"/>
      <c r="D22" s="205"/>
      <c r="E22" s="205"/>
    </row>
    <row r="23" spans="1:5" s="184" customFormat="1" ht="13.5" customHeight="1">
      <c r="A23" s="205"/>
      <c r="B23" s="205"/>
      <c r="C23" s="205"/>
      <c r="D23" s="205"/>
      <c r="E23" s="205"/>
    </row>
    <row r="24" spans="1:5" s="184" customFormat="1" ht="13.5" customHeight="1">
      <c r="A24" s="205"/>
      <c r="B24" s="205"/>
      <c r="C24" s="205"/>
      <c r="D24" s="205"/>
      <c r="E24" s="205"/>
    </row>
    <row r="25" spans="1:5" s="184" customFormat="1" ht="13.5" customHeight="1">
      <c r="A25" s="205"/>
      <c r="B25" s="205"/>
      <c r="C25" s="205"/>
      <c r="D25" s="205"/>
      <c r="E25" s="205"/>
    </row>
    <row r="26" spans="1:5" s="184" customFormat="1" ht="13.5" customHeight="1">
      <c r="A26" s="205"/>
      <c r="B26" s="205"/>
      <c r="C26" s="205"/>
      <c r="D26" s="205"/>
      <c r="E26" s="205"/>
    </row>
    <row r="27" spans="1:5" s="184" customFormat="1" ht="13.5" customHeight="1">
      <c r="A27" s="205"/>
      <c r="B27" s="205"/>
      <c r="C27" s="205"/>
      <c r="D27" s="205"/>
      <c r="E27" s="205"/>
    </row>
    <row r="28" spans="1:5" s="184" customFormat="1" ht="13.5" customHeight="1">
      <c r="A28" s="205"/>
      <c r="B28" s="205"/>
      <c r="C28" s="205"/>
      <c r="D28" s="205"/>
      <c r="E28" s="205"/>
    </row>
    <row r="29" spans="1:5" s="184" customFormat="1" ht="13.5" customHeight="1">
      <c r="A29" s="205"/>
      <c r="B29" s="205"/>
      <c r="C29" s="205"/>
      <c r="D29" s="205"/>
      <c r="E29" s="205"/>
    </row>
  </sheetData>
  <mergeCells count="1">
    <mergeCell ref="A3:E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&amp;L주관기관 로고&amp;R문서명</oddHeader>
    <oddFooter>&amp;C&amp;"바탕체,보통"&amp;9- &amp;P/&amp;N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view="pageBreakPreview" zoomScale="85" zoomScaleNormal="100" zoomScaleSheetLayoutView="85" zoomScalePageLayoutView="55" workbookViewId="0">
      <selection activeCell="B7" sqref="B7"/>
    </sheetView>
  </sheetViews>
  <sheetFormatPr defaultColWidth="8.6640625" defaultRowHeight="13.5"/>
  <cols>
    <col min="1" max="1" width="8" style="186" customWidth="1"/>
    <col min="2" max="2" width="14.44140625" style="186" customWidth="1"/>
    <col min="3" max="3" width="71.77734375" style="186" customWidth="1"/>
    <col min="4" max="5" width="6.88671875" style="186" customWidth="1"/>
    <col min="6" max="16384" width="8.6640625" style="186"/>
  </cols>
  <sheetData>
    <row r="1" spans="1:5" s="183" customFormat="1" ht="13.5" customHeight="1" thickBot="1">
      <c r="A1" s="201" t="str">
        <f>표지!C13</f>
        <v>사업명 입력</v>
      </c>
      <c r="B1" s="201"/>
      <c r="C1" s="201"/>
      <c r="D1" s="201"/>
      <c r="E1" s="204" t="str">
        <f>표지!B7</f>
        <v>일정관리 및 통제표 (2025년)</v>
      </c>
    </row>
    <row r="2" spans="1:5" s="183" customFormat="1" ht="19.350000000000001" customHeight="1" thickTop="1">
      <c r="A2" s="216"/>
      <c r="B2" s="217"/>
      <c r="C2" s="217"/>
      <c r="D2" s="217"/>
      <c r="E2" s="217"/>
    </row>
    <row r="3" spans="1:5" s="183" customFormat="1" ht="21" customHeight="1">
      <c r="A3" s="262" t="s">
        <v>246</v>
      </c>
      <c r="B3" s="262"/>
      <c r="C3" s="262"/>
      <c r="D3" s="262"/>
      <c r="E3" s="262"/>
    </row>
    <row r="4" spans="1:5" s="183" customFormat="1" ht="18.600000000000001" customHeight="1" thickBot="1">
      <c r="A4" s="218"/>
      <c r="B4" s="218"/>
      <c r="C4" s="218"/>
      <c r="D4" s="218"/>
      <c r="E4" s="218"/>
    </row>
    <row r="5" spans="1:5" s="183" customFormat="1" ht="21" customHeight="1" thickTop="1">
      <c r="A5" s="207" t="s">
        <v>125</v>
      </c>
      <c r="B5" s="208" t="s">
        <v>247</v>
      </c>
      <c r="C5" s="209" t="s">
        <v>287</v>
      </c>
      <c r="D5" s="209" t="s">
        <v>248</v>
      </c>
      <c r="E5" s="209" t="s">
        <v>249</v>
      </c>
    </row>
    <row r="6" spans="1:5" s="183" customFormat="1" ht="21" customHeight="1">
      <c r="A6" s="219">
        <v>1</v>
      </c>
      <c r="B6" s="220">
        <v>45658</v>
      </c>
      <c r="C6" s="221" t="s">
        <v>250</v>
      </c>
      <c r="D6" s="222"/>
      <c r="E6" s="222"/>
    </row>
    <row r="7" spans="1:5" s="183" customFormat="1" ht="21" customHeight="1">
      <c r="A7" s="210"/>
      <c r="B7" s="211"/>
      <c r="C7" s="221"/>
      <c r="D7" s="222"/>
      <c r="E7" s="222"/>
    </row>
    <row r="8" spans="1:5" s="183" customFormat="1" ht="21" customHeight="1">
      <c r="A8" s="210"/>
      <c r="B8" s="211"/>
      <c r="C8" s="221"/>
      <c r="D8" s="222"/>
      <c r="E8" s="222"/>
    </row>
    <row r="9" spans="1:5" s="183" customFormat="1" ht="21" customHeight="1">
      <c r="A9" s="210"/>
      <c r="B9" s="211"/>
      <c r="C9" s="221"/>
      <c r="D9" s="222"/>
      <c r="E9" s="222"/>
    </row>
    <row r="10" spans="1:5" s="183" customFormat="1" ht="21" customHeight="1">
      <c r="A10" s="219"/>
      <c r="B10" s="211"/>
      <c r="C10" s="221"/>
      <c r="D10" s="222"/>
      <c r="E10" s="222"/>
    </row>
    <row r="11" spans="1:5" s="183" customFormat="1" ht="21" customHeight="1">
      <c r="A11" s="210"/>
      <c r="B11" s="211"/>
      <c r="C11" s="221"/>
      <c r="D11" s="222"/>
      <c r="E11" s="222"/>
    </row>
    <row r="12" spans="1:5" s="183" customFormat="1" ht="21" customHeight="1">
      <c r="A12" s="210"/>
      <c r="B12" s="211"/>
      <c r="C12" s="221"/>
      <c r="D12" s="222"/>
      <c r="E12" s="222"/>
    </row>
    <row r="13" spans="1:5" s="183" customFormat="1" ht="21" customHeight="1">
      <c r="A13" s="210"/>
      <c r="B13" s="211"/>
      <c r="C13" s="221"/>
      <c r="D13" s="222"/>
      <c r="E13" s="222"/>
    </row>
    <row r="14" spans="1:5" s="183" customFormat="1" ht="21" customHeight="1">
      <c r="A14" s="210"/>
      <c r="B14" s="211"/>
      <c r="C14" s="221"/>
      <c r="D14" s="222"/>
      <c r="E14" s="222"/>
    </row>
    <row r="15" spans="1:5" s="183" customFormat="1" ht="21" customHeight="1">
      <c r="A15" s="219"/>
      <c r="B15" s="211"/>
      <c r="C15" s="221"/>
      <c r="D15" s="222"/>
      <c r="E15" s="222"/>
    </row>
    <row r="16" spans="1:5" s="183" customFormat="1" ht="21" customHeight="1">
      <c r="A16" s="210"/>
      <c r="B16" s="211"/>
      <c r="C16" s="221"/>
      <c r="D16" s="222"/>
      <c r="E16" s="222"/>
    </row>
    <row r="17" spans="1:5" s="183" customFormat="1" ht="21" customHeight="1">
      <c r="A17" s="210"/>
      <c r="B17" s="211"/>
      <c r="C17" s="221"/>
      <c r="D17" s="222"/>
      <c r="E17" s="222"/>
    </row>
    <row r="18" spans="1:5" s="183" customFormat="1" ht="21" customHeight="1">
      <c r="A18" s="219"/>
      <c r="B18" s="211"/>
      <c r="C18" s="221"/>
      <c r="D18" s="222"/>
      <c r="E18" s="222"/>
    </row>
    <row r="19" spans="1:5" s="183" customFormat="1" ht="21" customHeight="1">
      <c r="A19" s="219"/>
      <c r="B19" s="211"/>
      <c r="C19" s="221"/>
      <c r="D19" s="222"/>
      <c r="E19" s="222"/>
    </row>
    <row r="20" spans="1:5" s="183" customFormat="1" ht="21" customHeight="1">
      <c r="A20" s="210"/>
      <c r="B20" s="211"/>
      <c r="C20" s="221"/>
      <c r="D20" s="222"/>
      <c r="E20" s="222"/>
    </row>
    <row r="21" spans="1:5" s="183" customFormat="1" ht="21" customHeight="1">
      <c r="A21" s="213"/>
      <c r="B21" s="214"/>
      <c r="C21" s="223"/>
      <c r="D21" s="224"/>
      <c r="E21" s="224"/>
    </row>
    <row r="22" spans="1:5" ht="16.5">
      <c r="A22" s="217"/>
      <c r="B22" s="217"/>
      <c r="C22" s="217"/>
      <c r="D22" s="217"/>
      <c r="E22" s="217"/>
    </row>
    <row r="23" spans="1:5" ht="16.5">
      <c r="A23" s="225" t="s">
        <v>251</v>
      </c>
      <c r="B23" s="217"/>
      <c r="C23" s="217"/>
      <c r="D23" s="217"/>
      <c r="E23" s="217"/>
    </row>
  </sheetData>
  <mergeCells count="1">
    <mergeCell ref="A3:E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&amp;L주관기관 로고&amp;R문서명</oddHeader>
    <oddFooter>&amp;C&amp;"바탕체,보통"&amp;9- &amp;P/&amp;N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7"/>
  <sheetViews>
    <sheetView view="pageBreakPreview" zoomScale="115" zoomScaleNormal="90" zoomScaleSheetLayoutView="115" zoomScalePageLayoutView="145" workbookViewId="0">
      <selection activeCell="C7" sqref="C7:D7"/>
    </sheetView>
  </sheetViews>
  <sheetFormatPr defaultColWidth="8.88671875" defaultRowHeight="16.5"/>
  <cols>
    <col min="1" max="1" width="8.88671875" style="8"/>
    <col min="2" max="2" width="20.5546875" style="8" customWidth="1"/>
    <col min="3" max="13" width="14.77734375" style="8" customWidth="1"/>
    <col min="14" max="16384" width="8.88671875" style="8"/>
  </cols>
  <sheetData>
    <row r="1" spans="1:14" s="5" customFormat="1" ht="13.5" customHeight="1" thickBot="1">
      <c r="A1" s="1" t="str">
        <f>표지!C13</f>
        <v>사업명 입력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4"/>
      <c r="N1" s="4" t="str">
        <f>표지!B7</f>
        <v>일정관리 및 통제표 (2025년)</v>
      </c>
    </row>
    <row r="2" spans="1:14" s="5" customFormat="1" ht="6.75" customHeight="1" thickTop="1">
      <c r="B2" s="6"/>
      <c r="C2" s="7"/>
    </row>
    <row r="3" spans="1:14" s="5" customFormat="1" ht="6.75" customHeight="1">
      <c r="B3" s="6"/>
      <c r="C3" s="7"/>
    </row>
    <row r="4" spans="1:14" ht="24.75" customHeight="1">
      <c r="A4" s="263" t="s">
        <v>274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</row>
    <row r="5" spans="1:14" ht="15" customHeight="1" thickBot="1">
      <c r="D5" s="9"/>
      <c r="G5" s="9"/>
    </row>
    <row r="6" spans="1:14" s="5" customFormat="1" ht="19.5" customHeight="1" thickBot="1">
      <c r="B6" s="10" t="s">
        <v>149</v>
      </c>
      <c r="C6" s="269">
        <v>45732</v>
      </c>
      <c r="D6" s="270"/>
    </row>
    <row r="7" spans="1:14" s="5" customFormat="1" ht="15" customHeight="1">
      <c r="C7" s="271"/>
      <c r="D7" s="271"/>
    </row>
    <row r="8" spans="1:14" s="5" customFormat="1" ht="15" customHeight="1" thickBot="1">
      <c r="B8" s="10" t="s">
        <v>141</v>
      </c>
    </row>
    <row r="9" spans="1:14" s="5" customFormat="1" ht="18" customHeight="1">
      <c r="B9" s="10" t="s">
        <v>48</v>
      </c>
      <c r="C9" s="272">
        <f>M30</f>
        <v>100</v>
      </c>
      <c r="D9" s="273"/>
    </row>
    <row r="10" spans="1:14" s="5" customFormat="1" ht="18" customHeight="1">
      <c r="B10" s="10" t="s">
        <v>49</v>
      </c>
      <c r="C10" s="264">
        <f>M31</f>
        <v>0.375</v>
      </c>
      <c r="D10" s="265"/>
    </row>
    <row r="11" spans="1:14" s="5" customFormat="1" ht="18" customHeight="1" thickBot="1">
      <c r="B11" s="10" t="s">
        <v>50</v>
      </c>
      <c r="C11" s="267">
        <f>IF(C9=0, 0, C10/C9)</f>
        <v>3.7499999999999999E-3</v>
      </c>
      <c r="D11" s="268"/>
    </row>
    <row r="12" spans="1:14" s="5" customFormat="1" ht="15" customHeight="1">
      <c r="C12" s="7"/>
      <c r="D12" s="7"/>
      <c r="G12" s="7"/>
    </row>
    <row r="13" spans="1:14" s="5" customFormat="1" ht="15" customHeight="1">
      <c r="B13" s="266" t="s">
        <v>126</v>
      </c>
      <c r="C13" s="266"/>
      <c r="D13" s="266"/>
    </row>
    <row r="14" spans="1:14" s="5" customFormat="1" ht="15" customHeight="1" thickBot="1"/>
    <row r="15" spans="1:14" s="5" customFormat="1" ht="17.25" thickBot="1">
      <c r="B15" s="11" t="s">
        <v>1</v>
      </c>
      <c r="C15" s="12" t="s">
        <v>216</v>
      </c>
      <c r="D15" s="12" t="s">
        <v>217</v>
      </c>
      <c r="E15" s="12" t="s">
        <v>218</v>
      </c>
      <c r="F15" s="12" t="s">
        <v>219</v>
      </c>
      <c r="G15" s="12" t="s">
        <v>267</v>
      </c>
      <c r="H15" s="12" t="s">
        <v>268</v>
      </c>
      <c r="I15" s="12" t="s">
        <v>269</v>
      </c>
      <c r="J15" s="12" t="s">
        <v>270</v>
      </c>
      <c r="K15" s="12" t="s">
        <v>271</v>
      </c>
      <c r="L15" s="12" t="s">
        <v>272</v>
      </c>
      <c r="M15" s="13" t="s">
        <v>43</v>
      </c>
    </row>
    <row r="16" spans="1:14" s="5" customFormat="1">
      <c r="B16" s="14" t="s">
        <v>127</v>
      </c>
      <c r="C16" s="15">
        <v>20</v>
      </c>
      <c r="D16" s="15">
        <v>20</v>
      </c>
      <c r="E16" s="15">
        <v>60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6">
        <f>SUM(C16:L16)</f>
        <v>100</v>
      </c>
    </row>
    <row r="17" spans="2:13" s="5" customFormat="1">
      <c r="B17" s="17" t="s">
        <v>128</v>
      </c>
      <c r="C17" s="18">
        <f>진행현황_01.범위명!J17</f>
        <v>100</v>
      </c>
      <c r="D17" s="18">
        <f>진행현황_02.범위명!J17</f>
        <v>99.999999999999986</v>
      </c>
      <c r="E17" s="18">
        <f>진행현황_03.범위명!$J$17</f>
        <v>99.999999999999986</v>
      </c>
      <c r="F17" s="18">
        <f>진행현황_04.범위명!J17</f>
        <v>99.999999999999986</v>
      </c>
      <c r="G17" s="18">
        <f>진행현황_05.범위명!J17</f>
        <v>99.999999999999986</v>
      </c>
      <c r="H17" s="18">
        <f>진행현황_06.범위명!J17</f>
        <v>99.999999999999986</v>
      </c>
      <c r="I17" s="18">
        <f>진행현황_07.범위명!J17</f>
        <v>99.999999999999986</v>
      </c>
      <c r="J17" s="18">
        <f>진행현황_08.범위명!J17</f>
        <v>99.999999999999986</v>
      </c>
      <c r="K17" s="18">
        <f>진행현황_09.범위명!J17</f>
        <v>99.999999999999986</v>
      </c>
      <c r="L17" s="18">
        <f>진행현황_10.범위명!J17</f>
        <v>99.999999999999986</v>
      </c>
      <c r="M17" s="19"/>
    </row>
    <row r="18" spans="2:13" s="5" customFormat="1">
      <c r="B18" s="17" t="s">
        <v>129</v>
      </c>
      <c r="C18" s="18">
        <f>진행현황_01.범위명!J18</f>
        <v>1.875</v>
      </c>
      <c r="D18" s="18">
        <f>진행현황_02.범위명!J18</f>
        <v>0</v>
      </c>
      <c r="E18" s="18">
        <f>진행현황_03.범위명!$J$18</f>
        <v>0</v>
      </c>
      <c r="F18" s="18">
        <f>진행현황_04.범위명!J18</f>
        <v>0</v>
      </c>
      <c r="G18" s="18">
        <f>진행현황_05.범위명!J18</f>
        <v>0</v>
      </c>
      <c r="H18" s="18">
        <f>진행현황_06.범위명!J18</f>
        <v>0</v>
      </c>
      <c r="I18" s="18">
        <f>진행현황_07.범위명!J18</f>
        <v>0</v>
      </c>
      <c r="J18" s="18">
        <f>진행현황_08.범위명!J18</f>
        <v>0</v>
      </c>
      <c r="K18" s="18">
        <f>진행현황_09.범위명!J18</f>
        <v>0</v>
      </c>
      <c r="L18" s="18">
        <f>진행현황_10.범위명!J18</f>
        <v>0</v>
      </c>
      <c r="M18" s="19"/>
    </row>
    <row r="19" spans="2:13" s="5" customFormat="1">
      <c r="B19" s="17" t="s">
        <v>46</v>
      </c>
      <c r="C19" s="20">
        <f>진행현황_01.범위명!J19</f>
        <v>-98.125</v>
      </c>
      <c r="D19" s="21">
        <f>진행현황_02.범위명!J19</f>
        <v>-99.999999999999986</v>
      </c>
      <c r="E19" s="21">
        <f>진행현황_03.범위명!$J$19</f>
        <v>-99.999999999999986</v>
      </c>
      <c r="F19" s="20">
        <f>진행현황_04.범위명!J19</f>
        <v>-99.999999999999986</v>
      </c>
      <c r="G19" s="21">
        <f>진행현황_05.범위명!J19</f>
        <v>-99.999999999999986</v>
      </c>
      <c r="H19" s="21">
        <f>진행현황_06.범위명!J19</f>
        <v>-99.999999999999986</v>
      </c>
      <c r="I19" s="20">
        <f>진행현황_07.범위명!J19</f>
        <v>-99.999999999999986</v>
      </c>
      <c r="J19" s="21">
        <f>진행현황_08.범위명!J19</f>
        <v>-99.999999999999986</v>
      </c>
      <c r="K19" s="20">
        <f>진행현황_09.범위명!J19</f>
        <v>-99.999999999999986</v>
      </c>
      <c r="L19" s="20">
        <f>진행현황_10.범위명!J19</f>
        <v>-99.999999999999986</v>
      </c>
      <c r="M19" s="22"/>
    </row>
    <row r="20" spans="2:13" s="5" customFormat="1">
      <c r="B20" s="23" t="s">
        <v>44</v>
      </c>
      <c r="C20" s="24">
        <f>진행현황_01.범위명!J20</f>
        <v>1</v>
      </c>
      <c r="D20" s="24">
        <f>진행현황_02.범위명!J20</f>
        <v>0.99999999999999989</v>
      </c>
      <c r="E20" s="24">
        <f>진행현황_03.범위명!$J$20</f>
        <v>0.99999999999999989</v>
      </c>
      <c r="F20" s="24">
        <f>진행현황_04.범위명!J20</f>
        <v>0.99999999999999989</v>
      </c>
      <c r="G20" s="24">
        <f>진행현황_05.범위명!J20</f>
        <v>0.99999999999999989</v>
      </c>
      <c r="H20" s="24">
        <f>진행현황_06.범위명!J20</f>
        <v>0.99999999999999989</v>
      </c>
      <c r="I20" s="24">
        <f>진행현황_07.범위명!J20</f>
        <v>0.99999999999999989</v>
      </c>
      <c r="J20" s="24">
        <f>진행현황_08.범위명!J20</f>
        <v>0.99999999999999989</v>
      </c>
      <c r="K20" s="24">
        <f>진행현황_09.범위명!J20</f>
        <v>0.99999999999999989</v>
      </c>
      <c r="L20" s="24">
        <f>진행현황_10.범위명!J20</f>
        <v>0.99999999999999989</v>
      </c>
      <c r="M20" s="25"/>
    </row>
    <row r="21" spans="2:13" s="5" customFormat="1">
      <c r="B21" s="26" t="s">
        <v>45</v>
      </c>
      <c r="C21" s="24">
        <f>진행현황_01.범위명!J21</f>
        <v>1.8749999999999999E-2</v>
      </c>
      <c r="D21" s="24">
        <f>진행현황_02.범위명!J21</f>
        <v>0</v>
      </c>
      <c r="E21" s="24">
        <f>진행현황_03.범위명!$J$21</f>
        <v>0</v>
      </c>
      <c r="F21" s="24">
        <f>진행현황_04.범위명!J21</f>
        <v>0</v>
      </c>
      <c r="G21" s="24">
        <f>진행현황_05.범위명!J21</f>
        <v>0</v>
      </c>
      <c r="H21" s="24">
        <f>진행현황_06.범위명!J21</f>
        <v>0</v>
      </c>
      <c r="I21" s="24">
        <f>진행현황_07.범위명!J21</f>
        <v>0</v>
      </c>
      <c r="J21" s="24">
        <f>진행현황_08.범위명!J21</f>
        <v>0</v>
      </c>
      <c r="K21" s="24">
        <f>진행현황_09.범위명!J21</f>
        <v>0</v>
      </c>
      <c r="L21" s="24">
        <f>진행현황_10.범위명!J21</f>
        <v>0</v>
      </c>
      <c r="M21" s="25"/>
    </row>
    <row r="22" spans="2:13" s="5" customFormat="1" ht="17.25" thickBot="1">
      <c r="B22" s="26" t="s">
        <v>47</v>
      </c>
      <c r="C22" s="27">
        <f>IF(C17=0, 0, C18/C17)</f>
        <v>1.8749999999999999E-2</v>
      </c>
      <c r="D22" s="27">
        <f>IF(D17=0, 0, D18/D17)</f>
        <v>0</v>
      </c>
      <c r="E22" s="27">
        <f>IF(E17=0, 0, E18/E17)</f>
        <v>0</v>
      </c>
      <c r="F22" s="27">
        <f t="shared" ref="F22:L22" si="0">IF(F17=0, 0, F18/F17)</f>
        <v>0</v>
      </c>
      <c r="G22" s="27">
        <f>IF(G17=0, 0, G18/G17)</f>
        <v>0</v>
      </c>
      <c r="H22" s="27">
        <f>IF(H17=0, 0, H18/H17)</f>
        <v>0</v>
      </c>
      <c r="I22" s="27">
        <f t="shared" ref="I22:K22" si="1">IF(I17=0, 0, I18/I17)</f>
        <v>0</v>
      </c>
      <c r="J22" s="27">
        <f>IF(J17=0, 0, J18/J17)</f>
        <v>0</v>
      </c>
      <c r="K22" s="27">
        <f t="shared" si="1"/>
        <v>0</v>
      </c>
      <c r="L22" s="27">
        <f t="shared" si="0"/>
        <v>0</v>
      </c>
      <c r="M22" s="28"/>
    </row>
    <row r="23" spans="2:13" s="5" customFormat="1">
      <c r="B23" s="14" t="s">
        <v>106</v>
      </c>
      <c r="C23" s="29">
        <f>진행현황_01.범위명!J23</f>
        <v>80</v>
      </c>
      <c r="D23" s="29">
        <f>진행현황_02.범위명!J23</f>
        <v>80</v>
      </c>
      <c r="E23" s="29">
        <f>진행현황_03.범위명!$J$23</f>
        <v>80</v>
      </c>
      <c r="F23" s="29">
        <f>진행현황_04.범위명!J23</f>
        <v>80</v>
      </c>
      <c r="G23" s="29">
        <f>진행현황_05.범위명!J23</f>
        <v>80</v>
      </c>
      <c r="H23" s="29">
        <f>진행현황_06.범위명!J23</f>
        <v>80</v>
      </c>
      <c r="I23" s="29">
        <f>진행현황_07.범위명!J23</f>
        <v>80</v>
      </c>
      <c r="J23" s="29">
        <f>진행현황_08.범위명!J23</f>
        <v>80</v>
      </c>
      <c r="K23" s="29">
        <f>진행현황_09.범위명!J23</f>
        <v>80</v>
      </c>
      <c r="L23" s="29">
        <f>진행현황_10.범위명!J23</f>
        <v>80</v>
      </c>
      <c r="M23" s="30">
        <f t="shared" ref="M23:M28" si="2">SUM(C23:L23)</f>
        <v>800</v>
      </c>
    </row>
    <row r="24" spans="2:13" s="5" customFormat="1">
      <c r="B24" s="23" t="s">
        <v>103</v>
      </c>
      <c r="C24" s="31">
        <f>진행현황_01.범위명!J24</f>
        <v>0</v>
      </c>
      <c r="D24" s="31">
        <f>진행현황_02.범위명!J24</f>
        <v>0</v>
      </c>
      <c r="E24" s="31">
        <f>진행현황_03.범위명!$J$24</f>
        <v>0</v>
      </c>
      <c r="F24" s="31">
        <f>진행현황_04.범위명!J24</f>
        <v>0</v>
      </c>
      <c r="G24" s="31">
        <f>진행현황_05.범위명!J24</f>
        <v>0</v>
      </c>
      <c r="H24" s="31">
        <f>진행현황_06.범위명!J24</f>
        <v>0</v>
      </c>
      <c r="I24" s="31">
        <f>진행현황_07.범위명!J24</f>
        <v>0</v>
      </c>
      <c r="J24" s="31">
        <f>진행현황_08.범위명!J24</f>
        <v>0</v>
      </c>
      <c r="K24" s="31">
        <f>진행현황_09.범위명!J24</f>
        <v>0</v>
      </c>
      <c r="L24" s="31">
        <f>진행현황_10.범위명!J24</f>
        <v>0</v>
      </c>
      <c r="M24" s="32">
        <f t="shared" si="2"/>
        <v>0</v>
      </c>
    </row>
    <row r="25" spans="2:13" s="5" customFormat="1">
      <c r="B25" s="23" t="s">
        <v>104</v>
      </c>
      <c r="C25" s="31">
        <f>진행현황_01.범위명!J25</f>
        <v>2</v>
      </c>
      <c r="D25" s="31">
        <f>진행현황_02.범위명!J25</f>
        <v>0</v>
      </c>
      <c r="E25" s="31">
        <f>진행현황_03.범위명!$J$25</f>
        <v>0</v>
      </c>
      <c r="F25" s="31">
        <f>진행현황_04.범위명!J25</f>
        <v>0</v>
      </c>
      <c r="G25" s="31">
        <f>진행현황_05.범위명!J25</f>
        <v>0</v>
      </c>
      <c r="H25" s="31">
        <f>진행현황_06.범위명!J25</f>
        <v>0</v>
      </c>
      <c r="I25" s="31">
        <f>진행현황_07.범위명!J25</f>
        <v>0</v>
      </c>
      <c r="J25" s="31">
        <f>진행현황_08.범위명!J25</f>
        <v>0</v>
      </c>
      <c r="K25" s="31">
        <f>진행현황_09.범위명!J25</f>
        <v>0</v>
      </c>
      <c r="L25" s="31">
        <f>진행현황_10.범위명!J25</f>
        <v>0</v>
      </c>
      <c r="M25" s="32">
        <f t="shared" si="2"/>
        <v>2</v>
      </c>
    </row>
    <row r="26" spans="2:13" s="5" customFormat="1" ht="17.25" thickBot="1">
      <c r="B26" s="33" t="s">
        <v>105</v>
      </c>
      <c r="C26" s="34">
        <f t="shared" ref="C26:L26" si="3">C23-C24-C25</f>
        <v>78</v>
      </c>
      <c r="D26" s="34">
        <f t="shared" si="3"/>
        <v>80</v>
      </c>
      <c r="E26" s="34">
        <f t="shared" si="3"/>
        <v>80</v>
      </c>
      <c r="F26" s="34">
        <f t="shared" si="3"/>
        <v>80</v>
      </c>
      <c r="G26" s="34">
        <f t="shared" si="3"/>
        <v>80</v>
      </c>
      <c r="H26" s="34">
        <f t="shared" si="3"/>
        <v>80</v>
      </c>
      <c r="I26" s="34">
        <f t="shared" si="3"/>
        <v>80</v>
      </c>
      <c r="J26" s="34">
        <f t="shared" si="3"/>
        <v>80</v>
      </c>
      <c r="K26" s="34">
        <f t="shared" si="3"/>
        <v>80</v>
      </c>
      <c r="L26" s="34">
        <f t="shared" si="3"/>
        <v>80</v>
      </c>
      <c r="M26" s="35">
        <f t="shared" si="2"/>
        <v>798</v>
      </c>
    </row>
    <row r="27" spans="2:13" s="5" customFormat="1">
      <c r="B27" s="17" t="s">
        <v>107</v>
      </c>
      <c r="C27" s="29">
        <f>진행현황_01.범위명!J27</f>
        <v>0</v>
      </c>
      <c r="D27" s="29">
        <f>진행현황_02.범위명!J27</f>
        <v>0</v>
      </c>
      <c r="E27" s="29">
        <f>진행현황_03.범위명!$J$27</f>
        <v>0</v>
      </c>
      <c r="F27" s="29">
        <f>진행현황_04.범위명!J27</f>
        <v>0</v>
      </c>
      <c r="G27" s="29">
        <f>진행현황_05.범위명!J27</f>
        <v>0</v>
      </c>
      <c r="H27" s="29">
        <f>진행현황_06.범위명!J27</f>
        <v>0</v>
      </c>
      <c r="I27" s="29">
        <f>진행현황_07.범위명!J27</f>
        <v>0</v>
      </c>
      <c r="J27" s="29">
        <f>진행현황_08.범위명!J27</f>
        <v>0</v>
      </c>
      <c r="K27" s="29">
        <f>진행현황_09.범위명!J27</f>
        <v>0</v>
      </c>
      <c r="L27" s="29">
        <f>진행현황_10.범위명!J27</f>
        <v>0</v>
      </c>
      <c r="M27" s="30">
        <f t="shared" si="2"/>
        <v>0</v>
      </c>
    </row>
    <row r="28" spans="2:13" s="5" customFormat="1">
      <c r="B28" s="23" t="s">
        <v>108</v>
      </c>
      <c r="C28" s="31">
        <f>진행현황_01.범위명!J28</f>
        <v>0</v>
      </c>
      <c r="D28" s="31">
        <f>진행현황_02.범위명!J28</f>
        <v>0</v>
      </c>
      <c r="E28" s="31">
        <f>진행현황_03.범위명!$J$28</f>
        <v>0</v>
      </c>
      <c r="F28" s="31">
        <f>진행현황_04.범위명!J28</f>
        <v>0</v>
      </c>
      <c r="G28" s="31">
        <f>진행현황_05.범위명!J28</f>
        <v>0</v>
      </c>
      <c r="H28" s="31">
        <f>진행현황_06.범위명!J28</f>
        <v>0</v>
      </c>
      <c r="I28" s="31">
        <f>진행현황_07.범위명!J28</f>
        <v>0</v>
      </c>
      <c r="J28" s="31">
        <f>진행현황_08.범위명!J28</f>
        <v>0</v>
      </c>
      <c r="K28" s="31">
        <f>진행현황_09.범위명!J28</f>
        <v>0</v>
      </c>
      <c r="L28" s="31">
        <f>진행현황_10.범위명!J28</f>
        <v>0</v>
      </c>
      <c r="M28" s="32">
        <f t="shared" si="2"/>
        <v>0</v>
      </c>
    </row>
    <row r="29" spans="2:13" s="5" customFormat="1" ht="17.25" thickBot="1">
      <c r="B29" s="33" t="s">
        <v>42</v>
      </c>
      <c r="C29" s="36">
        <f>진행현황_01.범위명!J29</f>
        <v>0</v>
      </c>
      <c r="D29" s="36">
        <f>진행현황_02.범위명!J29</f>
        <v>0</v>
      </c>
      <c r="E29" s="36">
        <f>진행현황_03.범위명!J29</f>
        <v>0</v>
      </c>
      <c r="F29" s="36">
        <f>진행현황_04.범위명!J29</f>
        <v>0</v>
      </c>
      <c r="G29" s="36">
        <f>진행현황_05.범위명!J29</f>
        <v>0</v>
      </c>
      <c r="H29" s="36">
        <f>진행현황_06.범위명!J29</f>
        <v>0</v>
      </c>
      <c r="I29" s="36">
        <f>진행현황_07.범위명!J29</f>
        <v>0</v>
      </c>
      <c r="J29" s="36">
        <f>진행현황_08.범위명!J29</f>
        <v>0</v>
      </c>
      <c r="K29" s="36">
        <f>진행현황_09.범위명!J29</f>
        <v>0</v>
      </c>
      <c r="L29" s="36">
        <f>진행현황_10.범위명!J29</f>
        <v>0</v>
      </c>
      <c r="M29" s="37">
        <f>IF(M27=0, 0, M28/M27)</f>
        <v>0</v>
      </c>
    </row>
    <row r="30" spans="2:13" s="5" customFormat="1">
      <c r="B30" s="38" t="s">
        <v>146</v>
      </c>
      <c r="C30" s="39">
        <f t="shared" ref="C30:L30" si="4">C17*C16/100</f>
        <v>20</v>
      </c>
      <c r="D30" s="39">
        <f t="shared" si="4"/>
        <v>19.999999999999996</v>
      </c>
      <c r="E30" s="39">
        <f t="shared" si="4"/>
        <v>59.999999999999993</v>
      </c>
      <c r="F30" s="39">
        <f t="shared" si="4"/>
        <v>0</v>
      </c>
      <c r="G30" s="39">
        <f t="shared" ref="G30:I30" si="5">G17*G16/100</f>
        <v>0</v>
      </c>
      <c r="H30" s="39">
        <f t="shared" si="5"/>
        <v>0</v>
      </c>
      <c r="I30" s="39">
        <f t="shared" si="5"/>
        <v>0</v>
      </c>
      <c r="J30" s="39">
        <f t="shared" ref="J30:K30" si="6">J17*J16/100</f>
        <v>0</v>
      </c>
      <c r="K30" s="39">
        <f t="shared" si="6"/>
        <v>0</v>
      </c>
      <c r="L30" s="39">
        <f t="shared" si="4"/>
        <v>0</v>
      </c>
      <c r="M30" s="40">
        <f>SUM(C30:L30)</f>
        <v>100</v>
      </c>
    </row>
    <row r="31" spans="2:13" s="5" customFormat="1">
      <c r="B31" s="41" t="s">
        <v>147</v>
      </c>
      <c r="C31" s="42">
        <f t="shared" ref="C31:L31" si="7">C18*C16/100</f>
        <v>0.375</v>
      </c>
      <c r="D31" s="42">
        <f t="shared" si="7"/>
        <v>0</v>
      </c>
      <c r="E31" s="42">
        <f t="shared" si="7"/>
        <v>0</v>
      </c>
      <c r="F31" s="42">
        <f t="shared" si="7"/>
        <v>0</v>
      </c>
      <c r="G31" s="42">
        <f t="shared" ref="G31:I31" si="8">G18*G16/100</f>
        <v>0</v>
      </c>
      <c r="H31" s="42">
        <f t="shared" si="8"/>
        <v>0</v>
      </c>
      <c r="I31" s="42">
        <f t="shared" si="8"/>
        <v>0</v>
      </c>
      <c r="J31" s="42">
        <f t="shared" ref="J31:K31" si="9">J18*J16/100</f>
        <v>0</v>
      </c>
      <c r="K31" s="42">
        <f t="shared" si="9"/>
        <v>0</v>
      </c>
      <c r="L31" s="42">
        <f t="shared" si="7"/>
        <v>0</v>
      </c>
      <c r="M31" s="43">
        <f>SUM(C31:L31)</f>
        <v>0.375</v>
      </c>
    </row>
    <row r="32" spans="2:13" s="5" customFormat="1" ht="17.25" thickBot="1">
      <c r="B32" s="44" t="s">
        <v>148</v>
      </c>
      <c r="C32" s="45">
        <f t="shared" ref="C32:M32" si="10">C31-C30</f>
        <v>-19.625</v>
      </c>
      <c r="D32" s="45">
        <f t="shared" si="10"/>
        <v>-19.999999999999996</v>
      </c>
      <c r="E32" s="45">
        <f t="shared" si="10"/>
        <v>-59.999999999999993</v>
      </c>
      <c r="F32" s="45">
        <f t="shared" si="10"/>
        <v>0</v>
      </c>
      <c r="G32" s="45">
        <f t="shared" ref="G32:I32" si="11">G31-G30</f>
        <v>0</v>
      </c>
      <c r="H32" s="45">
        <f t="shared" si="11"/>
        <v>0</v>
      </c>
      <c r="I32" s="45">
        <f t="shared" si="11"/>
        <v>0</v>
      </c>
      <c r="J32" s="45">
        <f t="shared" ref="J32:K32" si="12">J31-J30</f>
        <v>0</v>
      </c>
      <c r="K32" s="45">
        <f t="shared" si="12"/>
        <v>0</v>
      </c>
      <c r="L32" s="45">
        <f t="shared" si="10"/>
        <v>0</v>
      </c>
      <c r="M32" s="46">
        <f t="shared" si="10"/>
        <v>-99.625</v>
      </c>
    </row>
    <row r="33" spans="2:2" s="5" customFormat="1"/>
    <row r="34" spans="2:2" s="5" customFormat="1"/>
    <row r="35" spans="2:2" s="5" customFormat="1">
      <c r="B35" s="47" t="s">
        <v>130</v>
      </c>
    </row>
    <row r="56" spans="2:4">
      <c r="B56" s="188" t="s">
        <v>252</v>
      </c>
      <c r="C56" s="8" t="s">
        <v>257</v>
      </c>
    </row>
    <row r="58" spans="2:4">
      <c r="C58" s="191" t="s">
        <v>253</v>
      </c>
      <c r="D58" s="191" t="s">
        <v>254</v>
      </c>
    </row>
    <row r="59" spans="2:4">
      <c r="C59" s="190">
        <v>45658</v>
      </c>
      <c r="D59" s="189" t="s">
        <v>255</v>
      </c>
    </row>
    <row r="60" spans="2:4">
      <c r="C60" s="190">
        <v>45685</v>
      </c>
      <c r="D60" s="189" t="s">
        <v>256</v>
      </c>
    </row>
    <row r="61" spans="2:4">
      <c r="C61" s="190">
        <v>45686</v>
      </c>
      <c r="D61" s="189" t="s">
        <v>256</v>
      </c>
    </row>
    <row r="62" spans="2:4">
      <c r="C62" s="190">
        <v>45687</v>
      </c>
      <c r="D62" s="189" t="s">
        <v>256</v>
      </c>
    </row>
    <row r="63" spans="2:4">
      <c r="C63" s="190">
        <v>45717</v>
      </c>
      <c r="D63" s="189" t="s">
        <v>292</v>
      </c>
    </row>
    <row r="64" spans="2:4">
      <c r="C64" s="190">
        <v>45719</v>
      </c>
      <c r="D64" s="189" t="s">
        <v>300</v>
      </c>
    </row>
    <row r="65" spans="3:4">
      <c r="C65" s="190">
        <v>45778</v>
      </c>
      <c r="D65" s="189" t="s">
        <v>293</v>
      </c>
    </row>
    <row r="66" spans="3:4">
      <c r="C66" s="190">
        <v>45782</v>
      </c>
      <c r="D66" s="189" t="s">
        <v>277</v>
      </c>
    </row>
    <row r="67" spans="3:4">
      <c r="C67" s="190">
        <v>45783</v>
      </c>
      <c r="D67" s="189" t="s">
        <v>276</v>
      </c>
    </row>
    <row r="68" spans="3:4">
      <c r="C68" s="190">
        <v>45814</v>
      </c>
      <c r="D68" s="189" t="s">
        <v>294</v>
      </c>
    </row>
    <row r="69" spans="3:4">
      <c r="C69" s="190">
        <v>45884</v>
      </c>
      <c r="D69" s="189" t="s">
        <v>295</v>
      </c>
    </row>
    <row r="70" spans="3:4">
      <c r="C70" s="190">
        <v>45933</v>
      </c>
      <c r="D70" s="189" t="s">
        <v>296</v>
      </c>
    </row>
    <row r="71" spans="3:4">
      <c r="C71" s="190">
        <v>45935</v>
      </c>
      <c r="D71" s="189" t="s">
        <v>258</v>
      </c>
    </row>
    <row r="72" spans="3:4">
      <c r="C72" s="190">
        <v>45936</v>
      </c>
      <c r="D72" s="189" t="s">
        <v>258</v>
      </c>
    </row>
    <row r="73" spans="3:4">
      <c r="C73" s="190">
        <v>45937</v>
      </c>
      <c r="D73" s="189" t="s">
        <v>258</v>
      </c>
    </row>
    <row r="74" spans="3:4">
      <c r="C74" s="190">
        <v>45938</v>
      </c>
      <c r="D74" s="189" t="s">
        <v>258</v>
      </c>
    </row>
    <row r="75" spans="3:4">
      <c r="C75" s="190">
        <v>45939</v>
      </c>
      <c r="D75" s="189" t="s">
        <v>275</v>
      </c>
    </row>
    <row r="76" spans="3:4">
      <c r="C76" s="190">
        <v>46015</v>
      </c>
      <c r="D76" s="189" t="s">
        <v>297</v>
      </c>
    </row>
    <row r="77" spans="3:4">
      <c r="C77" s="190">
        <v>46016</v>
      </c>
      <c r="D77" s="189" t="s">
        <v>297</v>
      </c>
    </row>
  </sheetData>
  <dataConsolidate function="average"/>
  <mergeCells count="7">
    <mergeCell ref="A4:N4"/>
    <mergeCell ref="C10:D10"/>
    <mergeCell ref="B13:D13"/>
    <mergeCell ref="C11:D11"/>
    <mergeCell ref="C6:D6"/>
    <mergeCell ref="C7:D7"/>
    <mergeCell ref="C9:D9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3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2"/>
  <sheetViews>
    <sheetView view="pageBreakPreview" topLeftCell="A7" zoomScaleNormal="100" zoomScaleSheetLayoutView="100" workbookViewId="0">
      <selection activeCell="F32" sqref="F32"/>
    </sheetView>
  </sheetViews>
  <sheetFormatPr defaultColWidth="8.88671875" defaultRowHeight="16.5"/>
  <cols>
    <col min="1" max="1" width="20.5546875" style="8" customWidth="1"/>
    <col min="2" max="10" width="14.664062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278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100</v>
      </c>
      <c r="C9" s="273"/>
    </row>
    <row r="10" spans="1:10" s="5" customFormat="1" ht="18" customHeight="1">
      <c r="A10" s="10" t="s">
        <v>49</v>
      </c>
      <c r="B10" s="264">
        <f>SUM(B18:I18)</f>
        <v>1.875</v>
      </c>
      <c r="C10" s="265"/>
    </row>
    <row r="11" spans="1:10" s="5" customFormat="1" ht="18" customHeight="1" thickBot="1">
      <c r="A11" s="10" t="s">
        <v>50</v>
      </c>
      <c r="B11" s="267">
        <f>IF(B9=0, 0, B10/B9)</f>
        <v>1.8749999999999999E-2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입력_01.범위명'!L10</f>
        <v>15</v>
      </c>
      <c r="C17" s="53">
        <f>'진행율 입력_01.범위명'!L21</f>
        <v>14.999999999999998</v>
      </c>
      <c r="D17" s="53">
        <f>'진행율 입력_01.범위명'!L32</f>
        <v>14.999999999999998</v>
      </c>
      <c r="E17" s="53">
        <f>'진행율 입력_01.범위명'!L43</f>
        <v>14.999999999999998</v>
      </c>
      <c r="F17" s="54">
        <f>'진행율 입력_01.범위명'!L54</f>
        <v>14.999999999999998</v>
      </c>
      <c r="G17" s="54">
        <f>'진행율 입력_01.범위명'!L65</f>
        <v>4.9999999999999991</v>
      </c>
      <c r="H17" s="54">
        <f>'진행율 입력_01.범위명'!L76</f>
        <v>4.9999999999999991</v>
      </c>
      <c r="I17" s="54">
        <f>'진행율 입력_01.범위명'!L87</f>
        <v>14.999999999999998</v>
      </c>
      <c r="J17" s="55">
        <f>SUM(B17:I17)</f>
        <v>100</v>
      </c>
    </row>
    <row r="18" spans="1:10" s="5" customFormat="1" ht="18" customHeight="1">
      <c r="A18" s="17" t="s">
        <v>102</v>
      </c>
      <c r="B18" s="53">
        <f>'진행율 입력_01.범위명'!M10</f>
        <v>1.875</v>
      </c>
      <c r="C18" s="53">
        <f>'진행율 입력_01.범위명'!M21</f>
        <v>0</v>
      </c>
      <c r="D18" s="53">
        <f>'진행율 입력_01.범위명'!M32</f>
        <v>0</v>
      </c>
      <c r="E18" s="53">
        <f>'진행율 입력_01.범위명'!M43</f>
        <v>0</v>
      </c>
      <c r="F18" s="54">
        <f>'진행율 입력_01.범위명'!M54</f>
        <v>0</v>
      </c>
      <c r="G18" s="54">
        <f>'진행율 입력_01.범위명'!M65</f>
        <v>0</v>
      </c>
      <c r="H18" s="54">
        <f>'진행율 입력_01.범위명'!M76</f>
        <v>0</v>
      </c>
      <c r="I18" s="54">
        <f>'진행율 입력_01.범위명'!M87</f>
        <v>0</v>
      </c>
      <c r="J18" s="55">
        <f>SUM(B18:I18)</f>
        <v>1.875</v>
      </c>
    </row>
    <row r="19" spans="1:10" s="5" customFormat="1" ht="18" customHeight="1">
      <c r="A19" s="17" t="s">
        <v>46</v>
      </c>
      <c r="B19" s="56">
        <f>B18-B17</f>
        <v>-13.125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-98.125</v>
      </c>
    </row>
    <row r="20" spans="1:10" s="5" customFormat="1" ht="18" customHeight="1">
      <c r="A20" s="23" t="s">
        <v>44</v>
      </c>
      <c r="B20" s="59">
        <f>'진행율 입력_01.범위명'!J10</f>
        <v>1</v>
      </c>
      <c r="C20" s="59">
        <f>'진행율 입력_01.범위명'!J21</f>
        <v>0.99999999999999989</v>
      </c>
      <c r="D20" s="59">
        <f>'진행율 입력_01.범위명'!J32</f>
        <v>0.99999999999999989</v>
      </c>
      <c r="E20" s="59">
        <f>'진행율 입력_01.범위명'!J43</f>
        <v>0.99999999999999989</v>
      </c>
      <c r="F20" s="60">
        <f>'진행율 입력_01.범위명'!J54</f>
        <v>0.99999999999999989</v>
      </c>
      <c r="G20" s="60">
        <f>'진행율 입력_01.범위명'!J65</f>
        <v>0.99999999999999989</v>
      </c>
      <c r="H20" s="60">
        <f>'진행율 입력_01.범위명'!J76</f>
        <v>0.99999999999999989</v>
      </c>
      <c r="I20" s="60">
        <f>'진행율 입력_01.범위명'!J87</f>
        <v>0.99999999999999989</v>
      </c>
      <c r="J20" s="61">
        <f>IF(J16=0, 0, J17/J16)</f>
        <v>1</v>
      </c>
    </row>
    <row r="21" spans="1:10" s="5" customFormat="1" ht="18" customHeight="1">
      <c r="A21" s="26" t="s">
        <v>45</v>
      </c>
      <c r="B21" s="59">
        <f>'진행율 입력_01.범위명'!K10</f>
        <v>0.125</v>
      </c>
      <c r="C21" s="59">
        <f>'진행율 입력_01.범위명'!K21</f>
        <v>0</v>
      </c>
      <c r="D21" s="59">
        <f>'진행율 입력_01.범위명'!K32</f>
        <v>0</v>
      </c>
      <c r="E21" s="59">
        <f>'진행율 입력_01.범위명'!K43</f>
        <v>0</v>
      </c>
      <c r="F21" s="60">
        <f>'진행율 입력_01.범위명'!K54</f>
        <v>0</v>
      </c>
      <c r="G21" s="60">
        <f>'진행율 입력_01.범위명'!K65</f>
        <v>0</v>
      </c>
      <c r="H21" s="60">
        <f>'진행율 입력_01.범위명'!K76</f>
        <v>0</v>
      </c>
      <c r="I21" s="60">
        <f>'진행율 입력_01.범위명'!K87</f>
        <v>0</v>
      </c>
      <c r="J21" s="61">
        <f>IF(J16=0, 0, J18/J16)</f>
        <v>1.8749999999999999E-2</v>
      </c>
    </row>
    <row r="22" spans="1:10" s="5" customFormat="1" ht="18" customHeight="1" thickBot="1">
      <c r="A22" s="26" t="s">
        <v>47</v>
      </c>
      <c r="B22" s="27">
        <f>IF(B17=0, 0, B18/B17)</f>
        <v>0.125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1.8749999999999999E-2</v>
      </c>
    </row>
    <row r="23" spans="1:10" s="5" customFormat="1" ht="18" customHeight="1">
      <c r="A23" s="14" t="s">
        <v>106</v>
      </c>
      <c r="B23" s="64">
        <f>COUNTIF('진행율 입력_01.범위명'!J11:J20,"&gt;0")</f>
        <v>10</v>
      </c>
      <c r="C23" s="64">
        <f>COUNTIF('진행율 입력_01.범위명'!J22:J31,"&gt;0")</f>
        <v>10</v>
      </c>
      <c r="D23" s="64">
        <f>COUNTIF('진행율 입력_01.범위명'!J33:J42,"&gt;0")</f>
        <v>10</v>
      </c>
      <c r="E23" s="64">
        <f>COUNTIF('진행율 입력_01.범위명'!J44:J53,"&gt;0")</f>
        <v>10</v>
      </c>
      <c r="F23" s="65">
        <f>COUNTIF('진행율 입력_01.범위명'!J55:J64,"&gt;0")</f>
        <v>10</v>
      </c>
      <c r="G23" s="65">
        <f>COUNTIF('진행율 입력_01.범위명'!J66:J75,"&gt;0")</f>
        <v>10</v>
      </c>
      <c r="H23" s="65">
        <f>COUNTIF('진행율 입력_01.범위명'!J77:J86,"&gt;0")</f>
        <v>10</v>
      </c>
      <c r="I23" s="65">
        <f>COUNTIF('진행율 입력_01.범위명'!J88:J97,"&gt;0")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입력_01.범위명'!O11:O20,"진행")</f>
        <v>0</v>
      </c>
      <c r="C24" s="66">
        <f>COUNTIF('진행율 입력_01.범위명'!O22:O31,"진행")</f>
        <v>0</v>
      </c>
      <c r="D24" s="66">
        <f>COUNTIF('진행율 입력_01.범위명'!O33:O42,"진행")</f>
        <v>0</v>
      </c>
      <c r="E24" s="66">
        <f>COUNTIF('진행율 입력_01.범위명'!O44:O53,"진행")</f>
        <v>0</v>
      </c>
      <c r="F24" s="67">
        <f>COUNTIF('진행율 입력_01.범위명'!O55:O64,"진행")</f>
        <v>0</v>
      </c>
      <c r="G24" s="67">
        <f>COUNTIF('진행율 입력_01.범위명'!O66:O75,"진행")</f>
        <v>0</v>
      </c>
      <c r="H24" s="67">
        <f>COUNTIF('진행율 입력_01.범위명'!O77:O86,"진행")</f>
        <v>0</v>
      </c>
      <c r="I24" s="67">
        <f>COUNTIF('진행율 입력_01.범위명'!O88:O97,"진행")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입력_01.범위명'!O11:O20,"종료")</f>
        <v>2</v>
      </c>
      <c r="C25" s="66">
        <f>COUNTIF('진행율 입력_01.범위명'!O22:O31,"종료")</f>
        <v>0</v>
      </c>
      <c r="D25" s="66">
        <f>COUNTIF('진행율 입력_01.범위명'!O33:O42,"종료")</f>
        <v>0</v>
      </c>
      <c r="E25" s="66">
        <f>COUNTIF('진행율 입력_01.범위명'!O44:O53,"종료")</f>
        <v>0</v>
      </c>
      <c r="F25" s="67">
        <f>COUNTIF('진행율 입력_01.범위명'!O55:O64,"종료")</f>
        <v>0</v>
      </c>
      <c r="G25" s="67">
        <f>COUNTIF('진행율 입력_01.범위명'!O66:O75,"종료")</f>
        <v>0</v>
      </c>
      <c r="H25" s="67">
        <f>COUNTIF('진행율 입력_01.범위명'!O77:O86,"종료")</f>
        <v>0</v>
      </c>
      <c r="I25" s="67">
        <f>COUNTIF('진행율 입력_01.범위명'!O88:O97,"종료")</f>
        <v>0</v>
      </c>
      <c r="J25" s="32">
        <f t="shared" si="2"/>
        <v>2</v>
      </c>
    </row>
    <row r="26" spans="1:10" s="5" customFormat="1" ht="18" customHeight="1" thickBot="1">
      <c r="A26" s="33" t="s">
        <v>105</v>
      </c>
      <c r="B26" s="68">
        <f>COUNTIF('진행율 입력_01.범위명'!O11:O20,"지연")</f>
        <v>8</v>
      </c>
      <c r="C26" s="68">
        <f>COUNTIF('진행율 입력_01.범위명'!O22:O31,"지연")</f>
        <v>10</v>
      </c>
      <c r="D26" s="68">
        <f>COUNTIF('진행율 입력_01.범위명'!O33:O42,"지연")</f>
        <v>10</v>
      </c>
      <c r="E26" s="68">
        <f>COUNTIF('진행율 입력_01.범위명'!O44:O53,"지연")</f>
        <v>10</v>
      </c>
      <c r="F26" s="69">
        <f>COUNTIF('진행율 입력_01.범위명'!O55:O64,"지연")</f>
        <v>10</v>
      </c>
      <c r="G26" s="69">
        <f>COUNTIF('진행율 입력_01.범위명'!O66:O75,"지연")</f>
        <v>10</v>
      </c>
      <c r="H26" s="69">
        <f>COUNTIF('진행율 입력_01.범위명'!O77:O86,"지연")</f>
        <v>10</v>
      </c>
      <c r="I26" s="69">
        <f>COUNTIF('진행율 입력_01.범위명'!O88:O97,"지연")</f>
        <v>10</v>
      </c>
      <c r="J26" s="70">
        <f t="shared" si="2"/>
        <v>78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>
      <c r="B30" s="251"/>
      <c r="C30" s="252"/>
      <c r="D30" s="252"/>
      <c r="E30" s="252"/>
      <c r="F30" s="252"/>
      <c r="G30" s="252"/>
      <c r="H30" s="252"/>
      <c r="I30" s="252"/>
    </row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I150"/>
  <sheetViews>
    <sheetView tabSelected="1" view="pageBreakPreview" zoomScaleNormal="100" zoomScaleSheetLayoutView="100" workbookViewId="0">
      <selection activeCell="G14" sqref="G14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hidden="1" customWidth="1"/>
    <col min="14" max="14" width="5.5546875" style="82" hidden="1" customWidth="1"/>
    <col min="15" max="15" width="6.33203125" style="84" customWidth="1"/>
    <col min="16" max="16" width="9.33203125" style="84" customWidth="1"/>
    <col min="17" max="18" width="9.109375" style="84" customWidth="1"/>
    <col min="19" max="19" width="9.5546875" style="84" bestFit="1" customWidth="1"/>
    <col min="20" max="21" width="9.109375" style="84" customWidth="1"/>
    <col min="22" max="23" width="5.33203125" style="88" customWidth="1"/>
    <col min="24" max="24" width="4.77734375" style="149" customWidth="1"/>
    <col min="25" max="26" width="8" style="90" customWidth="1"/>
    <col min="27" max="87" width="6.109375" style="90" customWidth="1"/>
    <col min="88" max="16384" width="8.88671875" style="90"/>
  </cols>
  <sheetData>
    <row r="1" spans="1:87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79"/>
      <c r="V1" s="79"/>
      <c r="W1" s="79"/>
      <c r="X1" s="80"/>
      <c r="Y1" s="81" t="str">
        <f>표지!B7</f>
        <v>일정관리 및 통제표 (2025년)</v>
      </c>
      <c r="Z1" s="81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81" t="str">
        <f>표지!B7</f>
        <v>일정관리 및 통제표 (2025년)</v>
      </c>
    </row>
    <row r="2" spans="1:87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4"/>
      <c r="V2" s="84"/>
      <c r="W2" s="84"/>
      <c r="X2" s="85"/>
    </row>
    <row r="3" spans="1:87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4"/>
      <c r="V3" s="84"/>
      <c r="W3" s="84"/>
      <c r="X3" s="85"/>
    </row>
    <row r="4" spans="1:87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J4" s="88"/>
      <c r="AK4" s="88"/>
      <c r="AL4" s="88"/>
      <c r="AM4" s="88"/>
      <c r="BA4" s="88"/>
      <c r="BB4" s="88"/>
      <c r="BC4" s="88"/>
      <c r="BD4" s="88"/>
      <c r="BE4" s="88"/>
      <c r="BF4" s="88"/>
      <c r="BG4" s="88"/>
      <c r="BH4" s="88"/>
      <c r="BJ4" s="88"/>
      <c r="BK4" s="88"/>
      <c r="BL4" s="88"/>
    </row>
    <row r="5" spans="1:87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311</v>
      </c>
      <c r="K5" s="289" t="s">
        <v>312</v>
      </c>
      <c r="L5" s="286" t="s">
        <v>305</v>
      </c>
      <c r="M5" s="286" t="s">
        <v>306</v>
      </c>
      <c r="N5" s="286" t="s">
        <v>307</v>
      </c>
      <c r="O5" s="286" t="s">
        <v>7</v>
      </c>
      <c r="P5" s="282" t="s">
        <v>303</v>
      </c>
      <c r="Q5" s="282" t="s">
        <v>304</v>
      </c>
      <c r="R5" s="282" t="s">
        <v>313</v>
      </c>
      <c r="S5" s="293" t="s">
        <v>3</v>
      </c>
      <c r="T5" s="293" t="s">
        <v>93</v>
      </c>
      <c r="U5" s="293" t="s">
        <v>314</v>
      </c>
      <c r="V5" s="296" t="s">
        <v>97</v>
      </c>
      <c r="W5" s="296" t="s">
        <v>310</v>
      </c>
      <c r="X5" s="299" t="s">
        <v>54</v>
      </c>
      <c r="Y5" s="296" t="s">
        <v>315</v>
      </c>
      <c r="Z5" s="296" t="s">
        <v>316</v>
      </c>
      <c r="AA5" s="274" t="s">
        <v>150</v>
      </c>
      <c r="AB5" s="275"/>
      <c r="AC5" s="275"/>
      <c r="AD5" s="275"/>
      <c r="AE5" s="276"/>
      <c r="AF5" s="274" t="s">
        <v>151</v>
      </c>
      <c r="AG5" s="275"/>
      <c r="AH5" s="275"/>
      <c r="AI5" s="276"/>
      <c r="AJ5" s="274" t="s">
        <v>152</v>
      </c>
      <c r="AK5" s="275"/>
      <c r="AL5" s="275"/>
      <c r="AM5" s="276"/>
      <c r="AN5" s="274" t="s">
        <v>153</v>
      </c>
      <c r="AO5" s="275"/>
      <c r="AP5" s="275"/>
      <c r="AQ5" s="275"/>
      <c r="AR5" s="276"/>
      <c r="AS5" s="274" t="s">
        <v>154</v>
      </c>
      <c r="AT5" s="275"/>
      <c r="AU5" s="275"/>
      <c r="AV5" s="276"/>
      <c r="AW5" s="274" t="s">
        <v>155</v>
      </c>
      <c r="AX5" s="275"/>
      <c r="AY5" s="275"/>
      <c r="AZ5" s="276"/>
      <c r="BA5" s="274" t="s">
        <v>131</v>
      </c>
      <c r="BB5" s="275"/>
      <c r="BC5" s="275"/>
      <c r="BD5" s="275"/>
      <c r="BE5" s="276"/>
      <c r="BF5" s="274" t="s">
        <v>132</v>
      </c>
      <c r="BG5" s="275"/>
      <c r="BH5" s="275"/>
      <c r="BI5" s="276"/>
      <c r="BJ5" s="274" t="s">
        <v>121</v>
      </c>
      <c r="BK5" s="275"/>
      <c r="BL5" s="275"/>
      <c r="BM5" s="276"/>
      <c r="BN5" s="274" t="s">
        <v>134</v>
      </c>
      <c r="BO5" s="275"/>
      <c r="BP5" s="275"/>
      <c r="BQ5" s="275"/>
      <c r="BR5" s="276"/>
      <c r="BS5" s="274" t="s">
        <v>156</v>
      </c>
      <c r="BT5" s="275"/>
      <c r="BU5" s="275"/>
      <c r="BV5" s="276"/>
      <c r="BW5" s="292" t="s">
        <v>100</v>
      </c>
      <c r="BX5" s="292"/>
      <c r="BY5" s="292"/>
      <c r="BZ5" s="292"/>
      <c r="CA5" s="292"/>
      <c r="CB5" s="275" t="s">
        <v>301</v>
      </c>
      <c r="CC5" s="275"/>
      <c r="CD5" s="275"/>
      <c r="CE5" s="276"/>
      <c r="CF5" s="274" t="s">
        <v>302</v>
      </c>
      <c r="CG5" s="275"/>
      <c r="CH5" s="275"/>
      <c r="CI5" s="276"/>
    </row>
    <row r="6" spans="1:87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83"/>
      <c r="S6" s="294"/>
      <c r="T6" s="294"/>
      <c r="U6" s="294"/>
      <c r="V6" s="297"/>
      <c r="W6" s="297"/>
      <c r="X6" s="300"/>
      <c r="Y6" s="297"/>
      <c r="Z6" s="297"/>
      <c r="AA6" s="91" t="s">
        <v>133</v>
      </c>
      <c r="AB6" s="91" t="s">
        <v>184</v>
      </c>
      <c r="AC6" s="91" t="s">
        <v>185</v>
      </c>
      <c r="AD6" s="91" t="s">
        <v>290</v>
      </c>
      <c r="AE6" s="91" t="s">
        <v>291</v>
      </c>
      <c r="AF6" s="91" t="s">
        <v>186</v>
      </c>
      <c r="AG6" s="91" t="s">
        <v>187</v>
      </c>
      <c r="AH6" s="91" t="s">
        <v>188</v>
      </c>
      <c r="AI6" s="91" t="s">
        <v>189</v>
      </c>
      <c r="AJ6" s="91" t="s">
        <v>190</v>
      </c>
      <c r="AK6" s="91" t="s">
        <v>191</v>
      </c>
      <c r="AL6" s="91" t="s">
        <v>192</v>
      </c>
      <c r="AM6" s="91" t="s">
        <v>193</v>
      </c>
      <c r="AN6" s="91" t="s">
        <v>194</v>
      </c>
      <c r="AO6" s="91" t="s">
        <v>195</v>
      </c>
      <c r="AP6" s="91" t="s">
        <v>196</v>
      </c>
      <c r="AQ6" s="91" t="s">
        <v>197</v>
      </c>
      <c r="AR6" s="91" t="s">
        <v>198</v>
      </c>
      <c r="AS6" s="91" t="s">
        <v>199</v>
      </c>
      <c r="AT6" s="91" t="s">
        <v>200</v>
      </c>
      <c r="AU6" s="91" t="s">
        <v>201</v>
      </c>
      <c r="AV6" s="91" t="s">
        <v>202</v>
      </c>
      <c r="AW6" s="91" t="s">
        <v>214</v>
      </c>
      <c r="AX6" s="91" t="s">
        <v>203</v>
      </c>
      <c r="AY6" s="91" t="s">
        <v>204</v>
      </c>
      <c r="AZ6" s="91" t="s">
        <v>157</v>
      </c>
      <c r="BA6" s="91" t="s">
        <v>158</v>
      </c>
      <c r="BB6" s="91" t="s">
        <v>159</v>
      </c>
      <c r="BC6" s="91" t="s">
        <v>160</v>
      </c>
      <c r="BD6" s="91" t="s">
        <v>161</v>
      </c>
      <c r="BE6" s="91" t="s">
        <v>162</v>
      </c>
      <c r="BF6" s="91" t="s">
        <v>163</v>
      </c>
      <c r="BG6" s="91" t="s">
        <v>164</v>
      </c>
      <c r="BH6" s="91" t="s">
        <v>165</v>
      </c>
      <c r="BI6" s="91" t="s">
        <v>166</v>
      </c>
      <c r="BJ6" s="91" t="s">
        <v>167</v>
      </c>
      <c r="BK6" s="91" t="s">
        <v>168</v>
      </c>
      <c r="BL6" s="91" t="s">
        <v>169</v>
      </c>
      <c r="BM6" s="91" t="s">
        <v>170</v>
      </c>
      <c r="BN6" s="91" t="s">
        <v>171</v>
      </c>
      <c r="BO6" s="91" t="s">
        <v>172</v>
      </c>
      <c r="BP6" s="91" t="s">
        <v>173</v>
      </c>
      <c r="BQ6" s="91" t="s">
        <v>174</v>
      </c>
      <c r="BR6" s="91" t="s">
        <v>175</v>
      </c>
      <c r="BS6" s="91" t="s">
        <v>176</v>
      </c>
      <c r="BT6" s="91" t="s">
        <v>177</v>
      </c>
      <c r="BU6" s="91" t="s">
        <v>215</v>
      </c>
      <c r="BV6" s="91" t="s">
        <v>178</v>
      </c>
      <c r="BW6" s="91" t="s">
        <v>179</v>
      </c>
      <c r="BX6" s="91" t="s">
        <v>180</v>
      </c>
      <c r="BY6" s="91" t="s">
        <v>181</v>
      </c>
      <c r="BZ6" s="91" t="s">
        <v>182</v>
      </c>
      <c r="CA6" s="91" t="s">
        <v>183</v>
      </c>
      <c r="CB6" s="91" t="s">
        <v>259</v>
      </c>
      <c r="CC6" s="91" t="s">
        <v>260</v>
      </c>
      <c r="CD6" s="91" t="s">
        <v>261</v>
      </c>
      <c r="CE6" s="91" t="s">
        <v>262</v>
      </c>
      <c r="CF6" s="91" t="s">
        <v>263</v>
      </c>
      <c r="CG6" s="91" t="s">
        <v>264</v>
      </c>
      <c r="CH6" s="91" t="s">
        <v>265</v>
      </c>
      <c r="CI6" s="91" t="s">
        <v>266</v>
      </c>
    </row>
    <row r="7" spans="1:87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83"/>
      <c r="S7" s="294"/>
      <c r="T7" s="294"/>
      <c r="U7" s="294"/>
      <c r="V7" s="297"/>
      <c r="W7" s="297"/>
      <c r="X7" s="300"/>
      <c r="Y7" s="297"/>
      <c r="Z7" s="297"/>
      <c r="AA7" s="92">
        <v>45656</v>
      </c>
      <c r="AB7" s="92">
        <f t="shared" ref="AB7:CI7" si="0">AA7+7</f>
        <v>45663</v>
      </c>
      <c r="AC7" s="92">
        <f t="shared" si="0"/>
        <v>45670</v>
      </c>
      <c r="AD7" s="92">
        <f t="shared" si="0"/>
        <v>45677</v>
      </c>
      <c r="AE7" s="92">
        <f t="shared" si="0"/>
        <v>45684</v>
      </c>
      <c r="AF7" s="92">
        <f t="shared" si="0"/>
        <v>45691</v>
      </c>
      <c r="AG7" s="92">
        <f t="shared" si="0"/>
        <v>45698</v>
      </c>
      <c r="AH7" s="92">
        <f t="shared" si="0"/>
        <v>45705</v>
      </c>
      <c r="AI7" s="92">
        <f t="shared" si="0"/>
        <v>45712</v>
      </c>
      <c r="AJ7" s="92">
        <f t="shared" si="0"/>
        <v>45719</v>
      </c>
      <c r="AK7" s="92">
        <f t="shared" si="0"/>
        <v>45726</v>
      </c>
      <c r="AL7" s="92">
        <f t="shared" si="0"/>
        <v>45733</v>
      </c>
      <c r="AM7" s="92">
        <f t="shared" si="0"/>
        <v>45740</v>
      </c>
      <c r="AN7" s="92">
        <f t="shared" si="0"/>
        <v>45747</v>
      </c>
      <c r="AO7" s="92">
        <f t="shared" si="0"/>
        <v>45754</v>
      </c>
      <c r="AP7" s="92">
        <f t="shared" si="0"/>
        <v>45761</v>
      </c>
      <c r="AQ7" s="92">
        <f t="shared" si="0"/>
        <v>45768</v>
      </c>
      <c r="AR7" s="92">
        <f>AQ7+7</f>
        <v>45775</v>
      </c>
      <c r="AS7" s="92">
        <f t="shared" si="0"/>
        <v>45782</v>
      </c>
      <c r="AT7" s="92">
        <f t="shared" si="0"/>
        <v>45789</v>
      </c>
      <c r="AU7" s="92">
        <f t="shared" si="0"/>
        <v>45796</v>
      </c>
      <c r="AV7" s="92">
        <f>AU7+7</f>
        <v>45803</v>
      </c>
      <c r="AW7" s="92">
        <f t="shared" si="0"/>
        <v>45810</v>
      </c>
      <c r="AX7" s="92">
        <f t="shared" si="0"/>
        <v>45817</v>
      </c>
      <c r="AY7" s="92">
        <f t="shared" si="0"/>
        <v>45824</v>
      </c>
      <c r="AZ7" s="92">
        <f t="shared" si="0"/>
        <v>45831</v>
      </c>
      <c r="BA7" s="92">
        <f t="shared" si="0"/>
        <v>45838</v>
      </c>
      <c r="BB7" s="92">
        <f t="shared" si="0"/>
        <v>45845</v>
      </c>
      <c r="BC7" s="92">
        <f t="shared" si="0"/>
        <v>45852</v>
      </c>
      <c r="BD7" s="92">
        <f t="shared" si="0"/>
        <v>45859</v>
      </c>
      <c r="BE7" s="92">
        <f t="shared" si="0"/>
        <v>45866</v>
      </c>
      <c r="BF7" s="92">
        <f t="shared" si="0"/>
        <v>45873</v>
      </c>
      <c r="BG7" s="92">
        <f t="shared" si="0"/>
        <v>45880</v>
      </c>
      <c r="BH7" s="92">
        <f t="shared" si="0"/>
        <v>45887</v>
      </c>
      <c r="BI7" s="92">
        <f t="shared" si="0"/>
        <v>45894</v>
      </c>
      <c r="BJ7" s="92">
        <f t="shared" si="0"/>
        <v>45901</v>
      </c>
      <c r="BK7" s="92">
        <f t="shared" si="0"/>
        <v>45908</v>
      </c>
      <c r="BL7" s="92">
        <f t="shared" si="0"/>
        <v>45915</v>
      </c>
      <c r="BM7" s="92">
        <f t="shared" si="0"/>
        <v>45922</v>
      </c>
      <c r="BN7" s="92">
        <f t="shared" si="0"/>
        <v>45929</v>
      </c>
      <c r="BO7" s="92">
        <f t="shared" si="0"/>
        <v>45936</v>
      </c>
      <c r="BP7" s="92">
        <f t="shared" si="0"/>
        <v>45943</v>
      </c>
      <c r="BQ7" s="92">
        <f t="shared" si="0"/>
        <v>45950</v>
      </c>
      <c r="BR7" s="92">
        <f t="shared" si="0"/>
        <v>45957</v>
      </c>
      <c r="BS7" s="92">
        <f>BR7+7</f>
        <v>45964</v>
      </c>
      <c r="BT7" s="92">
        <f t="shared" si="0"/>
        <v>45971</v>
      </c>
      <c r="BU7" s="92">
        <f t="shared" si="0"/>
        <v>45978</v>
      </c>
      <c r="BV7" s="92">
        <f t="shared" si="0"/>
        <v>45985</v>
      </c>
      <c r="BW7" s="92">
        <f t="shared" si="0"/>
        <v>45992</v>
      </c>
      <c r="BX7" s="92">
        <f t="shared" si="0"/>
        <v>45999</v>
      </c>
      <c r="BY7" s="92">
        <f t="shared" si="0"/>
        <v>46006</v>
      </c>
      <c r="BZ7" s="92">
        <f t="shared" si="0"/>
        <v>46013</v>
      </c>
      <c r="CA7" s="92">
        <f>BZ7+7</f>
        <v>46020</v>
      </c>
      <c r="CB7" s="92">
        <f t="shared" si="0"/>
        <v>46027</v>
      </c>
      <c r="CC7" s="92">
        <f t="shared" si="0"/>
        <v>46034</v>
      </c>
      <c r="CD7" s="92">
        <f t="shared" si="0"/>
        <v>46041</v>
      </c>
      <c r="CE7" s="92">
        <f>CD7+7</f>
        <v>46048</v>
      </c>
      <c r="CF7" s="92">
        <f t="shared" si="0"/>
        <v>46055</v>
      </c>
      <c r="CG7" s="92">
        <f t="shared" si="0"/>
        <v>46062</v>
      </c>
      <c r="CH7" s="92">
        <f t="shared" si="0"/>
        <v>46069</v>
      </c>
      <c r="CI7" s="92">
        <f t="shared" si="0"/>
        <v>46076</v>
      </c>
    </row>
    <row r="8" spans="1:87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85"/>
      <c r="S8" s="295"/>
      <c r="T8" s="295"/>
      <c r="U8" s="295"/>
      <c r="V8" s="298"/>
      <c r="W8" s="298"/>
      <c r="X8" s="301"/>
      <c r="Y8" s="298"/>
      <c r="Z8" s="298"/>
      <c r="AA8" s="93">
        <f t="shared" ref="AA8:CI8" si="1">AA7+4</f>
        <v>45660</v>
      </c>
      <c r="AB8" s="93">
        <f t="shared" si="1"/>
        <v>45667</v>
      </c>
      <c r="AC8" s="93">
        <f t="shared" si="1"/>
        <v>45674</v>
      </c>
      <c r="AD8" s="93">
        <f t="shared" si="1"/>
        <v>45681</v>
      </c>
      <c r="AE8" s="93">
        <f t="shared" si="1"/>
        <v>45688</v>
      </c>
      <c r="AF8" s="93">
        <f t="shared" si="1"/>
        <v>45695</v>
      </c>
      <c r="AG8" s="93">
        <f t="shared" si="1"/>
        <v>45702</v>
      </c>
      <c r="AH8" s="93">
        <f t="shared" si="1"/>
        <v>45709</v>
      </c>
      <c r="AI8" s="93">
        <f t="shared" si="1"/>
        <v>45716</v>
      </c>
      <c r="AJ8" s="93">
        <f t="shared" si="1"/>
        <v>45723</v>
      </c>
      <c r="AK8" s="93">
        <f t="shared" si="1"/>
        <v>45730</v>
      </c>
      <c r="AL8" s="93">
        <f t="shared" si="1"/>
        <v>45737</v>
      </c>
      <c r="AM8" s="93">
        <f t="shared" si="1"/>
        <v>45744</v>
      </c>
      <c r="AN8" s="93">
        <f t="shared" si="1"/>
        <v>45751</v>
      </c>
      <c r="AO8" s="93">
        <f t="shared" si="1"/>
        <v>45758</v>
      </c>
      <c r="AP8" s="93">
        <f t="shared" si="1"/>
        <v>45765</v>
      </c>
      <c r="AQ8" s="93">
        <f t="shared" ref="AQ8" si="2">AQ7+4</f>
        <v>45772</v>
      </c>
      <c r="AR8" s="93">
        <f t="shared" si="1"/>
        <v>45779</v>
      </c>
      <c r="AS8" s="93">
        <f t="shared" si="1"/>
        <v>45786</v>
      </c>
      <c r="AT8" s="93">
        <f t="shared" si="1"/>
        <v>45793</v>
      </c>
      <c r="AU8" s="93">
        <f t="shared" si="1"/>
        <v>45800</v>
      </c>
      <c r="AV8" s="93">
        <f t="shared" si="1"/>
        <v>45807</v>
      </c>
      <c r="AW8" s="93">
        <f t="shared" si="1"/>
        <v>45814</v>
      </c>
      <c r="AX8" s="93">
        <f t="shared" si="1"/>
        <v>45821</v>
      </c>
      <c r="AY8" s="93">
        <f t="shared" si="1"/>
        <v>45828</v>
      </c>
      <c r="AZ8" s="93">
        <f t="shared" si="1"/>
        <v>45835</v>
      </c>
      <c r="BA8" s="93">
        <f t="shared" si="1"/>
        <v>45842</v>
      </c>
      <c r="BB8" s="93">
        <f t="shared" si="1"/>
        <v>45849</v>
      </c>
      <c r="BC8" s="93">
        <f t="shared" si="1"/>
        <v>45856</v>
      </c>
      <c r="BD8" s="93">
        <f t="shared" si="1"/>
        <v>45863</v>
      </c>
      <c r="BE8" s="93">
        <f t="shared" si="1"/>
        <v>45870</v>
      </c>
      <c r="BF8" s="93">
        <f t="shared" si="1"/>
        <v>45877</v>
      </c>
      <c r="BG8" s="93">
        <f t="shared" si="1"/>
        <v>45884</v>
      </c>
      <c r="BH8" s="93">
        <f t="shared" si="1"/>
        <v>45891</v>
      </c>
      <c r="BI8" s="93">
        <f t="shared" si="1"/>
        <v>45898</v>
      </c>
      <c r="BJ8" s="93">
        <f t="shared" si="1"/>
        <v>45905</v>
      </c>
      <c r="BK8" s="93">
        <f t="shared" si="1"/>
        <v>45912</v>
      </c>
      <c r="BL8" s="93">
        <f t="shared" si="1"/>
        <v>45919</v>
      </c>
      <c r="BM8" s="93">
        <f t="shared" si="1"/>
        <v>45926</v>
      </c>
      <c r="BN8" s="93">
        <f t="shared" si="1"/>
        <v>45933</v>
      </c>
      <c r="BO8" s="93">
        <f t="shared" si="1"/>
        <v>45940</v>
      </c>
      <c r="BP8" s="93">
        <f t="shared" si="1"/>
        <v>45947</v>
      </c>
      <c r="BQ8" s="93">
        <f t="shared" si="1"/>
        <v>45954</v>
      </c>
      <c r="BR8" s="93">
        <f t="shared" si="1"/>
        <v>45961</v>
      </c>
      <c r="BS8" s="93">
        <f t="shared" si="1"/>
        <v>45968</v>
      </c>
      <c r="BT8" s="93">
        <f t="shared" si="1"/>
        <v>45975</v>
      </c>
      <c r="BU8" s="93">
        <f t="shared" si="1"/>
        <v>45982</v>
      </c>
      <c r="BV8" s="93">
        <f t="shared" si="1"/>
        <v>45989</v>
      </c>
      <c r="BW8" s="93">
        <f t="shared" si="1"/>
        <v>45996</v>
      </c>
      <c r="BX8" s="93">
        <f t="shared" si="1"/>
        <v>46003</v>
      </c>
      <c r="BY8" s="93">
        <f t="shared" si="1"/>
        <v>46010</v>
      </c>
      <c r="BZ8" s="93">
        <f t="shared" ref="BZ8" si="3">BZ7+4</f>
        <v>46017</v>
      </c>
      <c r="CA8" s="93">
        <f t="shared" si="1"/>
        <v>46024</v>
      </c>
      <c r="CB8" s="93">
        <f t="shared" si="1"/>
        <v>46031</v>
      </c>
      <c r="CC8" s="93">
        <f t="shared" si="1"/>
        <v>46038</v>
      </c>
      <c r="CD8" s="93">
        <f t="shared" si="1"/>
        <v>46045</v>
      </c>
      <c r="CE8" s="93">
        <f t="shared" si="1"/>
        <v>46052</v>
      </c>
      <c r="CF8" s="93">
        <f t="shared" si="1"/>
        <v>46059</v>
      </c>
      <c r="CG8" s="93">
        <f t="shared" si="1"/>
        <v>46066</v>
      </c>
      <c r="CH8" s="93">
        <f t="shared" si="1"/>
        <v>46073</v>
      </c>
      <c r="CI8" s="93">
        <f t="shared" si="1"/>
        <v>46080</v>
      </c>
    </row>
    <row r="9" spans="1:87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45730</v>
      </c>
      <c r="R9" s="104"/>
      <c r="S9" s="104"/>
      <c r="T9" s="104"/>
      <c r="U9" s="104"/>
      <c r="V9" s="94"/>
      <c r="W9" s="94"/>
      <c r="X9" s="105" t="str">
        <f t="shared" ref="X9:X40" si="4">IF(ISBLANK(V9),"",(DAYS360(VLOOKUP(V9,$A$9:$Q$97,15,FALSE),P9)-1))</f>
        <v/>
      </c>
      <c r="Y9" s="106">
        <f>NETWORKDAYS(P9,Q9,진행현황_전체!C$59:C$77)</f>
        <v>32660</v>
      </c>
      <c r="Z9" s="256"/>
      <c r="AA9" s="107"/>
      <c r="AB9" s="108"/>
      <c r="AC9" s="108"/>
      <c r="AD9" s="248"/>
      <c r="AE9" s="111"/>
      <c r="AF9" s="112"/>
      <c r="AG9" s="110"/>
      <c r="AH9" s="110"/>
      <c r="AI9" s="111"/>
      <c r="AJ9" s="109"/>
      <c r="AK9" s="110"/>
      <c r="AL9" s="110"/>
      <c r="AM9" s="111"/>
      <c r="AN9" s="109"/>
      <c r="AO9" s="112"/>
      <c r="AP9" s="110"/>
      <c r="AQ9" s="110"/>
      <c r="AR9" s="192"/>
      <c r="AS9" s="112"/>
      <c r="AT9" s="110"/>
      <c r="AU9" s="110"/>
      <c r="AV9" s="111"/>
      <c r="AW9" s="109"/>
      <c r="AX9" s="110"/>
      <c r="AY9" s="110"/>
      <c r="AZ9" s="111"/>
      <c r="BA9" s="107"/>
      <c r="BB9" s="108"/>
      <c r="BC9" s="108"/>
      <c r="BD9" s="248"/>
      <c r="BE9" s="111"/>
      <c r="BF9" s="112"/>
      <c r="BG9" s="110"/>
      <c r="BH9" s="110"/>
      <c r="BI9" s="111"/>
      <c r="BJ9" s="109"/>
      <c r="BK9" s="110"/>
      <c r="BL9" s="110"/>
      <c r="BM9" s="111"/>
      <c r="BN9" s="112"/>
      <c r="BO9" s="110"/>
      <c r="BP9" s="110"/>
      <c r="BQ9" s="250"/>
      <c r="BR9" s="111"/>
      <c r="BS9" s="112"/>
      <c r="BT9" s="110"/>
      <c r="BU9" s="110"/>
      <c r="BV9" s="111"/>
      <c r="BW9" s="112"/>
      <c r="BX9" s="110"/>
      <c r="BY9" s="110"/>
      <c r="BZ9" s="110"/>
      <c r="CA9" s="111"/>
      <c r="CB9" s="112"/>
      <c r="CC9" s="110"/>
      <c r="CD9" s="110"/>
      <c r="CE9" s="111"/>
      <c r="CF9" s="109"/>
      <c r="CG9" s="110"/>
      <c r="CH9" s="110"/>
      <c r="CI9" s="111"/>
    </row>
    <row r="10" spans="1:87" ht="17.25" thickBot="1">
      <c r="A10" s="113">
        <v>1</v>
      </c>
      <c r="B10" s="114" t="str">
        <f>진행현황_01.범위명!B15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진행현황_01.범위명!B16</f>
        <v>15</v>
      </c>
      <c r="J10" s="118">
        <f>SUM(L11:L20)</f>
        <v>1</v>
      </c>
      <c r="K10" s="119">
        <f>SUM(M11:M20)</f>
        <v>0.125</v>
      </c>
      <c r="L10" s="120">
        <f>SUM(L11:L20)*I10</f>
        <v>15</v>
      </c>
      <c r="M10" s="120">
        <f>SUM(M11:M20)*I10</f>
        <v>1.875</v>
      </c>
      <c r="N10" s="120">
        <f t="shared" ref="N10:N75" si="5">M10-L10</f>
        <v>-13.125</v>
      </c>
      <c r="O10" s="121"/>
      <c r="P10" s="122">
        <f>MIN(P11:P20)</f>
        <v>45726</v>
      </c>
      <c r="Q10" s="122">
        <f>MAX(Q11:Q20)</f>
        <v>45730</v>
      </c>
      <c r="R10" s="122"/>
      <c r="S10" s="122">
        <f>MIN(S11:S20)</f>
        <v>45659</v>
      </c>
      <c r="T10" s="122">
        <f>MAX(T11:T20)</f>
        <v>45669</v>
      </c>
      <c r="U10" s="122"/>
      <c r="V10" s="113"/>
      <c r="W10" s="255">
        <v>0.5</v>
      </c>
      <c r="X10" s="123" t="str">
        <f t="shared" si="4"/>
        <v/>
      </c>
      <c r="Y10" s="124">
        <f>NETWORKDAYS(P10,Q10,진행현황_전체!C$59:C$77)</f>
        <v>5</v>
      </c>
      <c r="Z10" s="257"/>
      <c r="AA10" s="125"/>
      <c r="AB10" s="126"/>
      <c r="AC10" s="126"/>
      <c r="AD10" s="249"/>
      <c r="AE10" s="127"/>
      <c r="AF10" s="129"/>
      <c r="AG10" s="126"/>
      <c r="AH10" s="126"/>
      <c r="AI10" s="127"/>
      <c r="AJ10" s="128"/>
      <c r="AK10" s="126"/>
      <c r="AL10" s="126"/>
      <c r="AM10" s="127"/>
      <c r="AN10" s="128"/>
      <c r="AO10" s="129"/>
      <c r="AP10" s="126"/>
      <c r="AQ10" s="126"/>
      <c r="AR10" s="193"/>
      <c r="AS10" s="129"/>
      <c r="AT10" s="126"/>
      <c r="AU10" s="126"/>
      <c r="AV10" s="127"/>
      <c r="AW10" s="128"/>
      <c r="AX10" s="126"/>
      <c r="AY10" s="126"/>
      <c r="AZ10" s="127"/>
      <c r="BA10" s="125"/>
      <c r="BB10" s="126"/>
      <c r="BC10" s="126"/>
      <c r="BD10" s="249"/>
      <c r="BE10" s="127"/>
      <c r="BF10" s="129"/>
      <c r="BG10" s="126"/>
      <c r="BH10" s="126"/>
      <c r="BI10" s="127"/>
      <c r="BJ10" s="128"/>
      <c r="BK10" s="126"/>
      <c r="BL10" s="126"/>
      <c r="BM10" s="127"/>
      <c r="BN10" s="129"/>
      <c r="BO10" s="126"/>
      <c r="BP10" s="126"/>
      <c r="BQ10" s="249"/>
      <c r="BR10" s="127"/>
      <c r="BS10" s="129"/>
      <c r="BT10" s="126"/>
      <c r="BU10" s="126"/>
      <c r="BV10" s="127"/>
      <c r="BW10" s="129"/>
      <c r="BX10" s="126"/>
      <c r="BY10" s="126"/>
      <c r="BZ10" s="126"/>
      <c r="CA10" s="127"/>
      <c r="CB10" s="129"/>
      <c r="CC10" s="126"/>
      <c r="CD10" s="126"/>
      <c r="CE10" s="127"/>
      <c r="CF10" s="128"/>
      <c r="CG10" s="126"/>
      <c r="CH10" s="126"/>
      <c r="CI10" s="127"/>
    </row>
    <row r="11" spans="1:87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2</v>
      </c>
      <c r="J11" s="131">
        <f>IF(CheckDay&gt;=Q11,1,IF(CheckDay&lt;P11, 0,DAYS360(P11,CheckDay+1)/Y11))</f>
        <v>1</v>
      </c>
      <c r="K11" s="101">
        <v>1</v>
      </c>
      <c r="L11" s="132">
        <f t="shared" ref="L11:L20" si="6">I11*J11/100</f>
        <v>0.02</v>
      </c>
      <c r="M11" s="132">
        <f t="shared" ref="M11:M20" si="7">I11*K11/100</f>
        <v>0.02</v>
      </c>
      <c r="N11" s="132">
        <f t="shared" si="5"/>
        <v>0</v>
      </c>
      <c r="O11" s="133" t="str">
        <f t="shared" ref="O11:O20" si="8">IF(AND(K11=0%,N11=0),"",IF(N11&lt;0,"지연",IF(K11=100%,"종료","진행")))</f>
        <v>종료</v>
      </c>
      <c r="P11" s="104">
        <v>45726</v>
      </c>
      <c r="Q11" s="104">
        <v>45730</v>
      </c>
      <c r="R11" s="104"/>
      <c r="S11" s="104">
        <v>45659</v>
      </c>
      <c r="T11" s="104">
        <v>45662</v>
      </c>
      <c r="U11" s="104"/>
      <c r="V11" s="94"/>
      <c r="W11" s="94" t="s">
        <v>308</v>
      </c>
      <c r="X11" s="134" t="str">
        <f t="shared" si="4"/>
        <v/>
      </c>
      <c r="Y11" s="253">
        <f>NETWORKDAYS(P11,Q11,진행현황_전체!C$59:C$77)</f>
        <v>5</v>
      </c>
      <c r="Z11" s="258"/>
      <c r="AA11" s="135">
        <f t="shared" ref="AA11:AU20" si="9">IF(OR((AND($P11&lt;=AA$7,AND($Q11&lt;=AA$8, $Q11&gt;=AA$7))),(AND(AND($P11&gt;=AA$7, $P11&lt;=AA$8),$Q11&gt;=AA$8)), AND($P11&gt;=AA$7, $Q11&lt;=AA$8), AND($P11&lt;=AA$7,$Q11&gt;=AA$8)),1,0)</f>
        <v>0</v>
      </c>
      <c r="AB11" s="136">
        <f t="shared" si="9"/>
        <v>0</v>
      </c>
      <c r="AC11" s="136">
        <f t="shared" si="9"/>
        <v>0</v>
      </c>
      <c r="AD11" s="136">
        <f t="shared" si="9"/>
        <v>0</v>
      </c>
      <c r="AE11" s="137">
        <f t="shared" si="9"/>
        <v>0</v>
      </c>
      <c r="AF11" s="138">
        <f t="shared" si="9"/>
        <v>0</v>
      </c>
      <c r="AG11" s="136">
        <f t="shared" si="9"/>
        <v>0</v>
      </c>
      <c r="AH11" s="136">
        <f t="shared" si="9"/>
        <v>0</v>
      </c>
      <c r="AI11" s="137">
        <f t="shared" si="9"/>
        <v>0</v>
      </c>
      <c r="AJ11" s="135">
        <f t="shared" si="9"/>
        <v>0</v>
      </c>
      <c r="AK11" s="136">
        <f t="shared" si="9"/>
        <v>1</v>
      </c>
      <c r="AL11" s="136">
        <f t="shared" si="9"/>
        <v>0</v>
      </c>
      <c r="AM11" s="137">
        <f t="shared" si="9"/>
        <v>0</v>
      </c>
      <c r="AN11" s="135">
        <f t="shared" si="9"/>
        <v>0</v>
      </c>
      <c r="AO11" s="138">
        <f t="shared" si="9"/>
        <v>0</v>
      </c>
      <c r="AP11" s="136">
        <f t="shared" si="9"/>
        <v>0</v>
      </c>
      <c r="AQ11" s="136">
        <f t="shared" si="9"/>
        <v>0</v>
      </c>
      <c r="AR11" s="194">
        <f t="shared" si="9"/>
        <v>0</v>
      </c>
      <c r="AS11" s="138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ref="AV11:BK20" si="10">IF(OR((AND($P11&lt;=AV$7,AND($Q11&lt;=AV$8, $Q11&gt;=AV$7))),(AND(AND($P11&gt;=AV$7, $P11&lt;=AV$8),$Q11&gt;=AV$8)), AND($P11&gt;=AV$7, $Q11&lt;=AV$8), AND($P11&lt;=AV$7,$Q11&gt;=AV$8)),1,0)</f>
        <v>0</v>
      </c>
      <c r="AW11" s="135">
        <f t="shared" si="10"/>
        <v>0</v>
      </c>
      <c r="AX11" s="136">
        <f t="shared" si="10"/>
        <v>0</v>
      </c>
      <c r="AY11" s="136">
        <f t="shared" si="10"/>
        <v>0</v>
      </c>
      <c r="AZ11" s="137">
        <f t="shared" si="10"/>
        <v>0</v>
      </c>
      <c r="BA11" s="135">
        <f t="shared" si="10"/>
        <v>0</v>
      </c>
      <c r="BB11" s="136">
        <f t="shared" si="10"/>
        <v>0</v>
      </c>
      <c r="BC11" s="136">
        <f t="shared" si="10"/>
        <v>0</v>
      </c>
      <c r="BD11" s="136">
        <f t="shared" si="10"/>
        <v>0</v>
      </c>
      <c r="BE11" s="137">
        <f t="shared" si="10"/>
        <v>0</v>
      </c>
      <c r="BF11" s="138">
        <f t="shared" si="10"/>
        <v>0</v>
      </c>
      <c r="BG11" s="136">
        <f t="shared" si="10"/>
        <v>0</v>
      </c>
      <c r="BH11" s="136">
        <f t="shared" si="10"/>
        <v>0</v>
      </c>
      <c r="BI11" s="137">
        <f t="shared" si="10"/>
        <v>0</v>
      </c>
      <c r="BJ11" s="135">
        <f t="shared" si="10"/>
        <v>0</v>
      </c>
      <c r="BK11" s="136">
        <f t="shared" si="10"/>
        <v>0</v>
      </c>
      <c r="BL11" s="136">
        <f t="shared" ref="BL11:CI20" si="11">IF(OR((AND($P11&lt;=BL$7,AND($Q11&lt;=BL$8, $Q11&gt;=BL$7))),(AND(AND($P11&gt;=BL$7, $P11&lt;=BL$8),$Q11&gt;=BL$8)), AND($P11&gt;=BL$7, $Q11&lt;=BL$8), AND($P11&lt;=BL$7,$Q11&gt;=BL$8)),1,0)</f>
        <v>0</v>
      </c>
      <c r="BM11" s="137">
        <f t="shared" si="11"/>
        <v>0</v>
      </c>
      <c r="BN11" s="138">
        <f t="shared" si="11"/>
        <v>0</v>
      </c>
      <c r="BO11" s="136">
        <f t="shared" si="11"/>
        <v>0</v>
      </c>
      <c r="BP11" s="136">
        <f t="shared" si="11"/>
        <v>0</v>
      </c>
      <c r="BQ11" s="136">
        <f t="shared" si="11"/>
        <v>0</v>
      </c>
      <c r="BR11" s="137">
        <f t="shared" si="11"/>
        <v>0</v>
      </c>
      <c r="BS11" s="138">
        <f t="shared" si="11"/>
        <v>0</v>
      </c>
      <c r="BT11" s="136">
        <f t="shared" si="11"/>
        <v>0</v>
      </c>
      <c r="BU11" s="136">
        <f t="shared" si="11"/>
        <v>0</v>
      </c>
      <c r="BV11" s="137">
        <f t="shared" si="11"/>
        <v>0</v>
      </c>
      <c r="BW11" s="138">
        <f t="shared" si="11"/>
        <v>0</v>
      </c>
      <c r="BX11" s="136">
        <f t="shared" si="11"/>
        <v>0</v>
      </c>
      <c r="BY11" s="136">
        <f t="shared" si="11"/>
        <v>0</v>
      </c>
      <c r="BZ11" s="136">
        <f t="shared" si="11"/>
        <v>0</v>
      </c>
      <c r="CA11" s="137">
        <f t="shared" si="11"/>
        <v>0</v>
      </c>
      <c r="CB11" s="138">
        <f t="shared" si="11"/>
        <v>0</v>
      </c>
      <c r="CC11" s="136">
        <f t="shared" si="11"/>
        <v>0</v>
      </c>
      <c r="CD11" s="136">
        <f t="shared" si="11"/>
        <v>0</v>
      </c>
      <c r="CE11" s="137">
        <f t="shared" si="11"/>
        <v>0</v>
      </c>
      <c r="CF11" s="135">
        <f t="shared" si="11"/>
        <v>0</v>
      </c>
      <c r="CG11" s="136">
        <f t="shared" si="11"/>
        <v>0</v>
      </c>
      <c r="CH11" s="136">
        <f t="shared" si="11"/>
        <v>0</v>
      </c>
      <c r="CI11" s="137">
        <f t="shared" si="11"/>
        <v>0</v>
      </c>
    </row>
    <row r="12" spans="1:87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>IF(CheckDay&gt;=Q12,1,IF(CheckDay&lt;P12, 0,DAYS360(P12,CheckDay+1)/Y12))</f>
        <v>1</v>
      </c>
      <c r="K12" s="101">
        <v>1</v>
      </c>
      <c r="L12" s="132">
        <f t="shared" si="6"/>
        <v>0.1</v>
      </c>
      <c r="M12" s="132">
        <f t="shared" si="7"/>
        <v>0.1</v>
      </c>
      <c r="N12" s="132">
        <f t="shared" si="5"/>
        <v>0</v>
      </c>
      <c r="O12" s="133" t="str">
        <f t="shared" si="8"/>
        <v>종료</v>
      </c>
      <c r="P12" s="104">
        <v>45726</v>
      </c>
      <c r="Q12" s="104">
        <v>45730</v>
      </c>
      <c r="R12" s="104"/>
      <c r="S12" s="104">
        <v>45667</v>
      </c>
      <c r="T12" s="104">
        <v>45669</v>
      </c>
      <c r="U12" s="104"/>
      <c r="V12" s="94"/>
      <c r="W12" s="94" t="s">
        <v>309</v>
      </c>
      <c r="X12" s="134" t="str">
        <f t="shared" si="4"/>
        <v/>
      </c>
      <c r="Y12" s="253">
        <f>NETWORKDAYS(P12,Q12,진행현황_전체!C$59:C$77)</f>
        <v>5</v>
      </c>
      <c r="Z12" s="258"/>
      <c r="AA12" s="135">
        <f t="shared" si="9"/>
        <v>0</v>
      </c>
      <c r="AB12" s="136">
        <f t="shared" si="9"/>
        <v>0</v>
      </c>
      <c r="AC12" s="136">
        <f t="shared" si="9"/>
        <v>0</v>
      </c>
      <c r="AD12" s="136">
        <f t="shared" si="9"/>
        <v>0</v>
      </c>
      <c r="AE12" s="137">
        <f t="shared" si="9"/>
        <v>0</v>
      </c>
      <c r="AF12" s="138">
        <f t="shared" si="9"/>
        <v>0</v>
      </c>
      <c r="AG12" s="136">
        <f t="shared" si="9"/>
        <v>0</v>
      </c>
      <c r="AH12" s="136">
        <f t="shared" si="9"/>
        <v>0</v>
      </c>
      <c r="AI12" s="137">
        <f t="shared" si="9"/>
        <v>0</v>
      </c>
      <c r="AJ12" s="135">
        <f t="shared" si="9"/>
        <v>0</v>
      </c>
      <c r="AK12" s="136">
        <f t="shared" si="9"/>
        <v>1</v>
      </c>
      <c r="AL12" s="136">
        <f t="shared" si="9"/>
        <v>0</v>
      </c>
      <c r="AM12" s="137">
        <f t="shared" si="9"/>
        <v>0</v>
      </c>
      <c r="AN12" s="135">
        <f t="shared" si="9"/>
        <v>0</v>
      </c>
      <c r="AO12" s="138">
        <f t="shared" si="9"/>
        <v>0</v>
      </c>
      <c r="AP12" s="136">
        <f t="shared" si="9"/>
        <v>0</v>
      </c>
      <c r="AQ12" s="136">
        <f t="shared" si="9"/>
        <v>0</v>
      </c>
      <c r="AR12" s="194">
        <f t="shared" si="9"/>
        <v>0</v>
      </c>
      <c r="AS12" s="138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10"/>
        <v>0</v>
      </c>
      <c r="AW12" s="135">
        <f t="shared" si="10"/>
        <v>0</v>
      </c>
      <c r="AX12" s="136">
        <f t="shared" si="10"/>
        <v>0</v>
      </c>
      <c r="AY12" s="136">
        <f t="shared" si="10"/>
        <v>0</v>
      </c>
      <c r="AZ12" s="137">
        <f t="shared" si="10"/>
        <v>0</v>
      </c>
      <c r="BA12" s="135">
        <f t="shared" si="10"/>
        <v>0</v>
      </c>
      <c r="BB12" s="136">
        <f t="shared" si="10"/>
        <v>0</v>
      </c>
      <c r="BC12" s="136">
        <f t="shared" si="10"/>
        <v>0</v>
      </c>
      <c r="BD12" s="136">
        <f t="shared" si="10"/>
        <v>0</v>
      </c>
      <c r="BE12" s="137">
        <f t="shared" si="10"/>
        <v>0</v>
      </c>
      <c r="BF12" s="138">
        <f t="shared" si="10"/>
        <v>0</v>
      </c>
      <c r="BG12" s="136">
        <f t="shared" si="10"/>
        <v>0</v>
      </c>
      <c r="BH12" s="136">
        <f t="shared" si="10"/>
        <v>0</v>
      </c>
      <c r="BI12" s="137">
        <f t="shared" si="10"/>
        <v>0</v>
      </c>
      <c r="BJ12" s="135">
        <f t="shared" si="10"/>
        <v>0</v>
      </c>
      <c r="BK12" s="136">
        <f t="shared" si="10"/>
        <v>0</v>
      </c>
      <c r="BL12" s="136">
        <f t="shared" si="11"/>
        <v>0</v>
      </c>
      <c r="BM12" s="137">
        <f t="shared" si="11"/>
        <v>0</v>
      </c>
      <c r="BN12" s="138">
        <f t="shared" si="11"/>
        <v>0</v>
      </c>
      <c r="BO12" s="136">
        <f t="shared" si="11"/>
        <v>0</v>
      </c>
      <c r="BP12" s="136">
        <f t="shared" si="11"/>
        <v>0</v>
      </c>
      <c r="BQ12" s="136">
        <f t="shared" si="11"/>
        <v>0</v>
      </c>
      <c r="BR12" s="137">
        <f t="shared" si="11"/>
        <v>0</v>
      </c>
      <c r="BS12" s="138">
        <f t="shared" si="11"/>
        <v>0</v>
      </c>
      <c r="BT12" s="136">
        <f t="shared" si="11"/>
        <v>0</v>
      </c>
      <c r="BU12" s="136">
        <f t="shared" si="11"/>
        <v>0</v>
      </c>
      <c r="BV12" s="137">
        <f t="shared" si="11"/>
        <v>0</v>
      </c>
      <c r="BW12" s="138">
        <f t="shared" si="11"/>
        <v>0</v>
      </c>
      <c r="BX12" s="136">
        <f t="shared" si="11"/>
        <v>0</v>
      </c>
      <c r="BY12" s="136">
        <f t="shared" si="11"/>
        <v>0</v>
      </c>
      <c r="BZ12" s="136">
        <f t="shared" si="11"/>
        <v>0</v>
      </c>
      <c r="CA12" s="137">
        <f t="shared" si="11"/>
        <v>0</v>
      </c>
      <c r="CB12" s="138">
        <f t="shared" si="11"/>
        <v>0</v>
      </c>
      <c r="CC12" s="136">
        <f t="shared" si="11"/>
        <v>0</v>
      </c>
      <c r="CD12" s="136">
        <f t="shared" si="11"/>
        <v>0</v>
      </c>
      <c r="CE12" s="137">
        <f t="shared" si="11"/>
        <v>0</v>
      </c>
      <c r="CF12" s="135">
        <f t="shared" si="11"/>
        <v>0</v>
      </c>
      <c r="CG12" s="136">
        <f t="shared" si="11"/>
        <v>0</v>
      </c>
      <c r="CH12" s="136">
        <f t="shared" si="11"/>
        <v>0</v>
      </c>
      <c r="CI12" s="137">
        <f t="shared" si="11"/>
        <v>0</v>
      </c>
    </row>
    <row r="13" spans="1:87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5</v>
      </c>
      <c r="J13" s="131">
        <f t="shared" ref="J11:J20" si="12">IF(CheckDay&gt;=Q13,1,IF(CheckDay&lt;P13, 0,DAYS360(P13,CheckDay+1)/Y13))</f>
        <v>1</v>
      </c>
      <c r="K13" s="101">
        <v>0.1</v>
      </c>
      <c r="L13" s="132">
        <f t="shared" si="6"/>
        <v>0.05</v>
      </c>
      <c r="M13" s="132">
        <f t="shared" si="7"/>
        <v>5.0000000000000001E-3</v>
      </c>
      <c r="N13" s="132">
        <f t="shared" si="5"/>
        <v>-4.5000000000000005E-2</v>
      </c>
      <c r="O13" s="133" t="str">
        <f t="shared" si="8"/>
        <v>지연</v>
      </c>
      <c r="P13" s="104"/>
      <c r="Q13" s="104"/>
      <c r="R13" s="104"/>
      <c r="S13" s="104"/>
      <c r="T13" s="104"/>
      <c r="U13" s="104"/>
      <c r="V13" s="94"/>
      <c r="W13" s="94" t="s">
        <v>308</v>
      </c>
      <c r="X13" s="134" t="str">
        <f t="shared" si="4"/>
        <v/>
      </c>
      <c r="Y13" s="253">
        <f>NETWORKDAYS(P13,Q13,진행현황_전체!C$59:C$77)</f>
        <v>0</v>
      </c>
      <c r="Z13" s="258"/>
      <c r="AA13" s="135">
        <f t="shared" si="9"/>
        <v>0</v>
      </c>
      <c r="AB13" s="136">
        <f t="shared" si="9"/>
        <v>0</v>
      </c>
      <c r="AC13" s="136">
        <f t="shared" si="9"/>
        <v>0</v>
      </c>
      <c r="AD13" s="136">
        <f t="shared" si="9"/>
        <v>0</v>
      </c>
      <c r="AE13" s="137">
        <f t="shared" si="9"/>
        <v>0</v>
      </c>
      <c r="AF13" s="138">
        <f t="shared" si="9"/>
        <v>0</v>
      </c>
      <c r="AG13" s="136">
        <f t="shared" si="9"/>
        <v>0</v>
      </c>
      <c r="AH13" s="136">
        <f t="shared" si="9"/>
        <v>0</v>
      </c>
      <c r="AI13" s="137">
        <f t="shared" si="9"/>
        <v>0</v>
      </c>
      <c r="AJ13" s="135">
        <f t="shared" si="9"/>
        <v>0</v>
      </c>
      <c r="AK13" s="136">
        <f t="shared" si="9"/>
        <v>0</v>
      </c>
      <c r="AL13" s="136">
        <f t="shared" si="9"/>
        <v>0</v>
      </c>
      <c r="AM13" s="137">
        <f t="shared" si="9"/>
        <v>0</v>
      </c>
      <c r="AN13" s="135">
        <f t="shared" si="9"/>
        <v>0</v>
      </c>
      <c r="AO13" s="138">
        <f t="shared" si="9"/>
        <v>0</v>
      </c>
      <c r="AP13" s="136">
        <f t="shared" si="9"/>
        <v>0</v>
      </c>
      <c r="AQ13" s="136">
        <f t="shared" si="9"/>
        <v>0</v>
      </c>
      <c r="AR13" s="194">
        <f t="shared" si="9"/>
        <v>0</v>
      </c>
      <c r="AS13" s="138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10"/>
        <v>0</v>
      </c>
      <c r="AW13" s="135">
        <f t="shared" si="10"/>
        <v>0</v>
      </c>
      <c r="AX13" s="136">
        <f t="shared" si="10"/>
        <v>0</v>
      </c>
      <c r="AY13" s="136">
        <f t="shared" si="10"/>
        <v>0</v>
      </c>
      <c r="AZ13" s="137">
        <f t="shared" si="10"/>
        <v>0</v>
      </c>
      <c r="BA13" s="135">
        <f t="shared" si="10"/>
        <v>0</v>
      </c>
      <c r="BB13" s="136">
        <f t="shared" si="10"/>
        <v>0</v>
      </c>
      <c r="BC13" s="136">
        <f t="shared" si="10"/>
        <v>0</v>
      </c>
      <c r="BD13" s="136">
        <f t="shared" si="10"/>
        <v>0</v>
      </c>
      <c r="BE13" s="137">
        <f t="shared" si="10"/>
        <v>0</v>
      </c>
      <c r="BF13" s="138">
        <f t="shared" si="10"/>
        <v>0</v>
      </c>
      <c r="BG13" s="136">
        <f t="shared" si="10"/>
        <v>0</v>
      </c>
      <c r="BH13" s="136">
        <f t="shared" si="10"/>
        <v>0</v>
      </c>
      <c r="BI13" s="137">
        <f t="shared" si="10"/>
        <v>0</v>
      </c>
      <c r="BJ13" s="135">
        <f t="shared" si="10"/>
        <v>0</v>
      </c>
      <c r="BK13" s="136">
        <f t="shared" si="10"/>
        <v>0</v>
      </c>
      <c r="BL13" s="136">
        <f t="shared" si="11"/>
        <v>0</v>
      </c>
      <c r="BM13" s="137">
        <f t="shared" si="11"/>
        <v>0</v>
      </c>
      <c r="BN13" s="138">
        <f t="shared" si="11"/>
        <v>0</v>
      </c>
      <c r="BO13" s="136">
        <f t="shared" si="11"/>
        <v>0</v>
      </c>
      <c r="BP13" s="136">
        <f t="shared" si="11"/>
        <v>0</v>
      </c>
      <c r="BQ13" s="136">
        <f t="shared" si="11"/>
        <v>0</v>
      </c>
      <c r="BR13" s="137">
        <f t="shared" si="11"/>
        <v>0</v>
      </c>
      <c r="BS13" s="138">
        <f t="shared" si="11"/>
        <v>0</v>
      </c>
      <c r="BT13" s="136">
        <f t="shared" si="11"/>
        <v>0</v>
      </c>
      <c r="BU13" s="136">
        <f t="shared" si="11"/>
        <v>0</v>
      </c>
      <c r="BV13" s="137">
        <f t="shared" si="11"/>
        <v>0</v>
      </c>
      <c r="BW13" s="138">
        <f t="shared" si="11"/>
        <v>0</v>
      </c>
      <c r="BX13" s="136">
        <f t="shared" si="11"/>
        <v>0</v>
      </c>
      <c r="BY13" s="136">
        <f t="shared" si="11"/>
        <v>0</v>
      </c>
      <c r="BZ13" s="136">
        <f t="shared" si="11"/>
        <v>0</v>
      </c>
      <c r="CA13" s="137">
        <f t="shared" si="11"/>
        <v>0</v>
      </c>
      <c r="CB13" s="138">
        <f t="shared" si="11"/>
        <v>0</v>
      </c>
      <c r="CC13" s="136">
        <f t="shared" si="11"/>
        <v>0</v>
      </c>
      <c r="CD13" s="136">
        <f t="shared" si="11"/>
        <v>0</v>
      </c>
      <c r="CE13" s="137">
        <f t="shared" si="11"/>
        <v>0</v>
      </c>
      <c r="CF13" s="135">
        <f t="shared" si="11"/>
        <v>0</v>
      </c>
      <c r="CG13" s="136">
        <f t="shared" si="11"/>
        <v>0</v>
      </c>
      <c r="CH13" s="136">
        <f t="shared" si="11"/>
        <v>0</v>
      </c>
      <c r="CI13" s="137">
        <f t="shared" si="11"/>
        <v>0</v>
      </c>
    </row>
    <row r="14" spans="1:87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12"/>
        <v>1</v>
      </c>
      <c r="K14" s="101">
        <v>0</v>
      </c>
      <c r="L14" s="132">
        <f t="shared" si="6"/>
        <v>0.1</v>
      </c>
      <c r="M14" s="132">
        <f t="shared" si="7"/>
        <v>0</v>
      </c>
      <c r="N14" s="132">
        <f t="shared" si="5"/>
        <v>-0.1</v>
      </c>
      <c r="O14" s="133" t="str">
        <f t="shared" si="8"/>
        <v>지연</v>
      </c>
      <c r="P14" s="104"/>
      <c r="Q14" s="104"/>
      <c r="R14" s="104"/>
      <c r="S14" s="104"/>
      <c r="T14" s="104"/>
      <c r="U14" s="104"/>
      <c r="V14" s="94"/>
      <c r="W14" s="94" t="s">
        <v>309</v>
      </c>
      <c r="X14" s="134" t="str">
        <f t="shared" si="4"/>
        <v/>
      </c>
      <c r="Y14" s="253">
        <f>NETWORKDAYS(P14,Q14,진행현황_전체!C$59:C$77)</f>
        <v>0</v>
      </c>
      <c r="Z14" s="258"/>
      <c r="AA14" s="135">
        <f t="shared" si="9"/>
        <v>0</v>
      </c>
      <c r="AB14" s="136">
        <f t="shared" si="9"/>
        <v>0</v>
      </c>
      <c r="AC14" s="136">
        <f t="shared" si="9"/>
        <v>0</v>
      </c>
      <c r="AD14" s="136">
        <f t="shared" si="9"/>
        <v>0</v>
      </c>
      <c r="AE14" s="137">
        <f t="shared" si="9"/>
        <v>0</v>
      </c>
      <c r="AF14" s="138">
        <f t="shared" si="9"/>
        <v>0</v>
      </c>
      <c r="AG14" s="136">
        <f t="shared" si="9"/>
        <v>0</v>
      </c>
      <c r="AH14" s="136">
        <f t="shared" si="9"/>
        <v>0</v>
      </c>
      <c r="AI14" s="137">
        <f t="shared" si="9"/>
        <v>0</v>
      </c>
      <c r="AJ14" s="135">
        <f t="shared" si="9"/>
        <v>0</v>
      </c>
      <c r="AK14" s="136">
        <f t="shared" si="9"/>
        <v>0</v>
      </c>
      <c r="AL14" s="136">
        <f t="shared" si="9"/>
        <v>0</v>
      </c>
      <c r="AM14" s="137">
        <f t="shared" si="9"/>
        <v>0</v>
      </c>
      <c r="AN14" s="135">
        <f t="shared" si="9"/>
        <v>0</v>
      </c>
      <c r="AO14" s="138">
        <f t="shared" si="9"/>
        <v>0</v>
      </c>
      <c r="AP14" s="136">
        <f t="shared" si="9"/>
        <v>0</v>
      </c>
      <c r="AQ14" s="136">
        <f t="shared" si="9"/>
        <v>0</v>
      </c>
      <c r="AR14" s="194">
        <f t="shared" si="9"/>
        <v>0</v>
      </c>
      <c r="AS14" s="138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10"/>
        <v>0</v>
      </c>
      <c r="AW14" s="135">
        <f t="shared" si="10"/>
        <v>0</v>
      </c>
      <c r="AX14" s="136">
        <f t="shared" si="10"/>
        <v>0</v>
      </c>
      <c r="AY14" s="136">
        <f t="shared" si="10"/>
        <v>0</v>
      </c>
      <c r="AZ14" s="137">
        <f t="shared" si="10"/>
        <v>0</v>
      </c>
      <c r="BA14" s="135">
        <f t="shared" si="10"/>
        <v>0</v>
      </c>
      <c r="BB14" s="136">
        <f t="shared" si="10"/>
        <v>0</v>
      </c>
      <c r="BC14" s="136">
        <f t="shared" si="10"/>
        <v>0</v>
      </c>
      <c r="BD14" s="136">
        <f t="shared" si="10"/>
        <v>0</v>
      </c>
      <c r="BE14" s="137">
        <f t="shared" si="10"/>
        <v>0</v>
      </c>
      <c r="BF14" s="138">
        <f t="shared" si="10"/>
        <v>0</v>
      </c>
      <c r="BG14" s="136">
        <f t="shared" si="10"/>
        <v>0</v>
      </c>
      <c r="BH14" s="136">
        <f t="shared" si="10"/>
        <v>0</v>
      </c>
      <c r="BI14" s="137">
        <f t="shared" si="10"/>
        <v>0</v>
      </c>
      <c r="BJ14" s="135">
        <f t="shared" si="10"/>
        <v>0</v>
      </c>
      <c r="BK14" s="136">
        <f t="shared" si="10"/>
        <v>0</v>
      </c>
      <c r="BL14" s="136">
        <f t="shared" si="11"/>
        <v>0</v>
      </c>
      <c r="BM14" s="137">
        <f t="shared" si="11"/>
        <v>0</v>
      </c>
      <c r="BN14" s="138">
        <f t="shared" si="11"/>
        <v>0</v>
      </c>
      <c r="BO14" s="136">
        <f t="shared" si="11"/>
        <v>0</v>
      </c>
      <c r="BP14" s="136">
        <f t="shared" si="11"/>
        <v>0</v>
      </c>
      <c r="BQ14" s="136">
        <f t="shared" si="11"/>
        <v>0</v>
      </c>
      <c r="BR14" s="137">
        <f t="shared" si="11"/>
        <v>0</v>
      </c>
      <c r="BS14" s="138">
        <f t="shared" si="11"/>
        <v>0</v>
      </c>
      <c r="BT14" s="136">
        <f t="shared" si="11"/>
        <v>0</v>
      </c>
      <c r="BU14" s="136">
        <f t="shared" si="11"/>
        <v>0</v>
      </c>
      <c r="BV14" s="137">
        <f t="shared" si="11"/>
        <v>0</v>
      </c>
      <c r="BW14" s="138">
        <f t="shared" si="11"/>
        <v>0</v>
      </c>
      <c r="BX14" s="136">
        <f t="shared" si="11"/>
        <v>0</v>
      </c>
      <c r="BY14" s="136">
        <f t="shared" si="11"/>
        <v>0</v>
      </c>
      <c r="BZ14" s="136">
        <f t="shared" si="11"/>
        <v>0</v>
      </c>
      <c r="CA14" s="137">
        <f t="shared" si="11"/>
        <v>0</v>
      </c>
      <c r="CB14" s="138">
        <f t="shared" si="11"/>
        <v>0</v>
      </c>
      <c r="CC14" s="136">
        <f t="shared" si="11"/>
        <v>0</v>
      </c>
      <c r="CD14" s="136">
        <f t="shared" si="11"/>
        <v>0</v>
      </c>
      <c r="CE14" s="137">
        <f t="shared" si="11"/>
        <v>0</v>
      </c>
      <c r="CF14" s="135">
        <f t="shared" si="11"/>
        <v>0</v>
      </c>
      <c r="CG14" s="136">
        <f t="shared" si="11"/>
        <v>0</v>
      </c>
      <c r="CH14" s="136">
        <f t="shared" si="11"/>
        <v>0</v>
      </c>
      <c r="CI14" s="137">
        <f t="shared" si="11"/>
        <v>0</v>
      </c>
    </row>
    <row r="15" spans="1:87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12"/>
        <v>1</v>
      </c>
      <c r="K15" s="101">
        <v>0</v>
      </c>
      <c r="L15" s="132">
        <f t="shared" si="6"/>
        <v>0.1</v>
      </c>
      <c r="M15" s="132">
        <f t="shared" si="7"/>
        <v>0</v>
      </c>
      <c r="N15" s="132">
        <f t="shared" si="5"/>
        <v>-0.1</v>
      </c>
      <c r="O15" s="133" t="str">
        <f t="shared" si="8"/>
        <v>지연</v>
      </c>
      <c r="P15" s="104"/>
      <c r="Q15" s="104"/>
      <c r="R15" s="104"/>
      <c r="S15" s="104"/>
      <c r="T15" s="104"/>
      <c r="U15" s="104"/>
      <c r="V15" s="94"/>
      <c r="W15" s="94" t="s">
        <v>308</v>
      </c>
      <c r="X15" s="134" t="str">
        <f t="shared" si="4"/>
        <v/>
      </c>
      <c r="Y15" s="253">
        <f>NETWORKDAYS(P15,Q15,진행현황_전체!C$59:C$77)</f>
        <v>0</v>
      </c>
      <c r="Z15" s="258"/>
      <c r="AA15" s="135">
        <f t="shared" si="9"/>
        <v>0</v>
      </c>
      <c r="AB15" s="136">
        <f t="shared" si="9"/>
        <v>0</v>
      </c>
      <c r="AC15" s="136">
        <f t="shared" si="9"/>
        <v>0</v>
      </c>
      <c r="AD15" s="136">
        <f t="shared" si="9"/>
        <v>0</v>
      </c>
      <c r="AE15" s="137">
        <f t="shared" si="9"/>
        <v>0</v>
      </c>
      <c r="AF15" s="138">
        <f t="shared" si="9"/>
        <v>0</v>
      </c>
      <c r="AG15" s="136">
        <f t="shared" si="9"/>
        <v>0</v>
      </c>
      <c r="AH15" s="136">
        <f t="shared" si="9"/>
        <v>0</v>
      </c>
      <c r="AI15" s="137">
        <f t="shared" si="9"/>
        <v>0</v>
      </c>
      <c r="AJ15" s="135">
        <f t="shared" si="9"/>
        <v>0</v>
      </c>
      <c r="AK15" s="136">
        <f t="shared" si="9"/>
        <v>0</v>
      </c>
      <c r="AL15" s="136">
        <f t="shared" si="9"/>
        <v>0</v>
      </c>
      <c r="AM15" s="137">
        <f t="shared" si="9"/>
        <v>0</v>
      </c>
      <c r="AN15" s="135">
        <f t="shared" si="9"/>
        <v>0</v>
      </c>
      <c r="AO15" s="138">
        <f t="shared" si="9"/>
        <v>0</v>
      </c>
      <c r="AP15" s="136">
        <f t="shared" si="9"/>
        <v>0</v>
      </c>
      <c r="AQ15" s="136">
        <f t="shared" si="9"/>
        <v>0</v>
      </c>
      <c r="AR15" s="194">
        <f t="shared" si="9"/>
        <v>0</v>
      </c>
      <c r="AS15" s="138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10"/>
        <v>0</v>
      </c>
      <c r="AW15" s="135">
        <f t="shared" si="10"/>
        <v>0</v>
      </c>
      <c r="AX15" s="136">
        <f t="shared" si="10"/>
        <v>0</v>
      </c>
      <c r="AY15" s="136">
        <f t="shared" si="10"/>
        <v>0</v>
      </c>
      <c r="AZ15" s="137">
        <f t="shared" si="10"/>
        <v>0</v>
      </c>
      <c r="BA15" s="135">
        <f t="shared" si="10"/>
        <v>0</v>
      </c>
      <c r="BB15" s="136">
        <f t="shared" si="10"/>
        <v>0</v>
      </c>
      <c r="BC15" s="136">
        <f t="shared" si="10"/>
        <v>0</v>
      </c>
      <c r="BD15" s="136">
        <f t="shared" si="10"/>
        <v>0</v>
      </c>
      <c r="BE15" s="137">
        <f t="shared" si="10"/>
        <v>0</v>
      </c>
      <c r="BF15" s="138">
        <f t="shared" si="10"/>
        <v>0</v>
      </c>
      <c r="BG15" s="136">
        <f t="shared" si="10"/>
        <v>0</v>
      </c>
      <c r="BH15" s="136">
        <f t="shared" si="10"/>
        <v>0</v>
      </c>
      <c r="BI15" s="137">
        <f t="shared" si="10"/>
        <v>0</v>
      </c>
      <c r="BJ15" s="135">
        <f t="shared" si="10"/>
        <v>0</v>
      </c>
      <c r="BK15" s="136">
        <f t="shared" si="10"/>
        <v>0</v>
      </c>
      <c r="BL15" s="136">
        <f t="shared" si="11"/>
        <v>0</v>
      </c>
      <c r="BM15" s="137">
        <f t="shared" si="11"/>
        <v>0</v>
      </c>
      <c r="BN15" s="138">
        <f t="shared" si="11"/>
        <v>0</v>
      </c>
      <c r="BO15" s="136">
        <f t="shared" si="11"/>
        <v>0</v>
      </c>
      <c r="BP15" s="136">
        <f t="shared" si="11"/>
        <v>0</v>
      </c>
      <c r="BQ15" s="136">
        <f t="shared" si="11"/>
        <v>0</v>
      </c>
      <c r="BR15" s="137">
        <f t="shared" si="11"/>
        <v>0</v>
      </c>
      <c r="BS15" s="138">
        <f t="shared" si="11"/>
        <v>0</v>
      </c>
      <c r="BT15" s="136">
        <f t="shared" si="11"/>
        <v>0</v>
      </c>
      <c r="BU15" s="136">
        <f t="shared" si="11"/>
        <v>0</v>
      </c>
      <c r="BV15" s="137">
        <f t="shared" si="11"/>
        <v>0</v>
      </c>
      <c r="BW15" s="138">
        <f t="shared" si="11"/>
        <v>0</v>
      </c>
      <c r="BX15" s="136">
        <f t="shared" si="11"/>
        <v>0</v>
      </c>
      <c r="BY15" s="136">
        <f t="shared" si="11"/>
        <v>0</v>
      </c>
      <c r="BZ15" s="136">
        <f t="shared" si="11"/>
        <v>0</v>
      </c>
      <c r="CA15" s="137">
        <f t="shared" si="11"/>
        <v>0</v>
      </c>
      <c r="CB15" s="138">
        <f t="shared" si="11"/>
        <v>0</v>
      </c>
      <c r="CC15" s="136">
        <f t="shared" si="11"/>
        <v>0</v>
      </c>
      <c r="CD15" s="136">
        <f t="shared" si="11"/>
        <v>0</v>
      </c>
      <c r="CE15" s="137">
        <f t="shared" si="11"/>
        <v>0</v>
      </c>
      <c r="CF15" s="135">
        <f t="shared" si="11"/>
        <v>0</v>
      </c>
      <c r="CG15" s="136">
        <f t="shared" si="11"/>
        <v>0</v>
      </c>
      <c r="CH15" s="136">
        <f t="shared" si="11"/>
        <v>0</v>
      </c>
      <c r="CI15" s="137">
        <f t="shared" si="11"/>
        <v>0</v>
      </c>
    </row>
    <row r="16" spans="1:87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18</v>
      </c>
      <c r="J16" s="131">
        <f t="shared" si="12"/>
        <v>1</v>
      </c>
      <c r="K16" s="101">
        <v>0</v>
      </c>
      <c r="L16" s="132">
        <f t="shared" si="6"/>
        <v>0.18</v>
      </c>
      <c r="M16" s="132">
        <f t="shared" si="7"/>
        <v>0</v>
      </c>
      <c r="N16" s="132">
        <f t="shared" si="5"/>
        <v>-0.18</v>
      </c>
      <c r="O16" s="133" t="str">
        <f t="shared" si="8"/>
        <v>지연</v>
      </c>
      <c r="P16" s="104"/>
      <c r="Q16" s="104"/>
      <c r="R16" s="104"/>
      <c r="S16" s="104"/>
      <c r="T16" s="104"/>
      <c r="U16" s="104"/>
      <c r="V16" s="94"/>
      <c r="W16" s="94" t="s">
        <v>309</v>
      </c>
      <c r="X16" s="134" t="str">
        <f t="shared" si="4"/>
        <v/>
      </c>
      <c r="Y16" s="253">
        <f>NETWORKDAYS(P16,Q16,진행현황_전체!C$59:C$77)</f>
        <v>0</v>
      </c>
      <c r="Z16" s="258"/>
      <c r="AA16" s="135">
        <f t="shared" si="9"/>
        <v>0</v>
      </c>
      <c r="AB16" s="136">
        <f t="shared" si="9"/>
        <v>0</v>
      </c>
      <c r="AC16" s="136">
        <f t="shared" si="9"/>
        <v>0</v>
      </c>
      <c r="AD16" s="136">
        <f t="shared" si="9"/>
        <v>0</v>
      </c>
      <c r="AE16" s="137">
        <f t="shared" si="9"/>
        <v>0</v>
      </c>
      <c r="AF16" s="138">
        <f t="shared" si="9"/>
        <v>0</v>
      </c>
      <c r="AG16" s="136">
        <f t="shared" si="9"/>
        <v>0</v>
      </c>
      <c r="AH16" s="136">
        <f t="shared" si="9"/>
        <v>0</v>
      </c>
      <c r="AI16" s="137">
        <f t="shared" si="9"/>
        <v>0</v>
      </c>
      <c r="AJ16" s="135">
        <f t="shared" si="9"/>
        <v>0</v>
      </c>
      <c r="AK16" s="136">
        <f t="shared" si="9"/>
        <v>0</v>
      </c>
      <c r="AL16" s="136">
        <f t="shared" si="9"/>
        <v>0</v>
      </c>
      <c r="AM16" s="137">
        <f t="shared" si="9"/>
        <v>0</v>
      </c>
      <c r="AN16" s="135">
        <f t="shared" si="9"/>
        <v>0</v>
      </c>
      <c r="AO16" s="138">
        <f t="shared" si="9"/>
        <v>0</v>
      </c>
      <c r="AP16" s="136">
        <f t="shared" si="9"/>
        <v>0</v>
      </c>
      <c r="AQ16" s="136">
        <f t="shared" si="9"/>
        <v>0</v>
      </c>
      <c r="AR16" s="194">
        <f t="shared" si="9"/>
        <v>0</v>
      </c>
      <c r="AS16" s="138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10"/>
        <v>0</v>
      </c>
      <c r="AW16" s="135">
        <f t="shared" si="10"/>
        <v>0</v>
      </c>
      <c r="AX16" s="136">
        <f t="shared" si="10"/>
        <v>0</v>
      </c>
      <c r="AY16" s="136">
        <f t="shared" si="10"/>
        <v>0</v>
      </c>
      <c r="AZ16" s="137">
        <f t="shared" si="10"/>
        <v>0</v>
      </c>
      <c r="BA16" s="135">
        <f t="shared" si="10"/>
        <v>0</v>
      </c>
      <c r="BB16" s="136">
        <f t="shared" si="10"/>
        <v>0</v>
      </c>
      <c r="BC16" s="136">
        <f t="shared" si="10"/>
        <v>0</v>
      </c>
      <c r="BD16" s="136">
        <f t="shared" si="10"/>
        <v>0</v>
      </c>
      <c r="BE16" s="137">
        <f t="shared" si="10"/>
        <v>0</v>
      </c>
      <c r="BF16" s="138">
        <f t="shared" si="10"/>
        <v>0</v>
      </c>
      <c r="BG16" s="136">
        <f t="shared" si="10"/>
        <v>0</v>
      </c>
      <c r="BH16" s="136">
        <f t="shared" si="10"/>
        <v>0</v>
      </c>
      <c r="BI16" s="137">
        <f t="shared" si="10"/>
        <v>0</v>
      </c>
      <c r="BJ16" s="135">
        <f t="shared" si="10"/>
        <v>0</v>
      </c>
      <c r="BK16" s="136">
        <f t="shared" si="10"/>
        <v>0</v>
      </c>
      <c r="BL16" s="136">
        <f t="shared" si="11"/>
        <v>0</v>
      </c>
      <c r="BM16" s="137">
        <f t="shared" si="11"/>
        <v>0</v>
      </c>
      <c r="BN16" s="138">
        <f t="shared" si="11"/>
        <v>0</v>
      </c>
      <c r="BO16" s="136">
        <f t="shared" si="11"/>
        <v>0</v>
      </c>
      <c r="BP16" s="136">
        <f t="shared" si="11"/>
        <v>0</v>
      </c>
      <c r="BQ16" s="136">
        <f t="shared" si="11"/>
        <v>0</v>
      </c>
      <c r="BR16" s="137">
        <f t="shared" si="11"/>
        <v>0</v>
      </c>
      <c r="BS16" s="138">
        <f t="shared" si="11"/>
        <v>0</v>
      </c>
      <c r="BT16" s="136">
        <f t="shared" si="11"/>
        <v>0</v>
      </c>
      <c r="BU16" s="136">
        <f t="shared" si="11"/>
        <v>0</v>
      </c>
      <c r="BV16" s="137">
        <f t="shared" si="11"/>
        <v>0</v>
      </c>
      <c r="BW16" s="138">
        <f t="shared" si="11"/>
        <v>0</v>
      </c>
      <c r="BX16" s="136">
        <f t="shared" si="11"/>
        <v>0</v>
      </c>
      <c r="BY16" s="136">
        <f t="shared" si="11"/>
        <v>0</v>
      </c>
      <c r="BZ16" s="136">
        <f t="shared" si="11"/>
        <v>0</v>
      </c>
      <c r="CA16" s="137">
        <f t="shared" si="11"/>
        <v>0</v>
      </c>
      <c r="CB16" s="138">
        <f t="shared" si="11"/>
        <v>0</v>
      </c>
      <c r="CC16" s="136">
        <f t="shared" si="11"/>
        <v>0</v>
      </c>
      <c r="CD16" s="136">
        <f t="shared" si="11"/>
        <v>0</v>
      </c>
      <c r="CE16" s="137">
        <f t="shared" si="11"/>
        <v>0</v>
      </c>
      <c r="CF16" s="135">
        <f t="shared" si="11"/>
        <v>0</v>
      </c>
      <c r="CG16" s="136">
        <f t="shared" si="11"/>
        <v>0</v>
      </c>
      <c r="CH16" s="136">
        <f t="shared" si="11"/>
        <v>0</v>
      </c>
      <c r="CI16" s="137">
        <f t="shared" si="11"/>
        <v>0</v>
      </c>
    </row>
    <row r="17" spans="1:87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12"/>
        <v>1</v>
      </c>
      <c r="K17" s="101">
        <v>0</v>
      </c>
      <c r="L17" s="132">
        <f t="shared" si="6"/>
        <v>0.1</v>
      </c>
      <c r="M17" s="132">
        <f t="shared" si="7"/>
        <v>0</v>
      </c>
      <c r="N17" s="132">
        <f t="shared" si="5"/>
        <v>-0.1</v>
      </c>
      <c r="O17" s="133" t="str">
        <f t="shared" si="8"/>
        <v>지연</v>
      </c>
      <c r="P17" s="104"/>
      <c r="Q17" s="104"/>
      <c r="R17" s="104"/>
      <c r="S17" s="104"/>
      <c r="T17" s="104"/>
      <c r="U17" s="104"/>
      <c r="V17" s="94"/>
      <c r="W17" s="94" t="s">
        <v>308</v>
      </c>
      <c r="X17" s="134" t="str">
        <f t="shared" si="4"/>
        <v/>
      </c>
      <c r="Y17" s="253">
        <f>NETWORKDAYS(P17,Q17,진행현황_전체!C$59:C$77)</f>
        <v>0</v>
      </c>
      <c r="Z17" s="258"/>
      <c r="AA17" s="135">
        <f t="shared" si="9"/>
        <v>0</v>
      </c>
      <c r="AB17" s="136">
        <f t="shared" si="9"/>
        <v>0</v>
      </c>
      <c r="AC17" s="136">
        <f t="shared" si="9"/>
        <v>0</v>
      </c>
      <c r="AD17" s="136">
        <f t="shared" si="9"/>
        <v>0</v>
      </c>
      <c r="AE17" s="137">
        <f t="shared" si="9"/>
        <v>0</v>
      </c>
      <c r="AF17" s="138">
        <f t="shared" si="9"/>
        <v>0</v>
      </c>
      <c r="AG17" s="136">
        <f t="shared" si="9"/>
        <v>0</v>
      </c>
      <c r="AH17" s="136">
        <f t="shared" si="9"/>
        <v>0</v>
      </c>
      <c r="AI17" s="137">
        <f t="shared" si="9"/>
        <v>0</v>
      </c>
      <c r="AJ17" s="135">
        <f t="shared" si="9"/>
        <v>0</v>
      </c>
      <c r="AK17" s="136">
        <f t="shared" si="9"/>
        <v>0</v>
      </c>
      <c r="AL17" s="136">
        <f t="shared" si="9"/>
        <v>0</v>
      </c>
      <c r="AM17" s="137">
        <f t="shared" si="9"/>
        <v>0</v>
      </c>
      <c r="AN17" s="135">
        <f t="shared" si="9"/>
        <v>0</v>
      </c>
      <c r="AO17" s="138">
        <f t="shared" si="9"/>
        <v>0</v>
      </c>
      <c r="AP17" s="136">
        <f t="shared" si="9"/>
        <v>0</v>
      </c>
      <c r="AQ17" s="136">
        <f t="shared" si="9"/>
        <v>0</v>
      </c>
      <c r="AR17" s="194">
        <f t="shared" si="9"/>
        <v>0</v>
      </c>
      <c r="AS17" s="138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10"/>
        <v>0</v>
      </c>
      <c r="AW17" s="135">
        <f t="shared" si="10"/>
        <v>0</v>
      </c>
      <c r="AX17" s="136">
        <f t="shared" si="10"/>
        <v>0</v>
      </c>
      <c r="AY17" s="136">
        <f t="shared" si="10"/>
        <v>0</v>
      </c>
      <c r="AZ17" s="137">
        <f t="shared" si="10"/>
        <v>0</v>
      </c>
      <c r="BA17" s="135">
        <f t="shared" si="10"/>
        <v>0</v>
      </c>
      <c r="BB17" s="136">
        <f t="shared" si="10"/>
        <v>0</v>
      </c>
      <c r="BC17" s="136">
        <f t="shared" si="10"/>
        <v>0</v>
      </c>
      <c r="BD17" s="136">
        <f t="shared" si="10"/>
        <v>0</v>
      </c>
      <c r="BE17" s="137">
        <f t="shared" si="10"/>
        <v>0</v>
      </c>
      <c r="BF17" s="138">
        <f t="shared" si="10"/>
        <v>0</v>
      </c>
      <c r="BG17" s="136">
        <f t="shared" si="10"/>
        <v>0</v>
      </c>
      <c r="BH17" s="136">
        <f t="shared" si="10"/>
        <v>0</v>
      </c>
      <c r="BI17" s="137">
        <f t="shared" si="10"/>
        <v>0</v>
      </c>
      <c r="BJ17" s="135">
        <f t="shared" si="10"/>
        <v>0</v>
      </c>
      <c r="BK17" s="136">
        <f t="shared" si="10"/>
        <v>0</v>
      </c>
      <c r="BL17" s="136">
        <f t="shared" si="11"/>
        <v>0</v>
      </c>
      <c r="BM17" s="137">
        <f t="shared" si="11"/>
        <v>0</v>
      </c>
      <c r="BN17" s="138">
        <f t="shared" si="11"/>
        <v>0</v>
      </c>
      <c r="BO17" s="136">
        <f t="shared" si="11"/>
        <v>0</v>
      </c>
      <c r="BP17" s="136">
        <f t="shared" si="11"/>
        <v>0</v>
      </c>
      <c r="BQ17" s="136">
        <f t="shared" si="11"/>
        <v>0</v>
      </c>
      <c r="BR17" s="137">
        <f t="shared" si="11"/>
        <v>0</v>
      </c>
      <c r="BS17" s="138">
        <f t="shared" si="11"/>
        <v>0</v>
      </c>
      <c r="BT17" s="136">
        <f t="shared" si="11"/>
        <v>0</v>
      </c>
      <c r="BU17" s="136">
        <f t="shared" si="11"/>
        <v>0</v>
      </c>
      <c r="BV17" s="137">
        <f t="shared" si="11"/>
        <v>0</v>
      </c>
      <c r="BW17" s="138">
        <f t="shared" si="11"/>
        <v>0</v>
      </c>
      <c r="BX17" s="136">
        <f t="shared" si="11"/>
        <v>0</v>
      </c>
      <c r="BY17" s="136">
        <f t="shared" si="11"/>
        <v>0</v>
      </c>
      <c r="BZ17" s="136">
        <f t="shared" si="11"/>
        <v>0</v>
      </c>
      <c r="CA17" s="137">
        <f t="shared" si="11"/>
        <v>0</v>
      </c>
      <c r="CB17" s="138">
        <f t="shared" si="11"/>
        <v>0</v>
      </c>
      <c r="CC17" s="136">
        <f t="shared" si="11"/>
        <v>0</v>
      </c>
      <c r="CD17" s="136">
        <f t="shared" si="11"/>
        <v>0</v>
      </c>
      <c r="CE17" s="137">
        <f t="shared" si="11"/>
        <v>0</v>
      </c>
      <c r="CF17" s="135">
        <f t="shared" si="11"/>
        <v>0</v>
      </c>
      <c r="CG17" s="136">
        <f t="shared" si="11"/>
        <v>0</v>
      </c>
      <c r="CH17" s="136">
        <f t="shared" si="11"/>
        <v>0</v>
      </c>
      <c r="CI17" s="137">
        <f t="shared" si="11"/>
        <v>0</v>
      </c>
    </row>
    <row r="18" spans="1:87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15</v>
      </c>
      <c r="J18" s="131">
        <f t="shared" si="12"/>
        <v>1</v>
      </c>
      <c r="K18" s="101">
        <v>0</v>
      </c>
      <c r="L18" s="132">
        <f t="shared" si="6"/>
        <v>0.15</v>
      </c>
      <c r="M18" s="132">
        <f t="shared" si="7"/>
        <v>0</v>
      </c>
      <c r="N18" s="132">
        <f t="shared" si="5"/>
        <v>-0.15</v>
      </c>
      <c r="O18" s="133" t="str">
        <f t="shared" si="8"/>
        <v>지연</v>
      </c>
      <c r="P18" s="104"/>
      <c r="Q18" s="104"/>
      <c r="R18" s="104"/>
      <c r="S18" s="104"/>
      <c r="T18" s="104"/>
      <c r="U18" s="104"/>
      <c r="V18" s="94"/>
      <c r="W18" s="94" t="s">
        <v>309</v>
      </c>
      <c r="X18" s="134" t="str">
        <f t="shared" si="4"/>
        <v/>
      </c>
      <c r="Y18" s="253">
        <f>NETWORKDAYS(P18,Q18,진행현황_전체!C$59:C$77)</f>
        <v>0</v>
      </c>
      <c r="Z18" s="258"/>
      <c r="AA18" s="135">
        <f t="shared" si="9"/>
        <v>0</v>
      </c>
      <c r="AB18" s="136">
        <f t="shared" si="9"/>
        <v>0</v>
      </c>
      <c r="AC18" s="136">
        <f t="shared" si="9"/>
        <v>0</v>
      </c>
      <c r="AD18" s="136">
        <f t="shared" si="9"/>
        <v>0</v>
      </c>
      <c r="AE18" s="137">
        <f t="shared" si="9"/>
        <v>0</v>
      </c>
      <c r="AF18" s="138">
        <f t="shared" si="9"/>
        <v>0</v>
      </c>
      <c r="AG18" s="136">
        <f t="shared" si="9"/>
        <v>0</v>
      </c>
      <c r="AH18" s="136">
        <f t="shared" si="9"/>
        <v>0</v>
      </c>
      <c r="AI18" s="137">
        <f t="shared" si="9"/>
        <v>0</v>
      </c>
      <c r="AJ18" s="135">
        <f t="shared" si="9"/>
        <v>0</v>
      </c>
      <c r="AK18" s="136">
        <f t="shared" si="9"/>
        <v>0</v>
      </c>
      <c r="AL18" s="136">
        <f t="shared" si="9"/>
        <v>0</v>
      </c>
      <c r="AM18" s="137">
        <f t="shared" si="9"/>
        <v>0</v>
      </c>
      <c r="AN18" s="135">
        <f t="shared" si="9"/>
        <v>0</v>
      </c>
      <c r="AO18" s="138">
        <f t="shared" si="9"/>
        <v>0</v>
      </c>
      <c r="AP18" s="136">
        <f t="shared" si="9"/>
        <v>0</v>
      </c>
      <c r="AQ18" s="136">
        <f t="shared" si="9"/>
        <v>0</v>
      </c>
      <c r="AR18" s="194">
        <f t="shared" si="9"/>
        <v>0</v>
      </c>
      <c r="AS18" s="138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10"/>
        <v>0</v>
      </c>
      <c r="AW18" s="135">
        <f t="shared" si="10"/>
        <v>0</v>
      </c>
      <c r="AX18" s="136">
        <f t="shared" si="10"/>
        <v>0</v>
      </c>
      <c r="AY18" s="136">
        <f t="shared" si="10"/>
        <v>0</v>
      </c>
      <c r="AZ18" s="137">
        <f t="shared" si="10"/>
        <v>0</v>
      </c>
      <c r="BA18" s="135">
        <f t="shared" si="10"/>
        <v>0</v>
      </c>
      <c r="BB18" s="136">
        <f t="shared" si="10"/>
        <v>0</v>
      </c>
      <c r="BC18" s="136">
        <f t="shared" si="10"/>
        <v>0</v>
      </c>
      <c r="BD18" s="136">
        <f t="shared" si="10"/>
        <v>0</v>
      </c>
      <c r="BE18" s="137">
        <f t="shared" si="10"/>
        <v>0</v>
      </c>
      <c r="BF18" s="138">
        <f t="shared" si="10"/>
        <v>0</v>
      </c>
      <c r="BG18" s="136">
        <f t="shared" si="10"/>
        <v>0</v>
      </c>
      <c r="BH18" s="136">
        <f t="shared" si="10"/>
        <v>0</v>
      </c>
      <c r="BI18" s="137">
        <f t="shared" si="10"/>
        <v>0</v>
      </c>
      <c r="BJ18" s="135">
        <f t="shared" si="10"/>
        <v>0</v>
      </c>
      <c r="BK18" s="136">
        <f t="shared" si="10"/>
        <v>0</v>
      </c>
      <c r="BL18" s="136">
        <f t="shared" si="11"/>
        <v>0</v>
      </c>
      <c r="BM18" s="137">
        <f t="shared" si="11"/>
        <v>0</v>
      </c>
      <c r="BN18" s="138">
        <f t="shared" si="11"/>
        <v>0</v>
      </c>
      <c r="BO18" s="136">
        <f t="shared" si="11"/>
        <v>0</v>
      </c>
      <c r="BP18" s="136">
        <f t="shared" si="11"/>
        <v>0</v>
      </c>
      <c r="BQ18" s="136">
        <f t="shared" si="11"/>
        <v>0</v>
      </c>
      <c r="BR18" s="137">
        <f t="shared" si="11"/>
        <v>0</v>
      </c>
      <c r="BS18" s="138">
        <f t="shared" si="11"/>
        <v>0</v>
      </c>
      <c r="BT18" s="136">
        <f t="shared" si="11"/>
        <v>0</v>
      </c>
      <c r="BU18" s="136">
        <f t="shared" si="11"/>
        <v>0</v>
      </c>
      <c r="BV18" s="137">
        <f t="shared" si="11"/>
        <v>0</v>
      </c>
      <c r="BW18" s="138">
        <f t="shared" si="11"/>
        <v>0</v>
      </c>
      <c r="BX18" s="136">
        <f t="shared" si="11"/>
        <v>0</v>
      </c>
      <c r="BY18" s="136">
        <f t="shared" si="11"/>
        <v>0</v>
      </c>
      <c r="BZ18" s="136">
        <f t="shared" si="11"/>
        <v>0</v>
      </c>
      <c r="CA18" s="137">
        <f t="shared" si="11"/>
        <v>0</v>
      </c>
      <c r="CB18" s="138">
        <f t="shared" si="11"/>
        <v>0</v>
      </c>
      <c r="CC18" s="136">
        <f t="shared" si="11"/>
        <v>0</v>
      </c>
      <c r="CD18" s="136">
        <f t="shared" si="11"/>
        <v>0</v>
      </c>
      <c r="CE18" s="137">
        <f t="shared" si="11"/>
        <v>0</v>
      </c>
      <c r="CF18" s="135">
        <f t="shared" si="11"/>
        <v>0</v>
      </c>
      <c r="CG18" s="136">
        <f t="shared" si="11"/>
        <v>0</v>
      </c>
      <c r="CH18" s="136">
        <f t="shared" si="11"/>
        <v>0</v>
      </c>
      <c r="CI18" s="137">
        <f t="shared" si="11"/>
        <v>0</v>
      </c>
    </row>
    <row r="19" spans="1:87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12"/>
        <v>1</v>
      </c>
      <c r="K19" s="101">
        <v>0</v>
      </c>
      <c r="L19" s="132">
        <f t="shared" si="6"/>
        <v>0.1</v>
      </c>
      <c r="M19" s="132">
        <f t="shared" si="7"/>
        <v>0</v>
      </c>
      <c r="N19" s="132">
        <f t="shared" si="5"/>
        <v>-0.1</v>
      </c>
      <c r="O19" s="133" t="str">
        <f t="shared" si="8"/>
        <v>지연</v>
      </c>
      <c r="P19" s="104"/>
      <c r="Q19" s="104"/>
      <c r="R19" s="104"/>
      <c r="S19" s="104"/>
      <c r="T19" s="104"/>
      <c r="U19" s="104"/>
      <c r="V19" s="94"/>
      <c r="W19" s="94" t="s">
        <v>308</v>
      </c>
      <c r="X19" s="134" t="str">
        <f t="shared" si="4"/>
        <v/>
      </c>
      <c r="Y19" s="253">
        <f>NETWORKDAYS(P19,Q19,진행현황_전체!C$59:C$77)</f>
        <v>0</v>
      </c>
      <c r="Z19" s="258"/>
      <c r="AA19" s="135">
        <f t="shared" si="9"/>
        <v>0</v>
      </c>
      <c r="AB19" s="136">
        <f t="shared" si="9"/>
        <v>0</v>
      </c>
      <c r="AC19" s="136">
        <f t="shared" si="9"/>
        <v>0</v>
      </c>
      <c r="AD19" s="136">
        <f t="shared" si="9"/>
        <v>0</v>
      </c>
      <c r="AE19" s="137">
        <f t="shared" si="9"/>
        <v>0</v>
      </c>
      <c r="AF19" s="138">
        <f t="shared" si="9"/>
        <v>0</v>
      </c>
      <c r="AG19" s="136">
        <f t="shared" si="9"/>
        <v>0</v>
      </c>
      <c r="AH19" s="136">
        <f t="shared" si="9"/>
        <v>0</v>
      </c>
      <c r="AI19" s="137">
        <f t="shared" si="9"/>
        <v>0</v>
      </c>
      <c r="AJ19" s="135">
        <f t="shared" si="9"/>
        <v>0</v>
      </c>
      <c r="AK19" s="136">
        <f t="shared" si="9"/>
        <v>0</v>
      </c>
      <c r="AL19" s="136">
        <f t="shared" si="9"/>
        <v>0</v>
      </c>
      <c r="AM19" s="137">
        <f t="shared" si="9"/>
        <v>0</v>
      </c>
      <c r="AN19" s="135">
        <f t="shared" si="9"/>
        <v>0</v>
      </c>
      <c r="AO19" s="138">
        <f t="shared" si="9"/>
        <v>0</v>
      </c>
      <c r="AP19" s="136">
        <f t="shared" si="9"/>
        <v>0</v>
      </c>
      <c r="AQ19" s="136">
        <f t="shared" si="9"/>
        <v>0</v>
      </c>
      <c r="AR19" s="194">
        <f t="shared" si="9"/>
        <v>0</v>
      </c>
      <c r="AS19" s="138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10"/>
        <v>0</v>
      </c>
      <c r="AW19" s="135">
        <f t="shared" si="10"/>
        <v>0</v>
      </c>
      <c r="AX19" s="136">
        <f t="shared" si="10"/>
        <v>0</v>
      </c>
      <c r="AY19" s="136">
        <f t="shared" si="10"/>
        <v>0</v>
      </c>
      <c r="AZ19" s="137">
        <f t="shared" si="10"/>
        <v>0</v>
      </c>
      <c r="BA19" s="135">
        <f t="shared" si="10"/>
        <v>0</v>
      </c>
      <c r="BB19" s="136">
        <f t="shared" si="10"/>
        <v>0</v>
      </c>
      <c r="BC19" s="136">
        <f t="shared" si="10"/>
        <v>0</v>
      </c>
      <c r="BD19" s="136">
        <f t="shared" si="10"/>
        <v>0</v>
      </c>
      <c r="BE19" s="137">
        <f t="shared" si="10"/>
        <v>0</v>
      </c>
      <c r="BF19" s="138">
        <f t="shared" si="10"/>
        <v>0</v>
      </c>
      <c r="BG19" s="136">
        <f t="shared" si="10"/>
        <v>0</v>
      </c>
      <c r="BH19" s="136">
        <f t="shared" si="10"/>
        <v>0</v>
      </c>
      <c r="BI19" s="137">
        <f t="shared" si="10"/>
        <v>0</v>
      </c>
      <c r="BJ19" s="135">
        <f t="shared" si="10"/>
        <v>0</v>
      </c>
      <c r="BK19" s="136">
        <f t="shared" si="10"/>
        <v>0</v>
      </c>
      <c r="BL19" s="136">
        <f t="shared" si="11"/>
        <v>0</v>
      </c>
      <c r="BM19" s="137">
        <f t="shared" si="11"/>
        <v>0</v>
      </c>
      <c r="BN19" s="138">
        <f t="shared" si="11"/>
        <v>0</v>
      </c>
      <c r="BO19" s="136">
        <f t="shared" si="11"/>
        <v>0</v>
      </c>
      <c r="BP19" s="136">
        <f t="shared" si="11"/>
        <v>0</v>
      </c>
      <c r="BQ19" s="136">
        <f t="shared" si="11"/>
        <v>0</v>
      </c>
      <c r="BR19" s="137">
        <f t="shared" si="11"/>
        <v>0</v>
      </c>
      <c r="BS19" s="138">
        <f t="shared" si="11"/>
        <v>0</v>
      </c>
      <c r="BT19" s="136">
        <f t="shared" si="11"/>
        <v>0</v>
      </c>
      <c r="BU19" s="136">
        <f t="shared" si="11"/>
        <v>0</v>
      </c>
      <c r="BV19" s="137">
        <f t="shared" si="11"/>
        <v>0</v>
      </c>
      <c r="BW19" s="138">
        <f t="shared" si="11"/>
        <v>0</v>
      </c>
      <c r="BX19" s="136">
        <f t="shared" si="11"/>
        <v>0</v>
      </c>
      <c r="BY19" s="136">
        <f t="shared" si="11"/>
        <v>0</v>
      </c>
      <c r="BZ19" s="136">
        <f t="shared" si="11"/>
        <v>0</v>
      </c>
      <c r="CA19" s="137">
        <f t="shared" si="11"/>
        <v>0</v>
      </c>
      <c r="CB19" s="138">
        <f t="shared" si="11"/>
        <v>0</v>
      </c>
      <c r="CC19" s="136">
        <f t="shared" si="11"/>
        <v>0</v>
      </c>
      <c r="CD19" s="136">
        <f t="shared" si="11"/>
        <v>0</v>
      </c>
      <c r="CE19" s="137">
        <f t="shared" si="11"/>
        <v>0</v>
      </c>
      <c r="CF19" s="135">
        <f t="shared" si="11"/>
        <v>0</v>
      </c>
      <c r="CG19" s="136">
        <f t="shared" si="11"/>
        <v>0</v>
      </c>
      <c r="CH19" s="136">
        <f t="shared" si="11"/>
        <v>0</v>
      </c>
      <c r="CI19" s="137">
        <f t="shared" si="11"/>
        <v>0</v>
      </c>
    </row>
    <row r="20" spans="1:87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12"/>
        <v>1</v>
      </c>
      <c r="K20" s="101">
        <v>0</v>
      </c>
      <c r="L20" s="132">
        <f t="shared" si="6"/>
        <v>0.1</v>
      </c>
      <c r="M20" s="132">
        <f t="shared" si="7"/>
        <v>0</v>
      </c>
      <c r="N20" s="132">
        <f t="shared" si="5"/>
        <v>-0.1</v>
      </c>
      <c r="O20" s="133" t="str">
        <f t="shared" si="8"/>
        <v>지연</v>
      </c>
      <c r="P20" s="104"/>
      <c r="Q20" s="104"/>
      <c r="R20" s="104"/>
      <c r="S20" s="104"/>
      <c r="T20" s="104"/>
      <c r="U20" s="104"/>
      <c r="V20" s="94"/>
      <c r="W20" s="94" t="s">
        <v>309</v>
      </c>
      <c r="X20" s="134" t="str">
        <f t="shared" si="4"/>
        <v/>
      </c>
      <c r="Y20" s="253">
        <f>NETWORKDAYS(P20,Q20,진행현황_전체!C$59:C$77)</f>
        <v>0</v>
      </c>
      <c r="Z20" s="258"/>
      <c r="AA20" s="135">
        <f t="shared" si="9"/>
        <v>0</v>
      </c>
      <c r="AB20" s="136">
        <f t="shared" si="9"/>
        <v>0</v>
      </c>
      <c r="AC20" s="136">
        <f t="shared" si="9"/>
        <v>0</v>
      </c>
      <c r="AD20" s="136">
        <f t="shared" si="9"/>
        <v>0</v>
      </c>
      <c r="AE20" s="137">
        <f t="shared" si="9"/>
        <v>0</v>
      </c>
      <c r="AF20" s="138">
        <f t="shared" si="9"/>
        <v>0</v>
      </c>
      <c r="AG20" s="136">
        <f t="shared" si="9"/>
        <v>0</v>
      </c>
      <c r="AH20" s="136">
        <f t="shared" si="9"/>
        <v>0</v>
      </c>
      <c r="AI20" s="137">
        <f t="shared" si="9"/>
        <v>0</v>
      </c>
      <c r="AJ20" s="135">
        <f t="shared" si="9"/>
        <v>0</v>
      </c>
      <c r="AK20" s="136">
        <f t="shared" si="9"/>
        <v>0</v>
      </c>
      <c r="AL20" s="136">
        <f t="shared" si="9"/>
        <v>0</v>
      </c>
      <c r="AM20" s="137">
        <f t="shared" si="9"/>
        <v>0</v>
      </c>
      <c r="AN20" s="135">
        <f t="shared" si="9"/>
        <v>0</v>
      </c>
      <c r="AO20" s="138">
        <f t="shared" si="9"/>
        <v>0</v>
      </c>
      <c r="AP20" s="136">
        <f t="shared" si="9"/>
        <v>0</v>
      </c>
      <c r="AQ20" s="136">
        <f t="shared" si="9"/>
        <v>0</v>
      </c>
      <c r="AR20" s="194">
        <f t="shared" si="9"/>
        <v>0</v>
      </c>
      <c r="AS20" s="138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10"/>
        <v>0</v>
      </c>
      <c r="AW20" s="135">
        <f t="shared" si="10"/>
        <v>0</v>
      </c>
      <c r="AX20" s="136">
        <f t="shared" si="10"/>
        <v>0</v>
      </c>
      <c r="AY20" s="136">
        <f t="shared" si="10"/>
        <v>0</v>
      </c>
      <c r="AZ20" s="137">
        <f t="shared" si="10"/>
        <v>0</v>
      </c>
      <c r="BA20" s="135">
        <f t="shared" si="10"/>
        <v>0</v>
      </c>
      <c r="BB20" s="136">
        <f t="shared" si="10"/>
        <v>0</v>
      </c>
      <c r="BC20" s="136">
        <f t="shared" si="10"/>
        <v>0</v>
      </c>
      <c r="BD20" s="136">
        <f t="shared" si="10"/>
        <v>0</v>
      </c>
      <c r="BE20" s="137">
        <f t="shared" si="10"/>
        <v>0</v>
      </c>
      <c r="BF20" s="138">
        <f t="shared" si="10"/>
        <v>0</v>
      </c>
      <c r="BG20" s="136">
        <f t="shared" si="10"/>
        <v>0</v>
      </c>
      <c r="BH20" s="136">
        <f t="shared" si="10"/>
        <v>0</v>
      </c>
      <c r="BI20" s="137">
        <f t="shared" si="10"/>
        <v>0</v>
      </c>
      <c r="BJ20" s="135">
        <f t="shared" si="10"/>
        <v>0</v>
      </c>
      <c r="BK20" s="136">
        <f t="shared" si="10"/>
        <v>0</v>
      </c>
      <c r="BL20" s="136">
        <f t="shared" si="11"/>
        <v>0</v>
      </c>
      <c r="BM20" s="137">
        <f t="shared" si="11"/>
        <v>0</v>
      </c>
      <c r="BN20" s="138">
        <f t="shared" si="11"/>
        <v>0</v>
      </c>
      <c r="BO20" s="136">
        <f t="shared" si="11"/>
        <v>0</v>
      </c>
      <c r="BP20" s="136">
        <f t="shared" si="11"/>
        <v>0</v>
      </c>
      <c r="BQ20" s="136">
        <f t="shared" si="11"/>
        <v>0</v>
      </c>
      <c r="BR20" s="137">
        <f t="shared" si="11"/>
        <v>0</v>
      </c>
      <c r="BS20" s="138">
        <f t="shared" si="11"/>
        <v>0</v>
      </c>
      <c r="BT20" s="136">
        <f t="shared" si="11"/>
        <v>0</v>
      </c>
      <c r="BU20" s="136">
        <f t="shared" si="11"/>
        <v>0</v>
      </c>
      <c r="BV20" s="137">
        <f t="shared" si="11"/>
        <v>0</v>
      </c>
      <c r="BW20" s="138">
        <f t="shared" si="11"/>
        <v>0</v>
      </c>
      <c r="BX20" s="136">
        <f t="shared" si="11"/>
        <v>0</v>
      </c>
      <c r="BY20" s="136">
        <f t="shared" si="11"/>
        <v>0</v>
      </c>
      <c r="BZ20" s="136">
        <f t="shared" si="11"/>
        <v>0</v>
      </c>
      <c r="CA20" s="137">
        <f t="shared" si="11"/>
        <v>0</v>
      </c>
      <c r="CB20" s="138">
        <f t="shared" si="11"/>
        <v>0</v>
      </c>
      <c r="CC20" s="136">
        <f t="shared" si="11"/>
        <v>0</v>
      </c>
      <c r="CD20" s="136">
        <f t="shared" si="11"/>
        <v>0</v>
      </c>
      <c r="CE20" s="137">
        <f t="shared" si="11"/>
        <v>0</v>
      </c>
      <c r="CF20" s="135">
        <f t="shared" si="11"/>
        <v>0</v>
      </c>
      <c r="CG20" s="136">
        <f t="shared" si="11"/>
        <v>0</v>
      </c>
      <c r="CH20" s="136">
        <f t="shared" si="11"/>
        <v>0</v>
      </c>
      <c r="CI20" s="137">
        <f t="shared" si="11"/>
        <v>0</v>
      </c>
    </row>
    <row r="21" spans="1:87" ht="17.25" thickBot="1">
      <c r="A21" s="139" t="s">
        <v>76</v>
      </c>
      <c r="B21" s="114" t="str">
        <f>진행현황_01.범위명!C15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진행현황_01.범위명!C16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5"/>
        <v>-14.999999999999998</v>
      </c>
      <c r="O21" s="121"/>
      <c r="P21" s="122">
        <f>MIN(P22:P31)</f>
        <v>0</v>
      </c>
      <c r="Q21" s="122">
        <f>MAX(Q22:Q31)</f>
        <v>0</v>
      </c>
      <c r="R21" s="122"/>
      <c r="S21" s="122">
        <f>MIN(S22:S31)</f>
        <v>0</v>
      </c>
      <c r="T21" s="122">
        <f>MAX(T22:T31)</f>
        <v>0</v>
      </c>
      <c r="U21" s="122"/>
      <c r="V21" s="113"/>
      <c r="W21" s="113"/>
      <c r="X21" s="123" t="str">
        <f t="shared" si="4"/>
        <v/>
      </c>
      <c r="Y21" s="124">
        <f>NETWORKDAYS(P21,Q21,진행현황_전체!C$59:C$77)</f>
        <v>0</v>
      </c>
      <c r="Z21" s="257"/>
      <c r="AA21" s="125"/>
      <c r="AB21" s="126"/>
      <c r="AC21" s="126"/>
      <c r="AD21" s="126"/>
      <c r="AE21" s="127"/>
      <c r="AF21" s="129"/>
      <c r="AG21" s="126"/>
      <c r="AH21" s="126"/>
      <c r="AI21" s="127"/>
      <c r="AJ21" s="128"/>
      <c r="AK21" s="126"/>
      <c r="AL21" s="126"/>
      <c r="AM21" s="127"/>
      <c r="AN21" s="128"/>
      <c r="AO21" s="129"/>
      <c r="AP21" s="126"/>
      <c r="AQ21" s="126"/>
      <c r="AR21" s="193"/>
      <c r="AS21" s="129"/>
      <c r="AT21" s="126"/>
      <c r="AU21" s="126"/>
      <c r="AV21" s="127"/>
      <c r="AW21" s="128"/>
      <c r="AX21" s="126"/>
      <c r="AY21" s="126"/>
      <c r="AZ21" s="127"/>
      <c r="BA21" s="125"/>
      <c r="BB21" s="126"/>
      <c r="BC21" s="126"/>
      <c r="BD21" s="126"/>
      <c r="BE21" s="127"/>
      <c r="BF21" s="129"/>
      <c r="BG21" s="126"/>
      <c r="BH21" s="126"/>
      <c r="BI21" s="127"/>
      <c r="BJ21" s="128"/>
      <c r="BK21" s="126"/>
      <c r="BL21" s="126"/>
      <c r="BM21" s="127"/>
      <c r="BN21" s="129"/>
      <c r="BO21" s="126"/>
      <c r="BP21" s="126"/>
      <c r="BQ21" s="126"/>
      <c r="BR21" s="127"/>
      <c r="BS21" s="129"/>
      <c r="BT21" s="126"/>
      <c r="BU21" s="126"/>
      <c r="BV21" s="127"/>
      <c r="BW21" s="129"/>
      <c r="BX21" s="126"/>
      <c r="BY21" s="126"/>
      <c r="BZ21" s="126"/>
      <c r="CA21" s="127"/>
      <c r="CB21" s="129"/>
      <c r="CC21" s="126"/>
      <c r="CD21" s="126"/>
      <c r="CE21" s="127"/>
      <c r="CF21" s="128"/>
      <c r="CG21" s="126"/>
      <c r="CH21" s="126"/>
      <c r="CI21" s="127"/>
    </row>
    <row r="22" spans="1:87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3">IF(CheckDay&gt;=Q22,1,IF(CheckDay&lt;P22, 0,DAYS360(P22,CheckDay+1)/Y22))</f>
        <v>1</v>
      </c>
      <c r="K22" s="101">
        <v>0</v>
      </c>
      <c r="L22" s="132">
        <f t="shared" ref="L22:L31" si="14">I22*J22/100</f>
        <v>0.1</v>
      </c>
      <c r="M22" s="132">
        <f t="shared" ref="M22:M31" si="15">I22*K22/100</f>
        <v>0</v>
      </c>
      <c r="N22" s="132">
        <f t="shared" si="5"/>
        <v>-0.1</v>
      </c>
      <c r="O22" s="133" t="str">
        <f t="shared" ref="O22:O31" si="16">IF(AND(K22=0%,N22=0),"",IF(N22&lt;0,"지연",IF(K22=100%,"종료","진행")))</f>
        <v>지연</v>
      </c>
      <c r="P22" s="104"/>
      <c r="Q22" s="104"/>
      <c r="R22" s="104"/>
      <c r="S22" s="104"/>
      <c r="T22" s="104"/>
      <c r="U22" s="104"/>
      <c r="V22" s="94"/>
      <c r="W22" s="94"/>
      <c r="X22" s="134" t="str">
        <f t="shared" si="4"/>
        <v/>
      </c>
      <c r="Y22" s="253">
        <f>NETWORKDAYS(P22,Q22,진행현황_전체!C$59:C$77)</f>
        <v>0</v>
      </c>
      <c r="Z22" s="258"/>
      <c r="AA22" s="135">
        <f t="shared" ref="AA22:AU31" si="17">IF(OR((AND($P22&lt;=AA$7,AND($Q22&lt;=AA$8, $Q22&gt;=AA$7))),(AND(AND($P22&gt;=AA$7, $P22&lt;=AA$8),$Q22&gt;=AA$8)), AND($P22&gt;=AA$7, $Q22&lt;=AA$8), AND($P22&lt;=AA$7,$Q22&gt;=AA$8)),1,0)</f>
        <v>0</v>
      </c>
      <c r="AB22" s="136">
        <f t="shared" si="17"/>
        <v>0</v>
      </c>
      <c r="AC22" s="136">
        <f t="shared" si="17"/>
        <v>0</v>
      </c>
      <c r="AD22" s="136">
        <f t="shared" si="17"/>
        <v>0</v>
      </c>
      <c r="AE22" s="137">
        <f t="shared" si="17"/>
        <v>0</v>
      </c>
      <c r="AF22" s="138">
        <f t="shared" si="17"/>
        <v>0</v>
      </c>
      <c r="AG22" s="136">
        <f t="shared" si="17"/>
        <v>0</v>
      </c>
      <c r="AH22" s="136">
        <f t="shared" si="17"/>
        <v>0</v>
      </c>
      <c r="AI22" s="137">
        <f t="shared" si="17"/>
        <v>0</v>
      </c>
      <c r="AJ22" s="135">
        <f t="shared" si="17"/>
        <v>0</v>
      </c>
      <c r="AK22" s="136">
        <f t="shared" si="17"/>
        <v>0</v>
      </c>
      <c r="AL22" s="136">
        <f t="shared" si="17"/>
        <v>0</v>
      </c>
      <c r="AM22" s="137">
        <f t="shared" si="17"/>
        <v>0</v>
      </c>
      <c r="AN22" s="135">
        <f t="shared" si="17"/>
        <v>0</v>
      </c>
      <c r="AO22" s="138">
        <f t="shared" si="17"/>
        <v>0</v>
      </c>
      <c r="AP22" s="136">
        <f t="shared" si="17"/>
        <v>0</v>
      </c>
      <c r="AQ22" s="136">
        <f t="shared" si="17"/>
        <v>0</v>
      </c>
      <c r="AR22" s="194">
        <f t="shared" si="17"/>
        <v>0</v>
      </c>
      <c r="AS22" s="138">
        <f t="shared" si="17"/>
        <v>0</v>
      </c>
      <c r="AT22" s="136">
        <f t="shared" si="17"/>
        <v>0</v>
      </c>
      <c r="AU22" s="136">
        <f t="shared" si="17"/>
        <v>0</v>
      </c>
      <c r="AV22" s="137">
        <f t="shared" ref="AV22:BK31" si="18">IF(OR((AND($P22&lt;=AV$7,AND($Q22&lt;=AV$8, $Q22&gt;=AV$7))),(AND(AND($P22&gt;=AV$7, $P22&lt;=AV$8),$Q22&gt;=AV$8)), AND($P22&gt;=AV$7, $Q22&lt;=AV$8), AND($P22&lt;=AV$7,$Q22&gt;=AV$8)),1,0)</f>
        <v>0</v>
      </c>
      <c r="AW22" s="135">
        <f t="shared" si="18"/>
        <v>0</v>
      </c>
      <c r="AX22" s="136">
        <f t="shared" si="18"/>
        <v>0</v>
      </c>
      <c r="AY22" s="136">
        <f t="shared" si="18"/>
        <v>0</v>
      </c>
      <c r="AZ22" s="137">
        <f t="shared" si="18"/>
        <v>0</v>
      </c>
      <c r="BA22" s="135">
        <f t="shared" si="18"/>
        <v>0</v>
      </c>
      <c r="BB22" s="136">
        <f t="shared" si="18"/>
        <v>0</v>
      </c>
      <c r="BC22" s="136">
        <f t="shared" si="18"/>
        <v>0</v>
      </c>
      <c r="BD22" s="136">
        <f t="shared" si="18"/>
        <v>0</v>
      </c>
      <c r="BE22" s="137">
        <f t="shared" si="18"/>
        <v>0</v>
      </c>
      <c r="BF22" s="138">
        <f t="shared" si="18"/>
        <v>0</v>
      </c>
      <c r="BG22" s="136">
        <f t="shared" si="18"/>
        <v>0</v>
      </c>
      <c r="BH22" s="136">
        <f t="shared" si="18"/>
        <v>0</v>
      </c>
      <c r="BI22" s="137">
        <f t="shared" si="18"/>
        <v>0</v>
      </c>
      <c r="BJ22" s="135">
        <f t="shared" si="18"/>
        <v>0</v>
      </c>
      <c r="BK22" s="136">
        <f t="shared" si="18"/>
        <v>0</v>
      </c>
      <c r="BL22" s="136">
        <f t="shared" ref="BL22:CI31" si="19">IF(OR((AND($P22&lt;=BL$7,AND($Q22&lt;=BL$8, $Q22&gt;=BL$7))),(AND(AND($P22&gt;=BL$7, $P22&lt;=BL$8),$Q22&gt;=BL$8)), AND($P22&gt;=BL$7, $Q22&lt;=BL$8), AND($P22&lt;=BL$7,$Q22&gt;=BL$8)),1,0)</f>
        <v>0</v>
      </c>
      <c r="BM22" s="137">
        <f t="shared" si="19"/>
        <v>0</v>
      </c>
      <c r="BN22" s="138">
        <f t="shared" si="19"/>
        <v>0</v>
      </c>
      <c r="BO22" s="136">
        <f t="shared" si="19"/>
        <v>0</v>
      </c>
      <c r="BP22" s="136">
        <f t="shared" si="19"/>
        <v>0</v>
      </c>
      <c r="BQ22" s="136">
        <f t="shared" si="19"/>
        <v>0</v>
      </c>
      <c r="BR22" s="137">
        <f t="shared" si="19"/>
        <v>0</v>
      </c>
      <c r="BS22" s="138">
        <f t="shared" si="19"/>
        <v>0</v>
      </c>
      <c r="BT22" s="136">
        <f t="shared" si="19"/>
        <v>0</v>
      </c>
      <c r="BU22" s="136">
        <f t="shared" si="19"/>
        <v>0</v>
      </c>
      <c r="BV22" s="137">
        <f t="shared" si="19"/>
        <v>0</v>
      </c>
      <c r="BW22" s="138">
        <f t="shared" si="19"/>
        <v>0</v>
      </c>
      <c r="BX22" s="136">
        <f t="shared" si="19"/>
        <v>0</v>
      </c>
      <c r="BY22" s="136">
        <f t="shared" si="19"/>
        <v>0</v>
      </c>
      <c r="BZ22" s="136">
        <f t="shared" si="19"/>
        <v>0</v>
      </c>
      <c r="CA22" s="137">
        <f t="shared" si="19"/>
        <v>0</v>
      </c>
      <c r="CB22" s="138">
        <f t="shared" si="19"/>
        <v>0</v>
      </c>
      <c r="CC22" s="136">
        <f t="shared" si="19"/>
        <v>0</v>
      </c>
      <c r="CD22" s="136">
        <f t="shared" si="19"/>
        <v>0</v>
      </c>
      <c r="CE22" s="137">
        <f t="shared" si="19"/>
        <v>0</v>
      </c>
      <c r="CF22" s="135">
        <f t="shared" si="19"/>
        <v>0</v>
      </c>
      <c r="CG22" s="136">
        <f t="shared" si="19"/>
        <v>0</v>
      </c>
      <c r="CH22" s="136">
        <f t="shared" si="19"/>
        <v>0</v>
      </c>
      <c r="CI22" s="137">
        <f t="shared" si="19"/>
        <v>0</v>
      </c>
    </row>
    <row r="23" spans="1:87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3"/>
        <v>1</v>
      </c>
      <c r="K23" s="101">
        <v>0</v>
      </c>
      <c r="L23" s="132">
        <f t="shared" si="14"/>
        <v>0.1</v>
      </c>
      <c r="M23" s="132">
        <f t="shared" si="15"/>
        <v>0</v>
      </c>
      <c r="N23" s="132">
        <f t="shared" si="5"/>
        <v>-0.1</v>
      </c>
      <c r="O23" s="133" t="str">
        <f t="shared" si="16"/>
        <v>지연</v>
      </c>
      <c r="P23" s="104"/>
      <c r="Q23" s="104"/>
      <c r="R23" s="104"/>
      <c r="S23" s="104"/>
      <c r="T23" s="104"/>
      <c r="U23" s="104"/>
      <c r="V23" s="94"/>
      <c r="W23" s="94"/>
      <c r="X23" s="134" t="str">
        <f t="shared" si="4"/>
        <v/>
      </c>
      <c r="Y23" s="253">
        <f>NETWORKDAYS(P23,Q23,진행현황_전체!C$59:C$77)</f>
        <v>0</v>
      </c>
      <c r="Z23" s="258"/>
      <c r="AA23" s="135">
        <f t="shared" si="17"/>
        <v>0</v>
      </c>
      <c r="AB23" s="136">
        <f t="shared" si="17"/>
        <v>0</v>
      </c>
      <c r="AC23" s="136">
        <f t="shared" si="17"/>
        <v>0</v>
      </c>
      <c r="AD23" s="136">
        <f t="shared" si="17"/>
        <v>0</v>
      </c>
      <c r="AE23" s="137">
        <f t="shared" si="17"/>
        <v>0</v>
      </c>
      <c r="AF23" s="138">
        <f t="shared" si="17"/>
        <v>0</v>
      </c>
      <c r="AG23" s="136">
        <f t="shared" si="17"/>
        <v>0</v>
      </c>
      <c r="AH23" s="136">
        <f t="shared" si="17"/>
        <v>0</v>
      </c>
      <c r="AI23" s="137">
        <f t="shared" si="17"/>
        <v>0</v>
      </c>
      <c r="AJ23" s="135">
        <f t="shared" si="17"/>
        <v>0</v>
      </c>
      <c r="AK23" s="136">
        <f t="shared" si="17"/>
        <v>0</v>
      </c>
      <c r="AL23" s="136">
        <f t="shared" si="17"/>
        <v>0</v>
      </c>
      <c r="AM23" s="137">
        <f t="shared" si="17"/>
        <v>0</v>
      </c>
      <c r="AN23" s="135">
        <f t="shared" si="17"/>
        <v>0</v>
      </c>
      <c r="AO23" s="138">
        <f t="shared" si="17"/>
        <v>0</v>
      </c>
      <c r="AP23" s="136">
        <f t="shared" si="17"/>
        <v>0</v>
      </c>
      <c r="AQ23" s="136">
        <f t="shared" si="17"/>
        <v>0</v>
      </c>
      <c r="AR23" s="194">
        <f t="shared" si="17"/>
        <v>0</v>
      </c>
      <c r="AS23" s="138">
        <f t="shared" si="17"/>
        <v>0</v>
      </c>
      <c r="AT23" s="136">
        <f t="shared" si="17"/>
        <v>0</v>
      </c>
      <c r="AU23" s="136">
        <f t="shared" si="17"/>
        <v>0</v>
      </c>
      <c r="AV23" s="137">
        <f t="shared" si="18"/>
        <v>0</v>
      </c>
      <c r="AW23" s="135">
        <f t="shared" si="18"/>
        <v>0</v>
      </c>
      <c r="AX23" s="136">
        <f t="shared" si="18"/>
        <v>0</v>
      </c>
      <c r="AY23" s="136">
        <f t="shared" si="18"/>
        <v>0</v>
      </c>
      <c r="AZ23" s="137">
        <f t="shared" si="18"/>
        <v>0</v>
      </c>
      <c r="BA23" s="135">
        <f t="shared" si="18"/>
        <v>0</v>
      </c>
      <c r="BB23" s="136">
        <f t="shared" si="18"/>
        <v>0</v>
      </c>
      <c r="BC23" s="136">
        <f t="shared" si="18"/>
        <v>0</v>
      </c>
      <c r="BD23" s="136">
        <f t="shared" si="18"/>
        <v>0</v>
      </c>
      <c r="BE23" s="137">
        <f t="shared" si="18"/>
        <v>0</v>
      </c>
      <c r="BF23" s="138">
        <f t="shared" si="18"/>
        <v>0</v>
      </c>
      <c r="BG23" s="136">
        <f t="shared" si="18"/>
        <v>0</v>
      </c>
      <c r="BH23" s="136">
        <f t="shared" si="18"/>
        <v>0</v>
      </c>
      <c r="BI23" s="137">
        <f t="shared" si="18"/>
        <v>0</v>
      </c>
      <c r="BJ23" s="135">
        <f t="shared" si="18"/>
        <v>0</v>
      </c>
      <c r="BK23" s="136">
        <f t="shared" si="18"/>
        <v>0</v>
      </c>
      <c r="BL23" s="136">
        <f t="shared" si="19"/>
        <v>0</v>
      </c>
      <c r="BM23" s="137">
        <f t="shared" si="19"/>
        <v>0</v>
      </c>
      <c r="BN23" s="138">
        <f t="shared" si="19"/>
        <v>0</v>
      </c>
      <c r="BO23" s="136">
        <f t="shared" si="19"/>
        <v>0</v>
      </c>
      <c r="BP23" s="136">
        <f t="shared" si="19"/>
        <v>0</v>
      </c>
      <c r="BQ23" s="136">
        <f t="shared" si="19"/>
        <v>0</v>
      </c>
      <c r="BR23" s="137">
        <f t="shared" si="19"/>
        <v>0</v>
      </c>
      <c r="BS23" s="138">
        <f t="shared" si="19"/>
        <v>0</v>
      </c>
      <c r="BT23" s="136">
        <f t="shared" si="19"/>
        <v>0</v>
      </c>
      <c r="BU23" s="136">
        <f t="shared" si="19"/>
        <v>0</v>
      </c>
      <c r="BV23" s="137">
        <f t="shared" si="19"/>
        <v>0</v>
      </c>
      <c r="BW23" s="138">
        <f t="shared" si="19"/>
        <v>0</v>
      </c>
      <c r="BX23" s="136">
        <f t="shared" si="19"/>
        <v>0</v>
      </c>
      <c r="BY23" s="136">
        <f t="shared" si="19"/>
        <v>0</v>
      </c>
      <c r="BZ23" s="136">
        <f t="shared" si="19"/>
        <v>0</v>
      </c>
      <c r="CA23" s="137">
        <f t="shared" si="19"/>
        <v>0</v>
      </c>
      <c r="CB23" s="138">
        <f t="shared" si="19"/>
        <v>0</v>
      </c>
      <c r="CC23" s="136">
        <f t="shared" si="19"/>
        <v>0</v>
      </c>
      <c r="CD23" s="136">
        <f t="shared" si="19"/>
        <v>0</v>
      </c>
      <c r="CE23" s="137">
        <f t="shared" si="19"/>
        <v>0</v>
      </c>
      <c r="CF23" s="135">
        <f t="shared" si="19"/>
        <v>0</v>
      </c>
      <c r="CG23" s="136">
        <f t="shared" si="19"/>
        <v>0</v>
      </c>
      <c r="CH23" s="136">
        <f t="shared" si="19"/>
        <v>0</v>
      </c>
      <c r="CI23" s="137">
        <f t="shared" si="19"/>
        <v>0</v>
      </c>
    </row>
    <row r="24" spans="1:87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3"/>
        <v>1</v>
      </c>
      <c r="K24" s="101">
        <v>0</v>
      </c>
      <c r="L24" s="132">
        <f t="shared" si="14"/>
        <v>0.1</v>
      </c>
      <c r="M24" s="132">
        <f t="shared" si="15"/>
        <v>0</v>
      </c>
      <c r="N24" s="132">
        <f t="shared" si="5"/>
        <v>-0.1</v>
      </c>
      <c r="O24" s="133" t="str">
        <f t="shared" si="16"/>
        <v>지연</v>
      </c>
      <c r="P24" s="104"/>
      <c r="Q24" s="104"/>
      <c r="R24" s="104"/>
      <c r="S24" s="104"/>
      <c r="T24" s="104"/>
      <c r="U24" s="104"/>
      <c r="V24" s="94"/>
      <c r="W24" s="94"/>
      <c r="X24" s="134" t="str">
        <f t="shared" si="4"/>
        <v/>
      </c>
      <c r="Y24" s="253">
        <f>NETWORKDAYS(P24,Q24,진행현황_전체!C$59:C$77)</f>
        <v>0</v>
      </c>
      <c r="Z24" s="258"/>
      <c r="AA24" s="135">
        <f t="shared" si="17"/>
        <v>0</v>
      </c>
      <c r="AB24" s="136">
        <f t="shared" si="17"/>
        <v>0</v>
      </c>
      <c r="AC24" s="136">
        <f t="shared" si="17"/>
        <v>0</v>
      </c>
      <c r="AD24" s="136">
        <f t="shared" si="17"/>
        <v>0</v>
      </c>
      <c r="AE24" s="137">
        <f t="shared" si="17"/>
        <v>0</v>
      </c>
      <c r="AF24" s="138">
        <f t="shared" si="17"/>
        <v>0</v>
      </c>
      <c r="AG24" s="136">
        <f t="shared" si="17"/>
        <v>0</v>
      </c>
      <c r="AH24" s="136">
        <f t="shared" si="17"/>
        <v>0</v>
      </c>
      <c r="AI24" s="137">
        <f t="shared" si="17"/>
        <v>0</v>
      </c>
      <c r="AJ24" s="135">
        <f t="shared" si="17"/>
        <v>0</v>
      </c>
      <c r="AK24" s="136">
        <f t="shared" si="17"/>
        <v>0</v>
      </c>
      <c r="AL24" s="136">
        <f t="shared" si="17"/>
        <v>0</v>
      </c>
      <c r="AM24" s="137">
        <f t="shared" si="17"/>
        <v>0</v>
      </c>
      <c r="AN24" s="135">
        <f t="shared" si="17"/>
        <v>0</v>
      </c>
      <c r="AO24" s="138">
        <f t="shared" si="17"/>
        <v>0</v>
      </c>
      <c r="AP24" s="136">
        <f t="shared" si="17"/>
        <v>0</v>
      </c>
      <c r="AQ24" s="136">
        <f t="shared" si="17"/>
        <v>0</v>
      </c>
      <c r="AR24" s="194">
        <f t="shared" si="17"/>
        <v>0</v>
      </c>
      <c r="AS24" s="138">
        <f t="shared" si="17"/>
        <v>0</v>
      </c>
      <c r="AT24" s="136">
        <f t="shared" si="17"/>
        <v>0</v>
      </c>
      <c r="AU24" s="136">
        <f t="shared" si="17"/>
        <v>0</v>
      </c>
      <c r="AV24" s="137">
        <f t="shared" si="18"/>
        <v>0</v>
      </c>
      <c r="AW24" s="135">
        <f t="shared" si="18"/>
        <v>0</v>
      </c>
      <c r="AX24" s="136">
        <f t="shared" si="18"/>
        <v>0</v>
      </c>
      <c r="AY24" s="136">
        <f t="shared" si="18"/>
        <v>0</v>
      </c>
      <c r="AZ24" s="137">
        <f t="shared" si="18"/>
        <v>0</v>
      </c>
      <c r="BA24" s="135">
        <f t="shared" si="18"/>
        <v>0</v>
      </c>
      <c r="BB24" s="136">
        <f t="shared" si="18"/>
        <v>0</v>
      </c>
      <c r="BC24" s="136">
        <f t="shared" si="18"/>
        <v>0</v>
      </c>
      <c r="BD24" s="136">
        <f t="shared" si="18"/>
        <v>0</v>
      </c>
      <c r="BE24" s="137">
        <f t="shared" si="18"/>
        <v>0</v>
      </c>
      <c r="BF24" s="138">
        <f t="shared" si="18"/>
        <v>0</v>
      </c>
      <c r="BG24" s="136">
        <f t="shared" si="18"/>
        <v>0</v>
      </c>
      <c r="BH24" s="136">
        <f t="shared" si="18"/>
        <v>0</v>
      </c>
      <c r="BI24" s="137">
        <f t="shared" si="18"/>
        <v>0</v>
      </c>
      <c r="BJ24" s="135">
        <f t="shared" si="18"/>
        <v>0</v>
      </c>
      <c r="BK24" s="136">
        <f t="shared" si="18"/>
        <v>0</v>
      </c>
      <c r="BL24" s="136">
        <f t="shared" si="19"/>
        <v>0</v>
      </c>
      <c r="BM24" s="137">
        <f t="shared" si="19"/>
        <v>0</v>
      </c>
      <c r="BN24" s="138">
        <f t="shared" si="19"/>
        <v>0</v>
      </c>
      <c r="BO24" s="136">
        <f t="shared" si="19"/>
        <v>0</v>
      </c>
      <c r="BP24" s="136">
        <f t="shared" si="19"/>
        <v>0</v>
      </c>
      <c r="BQ24" s="136">
        <f t="shared" si="19"/>
        <v>0</v>
      </c>
      <c r="BR24" s="137">
        <f t="shared" si="19"/>
        <v>0</v>
      </c>
      <c r="BS24" s="138">
        <f t="shared" si="19"/>
        <v>0</v>
      </c>
      <c r="BT24" s="136">
        <f t="shared" si="19"/>
        <v>0</v>
      </c>
      <c r="BU24" s="136">
        <f t="shared" si="19"/>
        <v>0</v>
      </c>
      <c r="BV24" s="137">
        <f t="shared" si="19"/>
        <v>0</v>
      </c>
      <c r="BW24" s="138">
        <f t="shared" si="19"/>
        <v>0</v>
      </c>
      <c r="BX24" s="136">
        <f t="shared" si="19"/>
        <v>0</v>
      </c>
      <c r="BY24" s="136">
        <f t="shared" si="19"/>
        <v>0</v>
      </c>
      <c r="BZ24" s="136">
        <f t="shared" si="19"/>
        <v>0</v>
      </c>
      <c r="CA24" s="137">
        <f t="shared" si="19"/>
        <v>0</v>
      </c>
      <c r="CB24" s="138">
        <f t="shared" si="19"/>
        <v>0</v>
      </c>
      <c r="CC24" s="136">
        <f t="shared" si="19"/>
        <v>0</v>
      </c>
      <c r="CD24" s="136">
        <f t="shared" si="19"/>
        <v>0</v>
      </c>
      <c r="CE24" s="137">
        <f t="shared" si="19"/>
        <v>0</v>
      </c>
      <c r="CF24" s="135">
        <f t="shared" si="19"/>
        <v>0</v>
      </c>
      <c r="CG24" s="136">
        <f t="shared" si="19"/>
        <v>0</v>
      </c>
      <c r="CH24" s="136">
        <f t="shared" si="19"/>
        <v>0</v>
      </c>
      <c r="CI24" s="137">
        <f t="shared" si="19"/>
        <v>0</v>
      </c>
    </row>
    <row r="25" spans="1:87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3"/>
        <v>1</v>
      </c>
      <c r="K25" s="101">
        <v>0</v>
      </c>
      <c r="L25" s="132">
        <f t="shared" si="14"/>
        <v>0.1</v>
      </c>
      <c r="M25" s="132">
        <f t="shared" si="15"/>
        <v>0</v>
      </c>
      <c r="N25" s="132">
        <f t="shared" si="5"/>
        <v>-0.1</v>
      </c>
      <c r="O25" s="133" t="str">
        <f t="shared" si="16"/>
        <v>지연</v>
      </c>
      <c r="P25" s="104"/>
      <c r="Q25" s="104"/>
      <c r="R25" s="104"/>
      <c r="S25" s="104"/>
      <c r="T25" s="104"/>
      <c r="U25" s="104"/>
      <c r="V25" s="94"/>
      <c r="W25" s="94"/>
      <c r="X25" s="134" t="str">
        <f t="shared" si="4"/>
        <v/>
      </c>
      <c r="Y25" s="253">
        <f>NETWORKDAYS(P25,Q25,진행현황_전체!C$59:C$77)</f>
        <v>0</v>
      </c>
      <c r="Z25" s="258"/>
      <c r="AA25" s="135">
        <f t="shared" si="17"/>
        <v>0</v>
      </c>
      <c r="AB25" s="136">
        <f t="shared" si="17"/>
        <v>0</v>
      </c>
      <c r="AC25" s="136">
        <f t="shared" si="17"/>
        <v>0</v>
      </c>
      <c r="AD25" s="136">
        <f t="shared" si="17"/>
        <v>0</v>
      </c>
      <c r="AE25" s="137">
        <f t="shared" si="17"/>
        <v>0</v>
      </c>
      <c r="AF25" s="138">
        <f t="shared" si="17"/>
        <v>0</v>
      </c>
      <c r="AG25" s="136">
        <f t="shared" si="17"/>
        <v>0</v>
      </c>
      <c r="AH25" s="136">
        <f t="shared" si="17"/>
        <v>0</v>
      </c>
      <c r="AI25" s="137">
        <f t="shared" si="17"/>
        <v>0</v>
      </c>
      <c r="AJ25" s="135">
        <f t="shared" si="17"/>
        <v>0</v>
      </c>
      <c r="AK25" s="136">
        <f t="shared" si="17"/>
        <v>0</v>
      </c>
      <c r="AL25" s="136">
        <f t="shared" si="17"/>
        <v>0</v>
      </c>
      <c r="AM25" s="137">
        <f t="shared" si="17"/>
        <v>0</v>
      </c>
      <c r="AN25" s="135">
        <f t="shared" si="17"/>
        <v>0</v>
      </c>
      <c r="AO25" s="138">
        <f t="shared" si="17"/>
        <v>0</v>
      </c>
      <c r="AP25" s="136">
        <f t="shared" si="17"/>
        <v>0</v>
      </c>
      <c r="AQ25" s="136">
        <f t="shared" si="17"/>
        <v>0</v>
      </c>
      <c r="AR25" s="194">
        <f t="shared" si="17"/>
        <v>0</v>
      </c>
      <c r="AS25" s="138">
        <f t="shared" si="17"/>
        <v>0</v>
      </c>
      <c r="AT25" s="136">
        <f t="shared" si="17"/>
        <v>0</v>
      </c>
      <c r="AU25" s="136">
        <f t="shared" si="17"/>
        <v>0</v>
      </c>
      <c r="AV25" s="137">
        <f t="shared" si="18"/>
        <v>0</v>
      </c>
      <c r="AW25" s="135">
        <f t="shared" si="18"/>
        <v>0</v>
      </c>
      <c r="AX25" s="136">
        <f t="shared" si="18"/>
        <v>0</v>
      </c>
      <c r="AY25" s="136">
        <f t="shared" si="18"/>
        <v>0</v>
      </c>
      <c r="AZ25" s="137">
        <f t="shared" si="18"/>
        <v>0</v>
      </c>
      <c r="BA25" s="135">
        <f t="shared" si="18"/>
        <v>0</v>
      </c>
      <c r="BB25" s="136">
        <f t="shared" si="18"/>
        <v>0</v>
      </c>
      <c r="BC25" s="136">
        <f t="shared" si="18"/>
        <v>0</v>
      </c>
      <c r="BD25" s="136">
        <f t="shared" si="18"/>
        <v>0</v>
      </c>
      <c r="BE25" s="137">
        <f t="shared" si="18"/>
        <v>0</v>
      </c>
      <c r="BF25" s="138">
        <f t="shared" si="18"/>
        <v>0</v>
      </c>
      <c r="BG25" s="136">
        <f t="shared" si="18"/>
        <v>0</v>
      </c>
      <c r="BH25" s="136">
        <f t="shared" si="18"/>
        <v>0</v>
      </c>
      <c r="BI25" s="137">
        <f t="shared" si="18"/>
        <v>0</v>
      </c>
      <c r="BJ25" s="135">
        <f t="shared" si="18"/>
        <v>0</v>
      </c>
      <c r="BK25" s="136">
        <f t="shared" si="18"/>
        <v>0</v>
      </c>
      <c r="BL25" s="136">
        <f t="shared" si="19"/>
        <v>0</v>
      </c>
      <c r="BM25" s="137">
        <f t="shared" si="19"/>
        <v>0</v>
      </c>
      <c r="BN25" s="138">
        <f t="shared" si="19"/>
        <v>0</v>
      </c>
      <c r="BO25" s="136">
        <f t="shared" si="19"/>
        <v>0</v>
      </c>
      <c r="BP25" s="136">
        <f t="shared" si="19"/>
        <v>0</v>
      </c>
      <c r="BQ25" s="136">
        <f t="shared" si="19"/>
        <v>0</v>
      </c>
      <c r="BR25" s="137">
        <f t="shared" si="19"/>
        <v>0</v>
      </c>
      <c r="BS25" s="138">
        <f t="shared" si="19"/>
        <v>0</v>
      </c>
      <c r="BT25" s="136">
        <f t="shared" si="19"/>
        <v>0</v>
      </c>
      <c r="BU25" s="136">
        <f t="shared" si="19"/>
        <v>0</v>
      </c>
      <c r="BV25" s="137">
        <f t="shared" si="19"/>
        <v>0</v>
      </c>
      <c r="BW25" s="138">
        <f t="shared" si="19"/>
        <v>0</v>
      </c>
      <c r="BX25" s="136">
        <f t="shared" si="19"/>
        <v>0</v>
      </c>
      <c r="BY25" s="136">
        <f t="shared" si="19"/>
        <v>0</v>
      </c>
      <c r="BZ25" s="136">
        <f t="shared" si="19"/>
        <v>0</v>
      </c>
      <c r="CA25" s="137">
        <f t="shared" si="19"/>
        <v>0</v>
      </c>
      <c r="CB25" s="138">
        <f t="shared" si="19"/>
        <v>0</v>
      </c>
      <c r="CC25" s="136">
        <f t="shared" si="19"/>
        <v>0</v>
      </c>
      <c r="CD25" s="136">
        <f t="shared" si="19"/>
        <v>0</v>
      </c>
      <c r="CE25" s="137">
        <f t="shared" si="19"/>
        <v>0</v>
      </c>
      <c r="CF25" s="135">
        <f t="shared" si="19"/>
        <v>0</v>
      </c>
      <c r="CG25" s="136">
        <f t="shared" si="19"/>
        <v>0</v>
      </c>
      <c r="CH25" s="136">
        <f t="shared" si="19"/>
        <v>0</v>
      </c>
      <c r="CI25" s="137">
        <f t="shared" si="19"/>
        <v>0</v>
      </c>
    </row>
    <row r="26" spans="1:87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3"/>
        <v>1</v>
      </c>
      <c r="K26" s="101">
        <v>0</v>
      </c>
      <c r="L26" s="132">
        <f t="shared" si="14"/>
        <v>0.1</v>
      </c>
      <c r="M26" s="132">
        <f t="shared" si="15"/>
        <v>0</v>
      </c>
      <c r="N26" s="132">
        <f t="shared" si="5"/>
        <v>-0.1</v>
      </c>
      <c r="O26" s="133" t="str">
        <f t="shared" si="16"/>
        <v>지연</v>
      </c>
      <c r="P26" s="104"/>
      <c r="Q26" s="104"/>
      <c r="R26" s="104"/>
      <c r="S26" s="104"/>
      <c r="T26" s="104"/>
      <c r="U26" s="104"/>
      <c r="V26" s="94"/>
      <c r="W26" s="94"/>
      <c r="X26" s="134" t="str">
        <f t="shared" si="4"/>
        <v/>
      </c>
      <c r="Y26" s="253">
        <f>NETWORKDAYS(P26,Q26,진행현황_전체!C$59:C$77)</f>
        <v>0</v>
      </c>
      <c r="Z26" s="258"/>
      <c r="AA26" s="135">
        <f t="shared" si="17"/>
        <v>0</v>
      </c>
      <c r="AB26" s="136">
        <f t="shared" si="17"/>
        <v>0</v>
      </c>
      <c r="AC26" s="136">
        <f t="shared" si="17"/>
        <v>0</v>
      </c>
      <c r="AD26" s="136">
        <f t="shared" si="17"/>
        <v>0</v>
      </c>
      <c r="AE26" s="137">
        <f t="shared" si="17"/>
        <v>0</v>
      </c>
      <c r="AF26" s="138">
        <f t="shared" si="17"/>
        <v>0</v>
      </c>
      <c r="AG26" s="136">
        <f t="shared" si="17"/>
        <v>0</v>
      </c>
      <c r="AH26" s="136">
        <f t="shared" si="17"/>
        <v>0</v>
      </c>
      <c r="AI26" s="137">
        <f t="shared" si="17"/>
        <v>0</v>
      </c>
      <c r="AJ26" s="135">
        <f t="shared" si="17"/>
        <v>0</v>
      </c>
      <c r="AK26" s="136">
        <f t="shared" si="17"/>
        <v>0</v>
      </c>
      <c r="AL26" s="136">
        <f t="shared" si="17"/>
        <v>0</v>
      </c>
      <c r="AM26" s="137">
        <f t="shared" si="17"/>
        <v>0</v>
      </c>
      <c r="AN26" s="135">
        <f t="shared" si="17"/>
        <v>0</v>
      </c>
      <c r="AO26" s="138">
        <f t="shared" si="17"/>
        <v>0</v>
      </c>
      <c r="AP26" s="136">
        <f t="shared" si="17"/>
        <v>0</v>
      </c>
      <c r="AQ26" s="136">
        <f t="shared" si="17"/>
        <v>0</v>
      </c>
      <c r="AR26" s="194">
        <f t="shared" si="17"/>
        <v>0</v>
      </c>
      <c r="AS26" s="138">
        <f t="shared" si="17"/>
        <v>0</v>
      </c>
      <c r="AT26" s="136">
        <f t="shared" si="17"/>
        <v>0</v>
      </c>
      <c r="AU26" s="136">
        <f t="shared" si="17"/>
        <v>0</v>
      </c>
      <c r="AV26" s="137">
        <f t="shared" si="18"/>
        <v>0</v>
      </c>
      <c r="AW26" s="135">
        <f t="shared" si="18"/>
        <v>0</v>
      </c>
      <c r="AX26" s="136">
        <f t="shared" si="18"/>
        <v>0</v>
      </c>
      <c r="AY26" s="136">
        <f t="shared" si="18"/>
        <v>0</v>
      </c>
      <c r="AZ26" s="137">
        <f t="shared" si="18"/>
        <v>0</v>
      </c>
      <c r="BA26" s="135">
        <f t="shared" si="18"/>
        <v>0</v>
      </c>
      <c r="BB26" s="136">
        <f t="shared" si="18"/>
        <v>0</v>
      </c>
      <c r="BC26" s="136">
        <f t="shared" si="18"/>
        <v>0</v>
      </c>
      <c r="BD26" s="136">
        <f t="shared" si="18"/>
        <v>0</v>
      </c>
      <c r="BE26" s="137">
        <f t="shared" si="18"/>
        <v>0</v>
      </c>
      <c r="BF26" s="138">
        <f t="shared" si="18"/>
        <v>0</v>
      </c>
      <c r="BG26" s="136">
        <f t="shared" si="18"/>
        <v>0</v>
      </c>
      <c r="BH26" s="136">
        <f t="shared" si="18"/>
        <v>0</v>
      </c>
      <c r="BI26" s="137">
        <f t="shared" si="18"/>
        <v>0</v>
      </c>
      <c r="BJ26" s="135">
        <f t="shared" si="18"/>
        <v>0</v>
      </c>
      <c r="BK26" s="136">
        <f t="shared" si="18"/>
        <v>0</v>
      </c>
      <c r="BL26" s="136">
        <f t="shared" si="19"/>
        <v>0</v>
      </c>
      <c r="BM26" s="137">
        <f t="shared" si="19"/>
        <v>0</v>
      </c>
      <c r="BN26" s="138">
        <f t="shared" si="19"/>
        <v>0</v>
      </c>
      <c r="BO26" s="136">
        <f t="shared" si="19"/>
        <v>0</v>
      </c>
      <c r="BP26" s="136">
        <f t="shared" si="19"/>
        <v>0</v>
      </c>
      <c r="BQ26" s="136">
        <f t="shared" si="19"/>
        <v>0</v>
      </c>
      <c r="BR26" s="137">
        <f t="shared" si="19"/>
        <v>0</v>
      </c>
      <c r="BS26" s="138">
        <f t="shared" si="19"/>
        <v>0</v>
      </c>
      <c r="BT26" s="136">
        <f t="shared" si="19"/>
        <v>0</v>
      </c>
      <c r="BU26" s="136">
        <f t="shared" si="19"/>
        <v>0</v>
      </c>
      <c r="BV26" s="137">
        <f t="shared" si="19"/>
        <v>0</v>
      </c>
      <c r="BW26" s="138">
        <f t="shared" si="19"/>
        <v>0</v>
      </c>
      <c r="BX26" s="136">
        <f t="shared" si="19"/>
        <v>0</v>
      </c>
      <c r="BY26" s="136">
        <f t="shared" si="19"/>
        <v>0</v>
      </c>
      <c r="BZ26" s="136">
        <f t="shared" si="19"/>
        <v>0</v>
      </c>
      <c r="CA26" s="137">
        <f t="shared" si="19"/>
        <v>0</v>
      </c>
      <c r="CB26" s="138">
        <f t="shared" si="19"/>
        <v>0</v>
      </c>
      <c r="CC26" s="136">
        <f t="shared" si="19"/>
        <v>0</v>
      </c>
      <c r="CD26" s="136">
        <f t="shared" si="19"/>
        <v>0</v>
      </c>
      <c r="CE26" s="137">
        <f t="shared" si="19"/>
        <v>0</v>
      </c>
      <c r="CF26" s="135">
        <f t="shared" si="19"/>
        <v>0</v>
      </c>
      <c r="CG26" s="136">
        <f t="shared" si="19"/>
        <v>0</v>
      </c>
      <c r="CH26" s="136">
        <f t="shared" si="19"/>
        <v>0</v>
      </c>
      <c r="CI26" s="137">
        <f t="shared" si="19"/>
        <v>0</v>
      </c>
    </row>
    <row r="27" spans="1:87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3"/>
        <v>1</v>
      </c>
      <c r="K27" s="101">
        <v>0</v>
      </c>
      <c r="L27" s="132">
        <f t="shared" si="14"/>
        <v>0.1</v>
      </c>
      <c r="M27" s="132">
        <f t="shared" si="15"/>
        <v>0</v>
      </c>
      <c r="N27" s="132">
        <f t="shared" si="5"/>
        <v>-0.1</v>
      </c>
      <c r="O27" s="133" t="str">
        <f t="shared" si="16"/>
        <v>지연</v>
      </c>
      <c r="P27" s="104"/>
      <c r="Q27" s="104"/>
      <c r="R27" s="104"/>
      <c r="S27" s="104"/>
      <c r="T27" s="104"/>
      <c r="U27" s="104"/>
      <c r="V27" s="94"/>
      <c r="W27" s="94"/>
      <c r="X27" s="134" t="str">
        <f t="shared" si="4"/>
        <v/>
      </c>
      <c r="Y27" s="253">
        <f>NETWORKDAYS(P27,Q27,진행현황_전체!C$59:C$77)</f>
        <v>0</v>
      </c>
      <c r="Z27" s="258"/>
      <c r="AA27" s="135">
        <f t="shared" si="17"/>
        <v>0</v>
      </c>
      <c r="AB27" s="136">
        <f t="shared" si="17"/>
        <v>0</v>
      </c>
      <c r="AC27" s="136">
        <f t="shared" si="17"/>
        <v>0</v>
      </c>
      <c r="AD27" s="136">
        <f t="shared" si="17"/>
        <v>0</v>
      </c>
      <c r="AE27" s="137">
        <f t="shared" si="17"/>
        <v>0</v>
      </c>
      <c r="AF27" s="138">
        <f t="shared" si="17"/>
        <v>0</v>
      </c>
      <c r="AG27" s="136">
        <f t="shared" si="17"/>
        <v>0</v>
      </c>
      <c r="AH27" s="136">
        <f t="shared" si="17"/>
        <v>0</v>
      </c>
      <c r="AI27" s="137">
        <f t="shared" si="17"/>
        <v>0</v>
      </c>
      <c r="AJ27" s="135">
        <f t="shared" si="17"/>
        <v>0</v>
      </c>
      <c r="AK27" s="136">
        <f t="shared" si="17"/>
        <v>0</v>
      </c>
      <c r="AL27" s="136">
        <f t="shared" si="17"/>
        <v>0</v>
      </c>
      <c r="AM27" s="137">
        <f t="shared" si="17"/>
        <v>0</v>
      </c>
      <c r="AN27" s="135">
        <f t="shared" si="17"/>
        <v>0</v>
      </c>
      <c r="AO27" s="138">
        <f t="shared" si="17"/>
        <v>0</v>
      </c>
      <c r="AP27" s="136">
        <f t="shared" si="17"/>
        <v>0</v>
      </c>
      <c r="AQ27" s="136">
        <f t="shared" si="17"/>
        <v>0</v>
      </c>
      <c r="AR27" s="194">
        <f t="shared" si="17"/>
        <v>0</v>
      </c>
      <c r="AS27" s="138">
        <f t="shared" si="17"/>
        <v>0</v>
      </c>
      <c r="AT27" s="136">
        <f t="shared" si="17"/>
        <v>0</v>
      </c>
      <c r="AU27" s="136">
        <f t="shared" si="17"/>
        <v>0</v>
      </c>
      <c r="AV27" s="137">
        <f t="shared" si="18"/>
        <v>0</v>
      </c>
      <c r="AW27" s="135">
        <f t="shared" si="18"/>
        <v>0</v>
      </c>
      <c r="AX27" s="136">
        <f t="shared" si="18"/>
        <v>0</v>
      </c>
      <c r="AY27" s="136">
        <f t="shared" si="18"/>
        <v>0</v>
      </c>
      <c r="AZ27" s="137">
        <f t="shared" si="18"/>
        <v>0</v>
      </c>
      <c r="BA27" s="135">
        <f t="shared" si="18"/>
        <v>0</v>
      </c>
      <c r="BB27" s="136">
        <f t="shared" si="18"/>
        <v>0</v>
      </c>
      <c r="BC27" s="136">
        <f t="shared" si="18"/>
        <v>0</v>
      </c>
      <c r="BD27" s="136">
        <f t="shared" si="18"/>
        <v>0</v>
      </c>
      <c r="BE27" s="137">
        <f t="shared" si="18"/>
        <v>0</v>
      </c>
      <c r="BF27" s="138">
        <f t="shared" si="18"/>
        <v>0</v>
      </c>
      <c r="BG27" s="136">
        <f t="shared" si="18"/>
        <v>0</v>
      </c>
      <c r="BH27" s="136">
        <f t="shared" si="18"/>
        <v>0</v>
      </c>
      <c r="BI27" s="137">
        <f t="shared" si="18"/>
        <v>0</v>
      </c>
      <c r="BJ27" s="135">
        <f t="shared" si="18"/>
        <v>0</v>
      </c>
      <c r="BK27" s="136">
        <f t="shared" si="18"/>
        <v>0</v>
      </c>
      <c r="BL27" s="136">
        <f t="shared" si="19"/>
        <v>0</v>
      </c>
      <c r="BM27" s="137">
        <f t="shared" si="19"/>
        <v>0</v>
      </c>
      <c r="BN27" s="138">
        <f t="shared" si="19"/>
        <v>0</v>
      </c>
      <c r="BO27" s="136">
        <f t="shared" si="19"/>
        <v>0</v>
      </c>
      <c r="BP27" s="136">
        <f t="shared" si="19"/>
        <v>0</v>
      </c>
      <c r="BQ27" s="136">
        <f t="shared" si="19"/>
        <v>0</v>
      </c>
      <c r="BR27" s="137">
        <f t="shared" si="19"/>
        <v>0</v>
      </c>
      <c r="BS27" s="138">
        <f t="shared" si="19"/>
        <v>0</v>
      </c>
      <c r="BT27" s="136">
        <f t="shared" si="19"/>
        <v>0</v>
      </c>
      <c r="BU27" s="136">
        <f t="shared" si="19"/>
        <v>0</v>
      </c>
      <c r="BV27" s="137">
        <f t="shared" si="19"/>
        <v>0</v>
      </c>
      <c r="BW27" s="138">
        <f t="shared" si="19"/>
        <v>0</v>
      </c>
      <c r="BX27" s="136">
        <f t="shared" si="19"/>
        <v>0</v>
      </c>
      <c r="BY27" s="136">
        <f t="shared" si="19"/>
        <v>0</v>
      </c>
      <c r="BZ27" s="136">
        <f t="shared" si="19"/>
        <v>0</v>
      </c>
      <c r="CA27" s="137">
        <f t="shared" si="19"/>
        <v>0</v>
      </c>
      <c r="CB27" s="138">
        <f t="shared" si="19"/>
        <v>0</v>
      </c>
      <c r="CC27" s="136">
        <f t="shared" si="19"/>
        <v>0</v>
      </c>
      <c r="CD27" s="136">
        <f t="shared" si="19"/>
        <v>0</v>
      </c>
      <c r="CE27" s="137">
        <f t="shared" si="19"/>
        <v>0</v>
      </c>
      <c r="CF27" s="135">
        <f t="shared" si="19"/>
        <v>0</v>
      </c>
      <c r="CG27" s="136">
        <f t="shared" si="19"/>
        <v>0</v>
      </c>
      <c r="CH27" s="136">
        <f t="shared" si="19"/>
        <v>0</v>
      </c>
      <c r="CI27" s="137">
        <f t="shared" si="19"/>
        <v>0</v>
      </c>
    </row>
    <row r="28" spans="1:87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3"/>
        <v>1</v>
      </c>
      <c r="K28" s="101">
        <v>0</v>
      </c>
      <c r="L28" s="132">
        <f t="shared" si="14"/>
        <v>0.1</v>
      </c>
      <c r="M28" s="132">
        <f t="shared" si="15"/>
        <v>0</v>
      </c>
      <c r="N28" s="132">
        <f t="shared" si="5"/>
        <v>-0.1</v>
      </c>
      <c r="O28" s="133" t="str">
        <f t="shared" si="16"/>
        <v>지연</v>
      </c>
      <c r="P28" s="104"/>
      <c r="Q28" s="104"/>
      <c r="R28" s="104"/>
      <c r="S28" s="104"/>
      <c r="T28" s="104"/>
      <c r="U28" s="104"/>
      <c r="V28" s="94"/>
      <c r="W28" s="94"/>
      <c r="X28" s="134" t="str">
        <f t="shared" si="4"/>
        <v/>
      </c>
      <c r="Y28" s="253">
        <f>NETWORKDAYS(P28,Q28,진행현황_전체!C$59:C$77)</f>
        <v>0</v>
      </c>
      <c r="Z28" s="258"/>
      <c r="AA28" s="135">
        <f t="shared" si="17"/>
        <v>0</v>
      </c>
      <c r="AB28" s="136">
        <f t="shared" si="17"/>
        <v>0</v>
      </c>
      <c r="AC28" s="136">
        <f t="shared" si="17"/>
        <v>0</v>
      </c>
      <c r="AD28" s="136">
        <f t="shared" si="17"/>
        <v>0</v>
      </c>
      <c r="AE28" s="137">
        <f t="shared" si="17"/>
        <v>0</v>
      </c>
      <c r="AF28" s="138">
        <f t="shared" si="17"/>
        <v>0</v>
      </c>
      <c r="AG28" s="136">
        <f t="shared" si="17"/>
        <v>0</v>
      </c>
      <c r="AH28" s="136">
        <f t="shared" si="17"/>
        <v>0</v>
      </c>
      <c r="AI28" s="137">
        <f t="shared" si="17"/>
        <v>0</v>
      </c>
      <c r="AJ28" s="135">
        <f t="shared" si="17"/>
        <v>0</v>
      </c>
      <c r="AK28" s="136">
        <f t="shared" si="17"/>
        <v>0</v>
      </c>
      <c r="AL28" s="136">
        <f t="shared" si="17"/>
        <v>0</v>
      </c>
      <c r="AM28" s="137">
        <f t="shared" si="17"/>
        <v>0</v>
      </c>
      <c r="AN28" s="135">
        <f t="shared" si="17"/>
        <v>0</v>
      </c>
      <c r="AO28" s="138">
        <f t="shared" si="17"/>
        <v>0</v>
      </c>
      <c r="AP28" s="136">
        <f t="shared" si="17"/>
        <v>0</v>
      </c>
      <c r="AQ28" s="136">
        <f t="shared" si="17"/>
        <v>0</v>
      </c>
      <c r="AR28" s="194">
        <f t="shared" si="17"/>
        <v>0</v>
      </c>
      <c r="AS28" s="138">
        <f t="shared" si="17"/>
        <v>0</v>
      </c>
      <c r="AT28" s="136">
        <f t="shared" si="17"/>
        <v>0</v>
      </c>
      <c r="AU28" s="136">
        <f t="shared" si="17"/>
        <v>0</v>
      </c>
      <c r="AV28" s="137">
        <f t="shared" si="18"/>
        <v>0</v>
      </c>
      <c r="AW28" s="135">
        <f t="shared" si="18"/>
        <v>0</v>
      </c>
      <c r="AX28" s="136">
        <f t="shared" si="18"/>
        <v>0</v>
      </c>
      <c r="AY28" s="136">
        <f t="shared" si="18"/>
        <v>0</v>
      </c>
      <c r="AZ28" s="137">
        <f t="shared" si="18"/>
        <v>0</v>
      </c>
      <c r="BA28" s="135">
        <f t="shared" si="18"/>
        <v>0</v>
      </c>
      <c r="BB28" s="136">
        <f t="shared" si="18"/>
        <v>0</v>
      </c>
      <c r="BC28" s="136">
        <f t="shared" si="18"/>
        <v>0</v>
      </c>
      <c r="BD28" s="136">
        <f t="shared" si="18"/>
        <v>0</v>
      </c>
      <c r="BE28" s="137">
        <f t="shared" si="18"/>
        <v>0</v>
      </c>
      <c r="BF28" s="138">
        <f t="shared" si="18"/>
        <v>0</v>
      </c>
      <c r="BG28" s="136">
        <f t="shared" si="18"/>
        <v>0</v>
      </c>
      <c r="BH28" s="136">
        <f t="shared" si="18"/>
        <v>0</v>
      </c>
      <c r="BI28" s="137">
        <f t="shared" si="18"/>
        <v>0</v>
      </c>
      <c r="BJ28" s="135">
        <f t="shared" si="18"/>
        <v>0</v>
      </c>
      <c r="BK28" s="136">
        <f t="shared" si="18"/>
        <v>0</v>
      </c>
      <c r="BL28" s="136">
        <f t="shared" si="19"/>
        <v>0</v>
      </c>
      <c r="BM28" s="137">
        <f t="shared" si="19"/>
        <v>0</v>
      </c>
      <c r="BN28" s="138">
        <f t="shared" si="19"/>
        <v>0</v>
      </c>
      <c r="BO28" s="136">
        <f t="shared" si="19"/>
        <v>0</v>
      </c>
      <c r="BP28" s="136">
        <f t="shared" si="19"/>
        <v>0</v>
      </c>
      <c r="BQ28" s="136">
        <f t="shared" si="19"/>
        <v>0</v>
      </c>
      <c r="BR28" s="137">
        <f t="shared" si="19"/>
        <v>0</v>
      </c>
      <c r="BS28" s="138">
        <f t="shared" si="19"/>
        <v>0</v>
      </c>
      <c r="BT28" s="136">
        <f t="shared" si="19"/>
        <v>0</v>
      </c>
      <c r="BU28" s="136">
        <f t="shared" si="19"/>
        <v>0</v>
      </c>
      <c r="BV28" s="137">
        <f t="shared" si="19"/>
        <v>0</v>
      </c>
      <c r="BW28" s="138">
        <f t="shared" si="19"/>
        <v>0</v>
      </c>
      <c r="BX28" s="136">
        <f t="shared" si="19"/>
        <v>0</v>
      </c>
      <c r="BY28" s="136">
        <f t="shared" si="19"/>
        <v>0</v>
      </c>
      <c r="BZ28" s="136">
        <f t="shared" si="19"/>
        <v>0</v>
      </c>
      <c r="CA28" s="137">
        <f t="shared" si="19"/>
        <v>0</v>
      </c>
      <c r="CB28" s="138">
        <f t="shared" si="19"/>
        <v>0</v>
      </c>
      <c r="CC28" s="136">
        <f t="shared" si="19"/>
        <v>0</v>
      </c>
      <c r="CD28" s="136">
        <f t="shared" si="19"/>
        <v>0</v>
      </c>
      <c r="CE28" s="137">
        <f t="shared" si="19"/>
        <v>0</v>
      </c>
      <c r="CF28" s="135">
        <f t="shared" si="19"/>
        <v>0</v>
      </c>
      <c r="CG28" s="136">
        <f t="shared" si="19"/>
        <v>0</v>
      </c>
      <c r="CH28" s="136">
        <f t="shared" si="19"/>
        <v>0</v>
      </c>
      <c r="CI28" s="137">
        <f t="shared" si="19"/>
        <v>0</v>
      </c>
    </row>
    <row r="29" spans="1:87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3"/>
        <v>1</v>
      </c>
      <c r="K29" s="101">
        <v>0</v>
      </c>
      <c r="L29" s="132">
        <f t="shared" si="14"/>
        <v>0.1</v>
      </c>
      <c r="M29" s="132">
        <f t="shared" si="15"/>
        <v>0</v>
      </c>
      <c r="N29" s="132">
        <f t="shared" si="5"/>
        <v>-0.1</v>
      </c>
      <c r="O29" s="133" t="str">
        <f t="shared" si="16"/>
        <v>지연</v>
      </c>
      <c r="P29" s="104"/>
      <c r="Q29" s="104"/>
      <c r="R29" s="104"/>
      <c r="S29" s="104"/>
      <c r="T29" s="104"/>
      <c r="U29" s="104"/>
      <c r="V29" s="94"/>
      <c r="W29" s="94"/>
      <c r="X29" s="134" t="str">
        <f t="shared" si="4"/>
        <v/>
      </c>
      <c r="Y29" s="253">
        <f>NETWORKDAYS(P29,Q29,진행현황_전체!C$59:C$77)</f>
        <v>0</v>
      </c>
      <c r="Z29" s="258"/>
      <c r="AA29" s="135">
        <f t="shared" si="17"/>
        <v>0</v>
      </c>
      <c r="AB29" s="136">
        <f t="shared" si="17"/>
        <v>0</v>
      </c>
      <c r="AC29" s="136">
        <f t="shared" si="17"/>
        <v>0</v>
      </c>
      <c r="AD29" s="136">
        <f t="shared" si="17"/>
        <v>0</v>
      </c>
      <c r="AE29" s="137">
        <f t="shared" si="17"/>
        <v>0</v>
      </c>
      <c r="AF29" s="138">
        <f t="shared" si="17"/>
        <v>0</v>
      </c>
      <c r="AG29" s="136">
        <f t="shared" si="17"/>
        <v>0</v>
      </c>
      <c r="AH29" s="136">
        <f t="shared" si="17"/>
        <v>0</v>
      </c>
      <c r="AI29" s="137">
        <f t="shared" si="17"/>
        <v>0</v>
      </c>
      <c r="AJ29" s="135">
        <f t="shared" si="17"/>
        <v>0</v>
      </c>
      <c r="AK29" s="136">
        <f t="shared" si="17"/>
        <v>0</v>
      </c>
      <c r="AL29" s="136">
        <f t="shared" si="17"/>
        <v>0</v>
      </c>
      <c r="AM29" s="137">
        <f t="shared" si="17"/>
        <v>0</v>
      </c>
      <c r="AN29" s="135">
        <f t="shared" si="17"/>
        <v>0</v>
      </c>
      <c r="AO29" s="138">
        <f t="shared" si="17"/>
        <v>0</v>
      </c>
      <c r="AP29" s="136">
        <f t="shared" si="17"/>
        <v>0</v>
      </c>
      <c r="AQ29" s="136">
        <f t="shared" si="17"/>
        <v>0</v>
      </c>
      <c r="AR29" s="194">
        <f t="shared" si="17"/>
        <v>0</v>
      </c>
      <c r="AS29" s="138">
        <f t="shared" si="17"/>
        <v>0</v>
      </c>
      <c r="AT29" s="136">
        <f t="shared" si="17"/>
        <v>0</v>
      </c>
      <c r="AU29" s="136">
        <f t="shared" si="17"/>
        <v>0</v>
      </c>
      <c r="AV29" s="137">
        <f t="shared" si="18"/>
        <v>0</v>
      </c>
      <c r="AW29" s="135">
        <f t="shared" si="18"/>
        <v>0</v>
      </c>
      <c r="AX29" s="136">
        <f t="shared" si="18"/>
        <v>0</v>
      </c>
      <c r="AY29" s="136">
        <f t="shared" si="18"/>
        <v>0</v>
      </c>
      <c r="AZ29" s="137">
        <f t="shared" si="18"/>
        <v>0</v>
      </c>
      <c r="BA29" s="135">
        <f t="shared" si="18"/>
        <v>0</v>
      </c>
      <c r="BB29" s="136">
        <f t="shared" si="18"/>
        <v>0</v>
      </c>
      <c r="BC29" s="136">
        <f t="shared" si="18"/>
        <v>0</v>
      </c>
      <c r="BD29" s="136">
        <f t="shared" si="18"/>
        <v>0</v>
      </c>
      <c r="BE29" s="137">
        <f t="shared" si="18"/>
        <v>0</v>
      </c>
      <c r="BF29" s="138">
        <f t="shared" si="18"/>
        <v>0</v>
      </c>
      <c r="BG29" s="136">
        <f t="shared" si="18"/>
        <v>0</v>
      </c>
      <c r="BH29" s="136">
        <f t="shared" si="18"/>
        <v>0</v>
      </c>
      <c r="BI29" s="137">
        <f t="shared" si="18"/>
        <v>0</v>
      </c>
      <c r="BJ29" s="135">
        <f t="shared" si="18"/>
        <v>0</v>
      </c>
      <c r="BK29" s="136">
        <f t="shared" si="18"/>
        <v>0</v>
      </c>
      <c r="BL29" s="136">
        <f t="shared" si="19"/>
        <v>0</v>
      </c>
      <c r="BM29" s="137">
        <f t="shared" si="19"/>
        <v>0</v>
      </c>
      <c r="BN29" s="138">
        <f t="shared" si="19"/>
        <v>0</v>
      </c>
      <c r="BO29" s="136">
        <f t="shared" si="19"/>
        <v>0</v>
      </c>
      <c r="BP29" s="136">
        <f t="shared" si="19"/>
        <v>0</v>
      </c>
      <c r="BQ29" s="136">
        <f t="shared" si="19"/>
        <v>0</v>
      </c>
      <c r="BR29" s="137">
        <f t="shared" si="19"/>
        <v>0</v>
      </c>
      <c r="BS29" s="138">
        <f t="shared" si="19"/>
        <v>0</v>
      </c>
      <c r="BT29" s="136">
        <f t="shared" si="19"/>
        <v>0</v>
      </c>
      <c r="BU29" s="136">
        <f t="shared" si="19"/>
        <v>0</v>
      </c>
      <c r="BV29" s="137">
        <f t="shared" si="19"/>
        <v>0</v>
      </c>
      <c r="BW29" s="138">
        <f t="shared" si="19"/>
        <v>0</v>
      </c>
      <c r="BX29" s="136">
        <f t="shared" si="19"/>
        <v>0</v>
      </c>
      <c r="BY29" s="136">
        <f t="shared" si="19"/>
        <v>0</v>
      </c>
      <c r="BZ29" s="136">
        <f t="shared" si="19"/>
        <v>0</v>
      </c>
      <c r="CA29" s="137">
        <f t="shared" si="19"/>
        <v>0</v>
      </c>
      <c r="CB29" s="138">
        <f t="shared" si="19"/>
        <v>0</v>
      </c>
      <c r="CC29" s="136">
        <f t="shared" si="19"/>
        <v>0</v>
      </c>
      <c r="CD29" s="136">
        <f t="shared" si="19"/>
        <v>0</v>
      </c>
      <c r="CE29" s="137">
        <f t="shared" si="19"/>
        <v>0</v>
      </c>
      <c r="CF29" s="135">
        <f t="shared" si="19"/>
        <v>0</v>
      </c>
      <c r="CG29" s="136">
        <f t="shared" si="19"/>
        <v>0</v>
      </c>
      <c r="CH29" s="136">
        <f t="shared" si="19"/>
        <v>0</v>
      </c>
      <c r="CI29" s="137">
        <f t="shared" si="19"/>
        <v>0</v>
      </c>
    </row>
    <row r="30" spans="1:87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3"/>
        <v>1</v>
      </c>
      <c r="K30" s="101">
        <v>0</v>
      </c>
      <c r="L30" s="132">
        <f t="shared" si="14"/>
        <v>0.1</v>
      </c>
      <c r="M30" s="132">
        <f t="shared" si="15"/>
        <v>0</v>
      </c>
      <c r="N30" s="132">
        <f t="shared" si="5"/>
        <v>-0.1</v>
      </c>
      <c r="O30" s="133" t="str">
        <f t="shared" si="16"/>
        <v>지연</v>
      </c>
      <c r="P30" s="104"/>
      <c r="Q30" s="104"/>
      <c r="R30" s="104"/>
      <c r="S30" s="104"/>
      <c r="T30" s="104"/>
      <c r="U30" s="104"/>
      <c r="V30" s="94"/>
      <c r="W30" s="94"/>
      <c r="X30" s="134" t="str">
        <f t="shared" si="4"/>
        <v/>
      </c>
      <c r="Y30" s="253">
        <f>NETWORKDAYS(P30,Q30,진행현황_전체!C$59:C$77)</f>
        <v>0</v>
      </c>
      <c r="Z30" s="258"/>
      <c r="AA30" s="135">
        <f t="shared" si="17"/>
        <v>0</v>
      </c>
      <c r="AB30" s="136">
        <f t="shared" si="17"/>
        <v>0</v>
      </c>
      <c r="AC30" s="136">
        <f t="shared" si="17"/>
        <v>0</v>
      </c>
      <c r="AD30" s="136">
        <f t="shared" si="17"/>
        <v>0</v>
      </c>
      <c r="AE30" s="137">
        <f t="shared" si="17"/>
        <v>0</v>
      </c>
      <c r="AF30" s="138">
        <f t="shared" si="17"/>
        <v>0</v>
      </c>
      <c r="AG30" s="136">
        <f t="shared" si="17"/>
        <v>0</v>
      </c>
      <c r="AH30" s="136">
        <f t="shared" si="17"/>
        <v>0</v>
      </c>
      <c r="AI30" s="137">
        <f t="shared" si="17"/>
        <v>0</v>
      </c>
      <c r="AJ30" s="135">
        <f t="shared" si="17"/>
        <v>0</v>
      </c>
      <c r="AK30" s="136">
        <f t="shared" si="17"/>
        <v>0</v>
      </c>
      <c r="AL30" s="136">
        <f t="shared" si="17"/>
        <v>0</v>
      </c>
      <c r="AM30" s="137">
        <f t="shared" si="17"/>
        <v>0</v>
      </c>
      <c r="AN30" s="135">
        <f t="shared" si="17"/>
        <v>0</v>
      </c>
      <c r="AO30" s="138">
        <f t="shared" si="17"/>
        <v>0</v>
      </c>
      <c r="AP30" s="136">
        <f t="shared" si="17"/>
        <v>0</v>
      </c>
      <c r="AQ30" s="136">
        <f t="shared" si="17"/>
        <v>0</v>
      </c>
      <c r="AR30" s="194">
        <f t="shared" si="17"/>
        <v>0</v>
      </c>
      <c r="AS30" s="138">
        <f t="shared" si="17"/>
        <v>0</v>
      </c>
      <c r="AT30" s="136">
        <f t="shared" si="17"/>
        <v>0</v>
      </c>
      <c r="AU30" s="136">
        <f t="shared" si="17"/>
        <v>0</v>
      </c>
      <c r="AV30" s="137">
        <f t="shared" si="18"/>
        <v>0</v>
      </c>
      <c r="AW30" s="135">
        <f t="shared" si="18"/>
        <v>0</v>
      </c>
      <c r="AX30" s="136">
        <f t="shared" si="18"/>
        <v>0</v>
      </c>
      <c r="AY30" s="136">
        <f t="shared" si="18"/>
        <v>0</v>
      </c>
      <c r="AZ30" s="137">
        <f t="shared" si="18"/>
        <v>0</v>
      </c>
      <c r="BA30" s="135">
        <f t="shared" si="18"/>
        <v>0</v>
      </c>
      <c r="BB30" s="136">
        <f t="shared" si="18"/>
        <v>0</v>
      </c>
      <c r="BC30" s="136">
        <f t="shared" si="18"/>
        <v>0</v>
      </c>
      <c r="BD30" s="136">
        <f t="shared" si="18"/>
        <v>0</v>
      </c>
      <c r="BE30" s="137">
        <f t="shared" si="18"/>
        <v>0</v>
      </c>
      <c r="BF30" s="138">
        <f t="shared" si="18"/>
        <v>0</v>
      </c>
      <c r="BG30" s="136">
        <f t="shared" si="18"/>
        <v>0</v>
      </c>
      <c r="BH30" s="136">
        <f t="shared" si="18"/>
        <v>0</v>
      </c>
      <c r="BI30" s="137">
        <f t="shared" si="18"/>
        <v>0</v>
      </c>
      <c r="BJ30" s="135">
        <f t="shared" si="18"/>
        <v>0</v>
      </c>
      <c r="BK30" s="136">
        <f t="shared" si="18"/>
        <v>0</v>
      </c>
      <c r="BL30" s="136">
        <f t="shared" si="19"/>
        <v>0</v>
      </c>
      <c r="BM30" s="137">
        <f t="shared" si="19"/>
        <v>0</v>
      </c>
      <c r="BN30" s="138">
        <f t="shared" si="19"/>
        <v>0</v>
      </c>
      <c r="BO30" s="136">
        <f t="shared" si="19"/>
        <v>0</v>
      </c>
      <c r="BP30" s="136">
        <f t="shared" si="19"/>
        <v>0</v>
      </c>
      <c r="BQ30" s="136">
        <f t="shared" si="19"/>
        <v>0</v>
      </c>
      <c r="BR30" s="137">
        <f t="shared" si="19"/>
        <v>0</v>
      </c>
      <c r="BS30" s="138">
        <f t="shared" si="19"/>
        <v>0</v>
      </c>
      <c r="BT30" s="136">
        <f t="shared" si="19"/>
        <v>0</v>
      </c>
      <c r="BU30" s="136">
        <f t="shared" si="19"/>
        <v>0</v>
      </c>
      <c r="BV30" s="137">
        <f t="shared" si="19"/>
        <v>0</v>
      </c>
      <c r="BW30" s="138">
        <f t="shared" si="19"/>
        <v>0</v>
      </c>
      <c r="BX30" s="136">
        <f t="shared" si="19"/>
        <v>0</v>
      </c>
      <c r="BY30" s="136">
        <f t="shared" si="19"/>
        <v>0</v>
      </c>
      <c r="BZ30" s="136">
        <f t="shared" si="19"/>
        <v>0</v>
      </c>
      <c r="CA30" s="137">
        <f t="shared" si="19"/>
        <v>0</v>
      </c>
      <c r="CB30" s="138">
        <f t="shared" si="19"/>
        <v>0</v>
      </c>
      <c r="CC30" s="136">
        <f t="shared" si="19"/>
        <v>0</v>
      </c>
      <c r="CD30" s="136">
        <f t="shared" si="19"/>
        <v>0</v>
      </c>
      <c r="CE30" s="137">
        <f t="shared" si="19"/>
        <v>0</v>
      </c>
      <c r="CF30" s="135">
        <f t="shared" si="19"/>
        <v>0</v>
      </c>
      <c r="CG30" s="136">
        <f t="shared" si="19"/>
        <v>0</v>
      </c>
      <c r="CH30" s="136">
        <f t="shared" si="19"/>
        <v>0</v>
      </c>
      <c r="CI30" s="137">
        <f t="shared" si="19"/>
        <v>0</v>
      </c>
    </row>
    <row r="31" spans="1:87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3"/>
        <v>1</v>
      </c>
      <c r="K31" s="101">
        <v>0</v>
      </c>
      <c r="L31" s="132">
        <f t="shared" si="14"/>
        <v>0.1</v>
      </c>
      <c r="M31" s="132">
        <f t="shared" si="15"/>
        <v>0</v>
      </c>
      <c r="N31" s="132">
        <f t="shared" si="5"/>
        <v>-0.1</v>
      </c>
      <c r="O31" s="133" t="str">
        <f t="shared" si="16"/>
        <v>지연</v>
      </c>
      <c r="P31" s="104"/>
      <c r="Q31" s="104"/>
      <c r="R31" s="104"/>
      <c r="S31" s="104"/>
      <c r="T31" s="104"/>
      <c r="U31" s="104"/>
      <c r="V31" s="94"/>
      <c r="W31" s="94"/>
      <c r="X31" s="134" t="str">
        <f t="shared" si="4"/>
        <v/>
      </c>
      <c r="Y31" s="253">
        <f>NETWORKDAYS(P31,Q31,진행현황_전체!C$59:C$77)</f>
        <v>0</v>
      </c>
      <c r="Z31" s="258"/>
      <c r="AA31" s="135">
        <f t="shared" si="17"/>
        <v>0</v>
      </c>
      <c r="AB31" s="136">
        <f t="shared" si="17"/>
        <v>0</v>
      </c>
      <c r="AC31" s="136">
        <f t="shared" si="17"/>
        <v>0</v>
      </c>
      <c r="AD31" s="136">
        <f t="shared" si="17"/>
        <v>0</v>
      </c>
      <c r="AE31" s="137">
        <f t="shared" si="17"/>
        <v>0</v>
      </c>
      <c r="AF31" s="138">
        <f t="shared" si="17"/>
        <v>0</v>
      </c>
      <c r="AG31" s="136">
        <f t="shared" si="17"/>
        <v>0</v>
      </c>
      <c r="AH31" s="136">
        <f t="shared" si="17"/>
        <v>0</v>
      </c>
      <c r="AI31" s="137">
        <f t="shared" si="17"/>
        <v>0</v>
      </c>
      <c r="AJ31" s="135">
        <f t="shared" si="17"/>
        <v>0</v>
      </c>
      <c r="AK31" s="136">
        <f t="shared" si="17"/>
        <v>0</v>
      </c>
      <c r="AL31" s="136">
        <f t="shared" si="17"/>
        <v>0</v>
      </c>
      <c r="AM31" s="137">
        <f t="shared" si="17"/>
        <v>0</v>
      </c>
      <c r="AN31" s="135">
        <f t="shared" si="17"/>
        <v>0</v>
      </c>
      <c r="AO31" s="138">
        <f t="shared" si="17"/>
        <v>0</v>
      </c>
      <c r="AP31" s="136">
        <f t="shared" si="17"/>
        <v>0</v>
      </c>
      <c r="AQ31" s="136">
        <f t="shared" si="17"/>
        <v>0</v>
      </c>
      <c r="AR31" s="194">
        <f t="shared" si="17"/>
        <v>0</v>
      </c>
      <c r="AS31" s="138">
        <f t="shared" si="17"/>
        <v>0</v>
      </c>
      <c r="AT31" s="136">
        <f t="shared" si="17"/>
        <v>0</v>
      </c>
      <c r="AU31" s="136">
        <f t="shared" si="17"/>
        <v>0</v>
      </c>
      <c r="AV31" s="137">
        <f t="shared" si="18"/>
        <v>0</v>
      </c>
      <c r="AW31" s="135">
        <f t="shared" si="18"/>
        <v>0</v>
      </c>
      <c r="AX31" s="136">
        <f t="shared" si="18"/>
        <v>0</v>
      </c>
      <c r="AY31" s="136">
        <f t="shared" si="18"/>
        <v>0</v>
      </c>
      <c r="AZ31" s="137">
        <f t="shared" si="18"/>
        <v>0</v>
      </c>
      <c r="BA31" s="135">
        <f t="shared" si="18"/>
        <v>0</v>
      </c>
      <c r="BB31" s="136">
        <f t="shared" si="18"/>
        <v>0</v>
      </c>
      <c r="BC31" s="136">
        <f t="shared" si="18"/>
        <v>0</v>
      </c>
      <c r="BD31" s="136">
        <f t="shared" si="18"/>
        <v>0</v>
      </c>
      <c r="BE31" s="137">
        <f t="shared" si="18"/>
        <v>0</v>
      </c>
      <c r="BF31" s="138">
        <f t="shared" si="18"/>
        <v>0</v>
      </c>
      <c r="BG31" s="136">
        <f t="shared" si="18"/>
        <v>0</v>
      </c>
      <c r="BH31" s="136">
        <f t="shared" si="18"/>
        <v>0</v>
      </c>
      <c r="BI31" s="137">
        <f t="shared" si="18"/>
        <v>0</v>
      </c>
      <c r="BJ31" s="135">
        <f t="shared" si="18"/>
        <v>0</v>
      </c>
      <c r="BK31" s="136">
        <f t="shared" si="18"/>
        <v>0</v>
      </c>
      <c r="BL31" s="136">
        <f t="shared" si="19"/>
        <v>0</v>
      </c>
      <c r="BM31" s="137">
        <f t="shared" si="19"/>
        <v>0</v>
      </c>
      <c r="BN31" s="138">
        <f t="shared" si="19"/>
        <v>0</v>
      </c>
      <c r="BO31" s="136">
        <f t="shared" si="19"/>
        <v>0</v>
      </c>
      <c r="BP31" s="136">
        <f t="shared" si="19"/>
        <v>0</v>
      </c>
      <c r="BQ31" s="136">
        <f t="shared" si="19"/>
        <v>0</v>
      </c>
      <c r="BR31" s="137">
        <f t="shared" si="19"/>
        <v>0</v>
      </c>
      <c r="BS31" s="138">
        <f t="shared" si="19"/>
        <v>0</v>
      </c>
      <c r="BT31" s="136">
        <f t="shared" si="19"/>
        <v>0</v>
      </c>
      <c r="BU31" s="136">
        <f t="shared" si="19"/>
        <v>0</v>
      </c>
      <c r="BV31" s="137">
        <f t="shared" si="19"/>
        <v>0</v>
      </c>
      <c r="BW31" s="138">
        <f t="shared" si="19"/>
        <v>0</v>
      </c>
      <c r="BX31" s="136">
        <f t="shared" si="19"/>
        <v>0</v>
      </c>
      <c r="BY31" s="136">
        <f t="shared" si="19"/>
        <v>0</v>
      </c>
      <c r="BZ31" s="136">
        <f t="shared" si="19"/>
        <v>0</v>
      </c>
      <c r="CA31" s="137">
        <f t="shared" si="19"/>
        <v>0</v>
      </c>
      <c r="CB31" s="138">
        <f t="shared" si="19"/>
        <v>0</v>
      </c>
      <c r="CC31" s="136">
        <f t="shared" si="19"/>
        <v>0</v>
      </c>
      <c r="CD31" s="136">
        <f t="shared" si="19"/>
        <v>0</v>
      </c>
      <c r="CE31" s="137">
        <f t="shared" si="19"/>
        <v>0</v>
      </c>
      <c r="CF31" s="135">
        <f t="shared" si="19"/>
        <v>0</v>
      </c>
      <c r="CG31" s="136">
        <f t="shared" si="19"/>
        <v>0</v>
      </c>
      <c r="CH31" s="136">
        <f t="shared" si="19"/>
        <v>0</v>
      </c>
      <c r="CI31" s="137">
        <f t="shared" si="19"/>
        <v>0</v>
      </c>
    </row>
    <row r="32" spans="1:87" ht="17.25" thickBot="1">
      <c r="A32" s="139" t="s">
        <v>77</v>
      </c>
      <c r="B32" s="114" t="str">
        <f>진행현황_01.범위명!D15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진행현황_01.범위명!D16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5"/>
        <v>-14.999999999999998</v>
      </c>
      <c r="O32" s="121"/>
      <c r="P32" s="122">
        <f>MIN(P33:P42)</f>
        <v>0</v>
      </c>
      <c r="Q32" s="122">
        <f>MAX(Q33:Q42)</f>
        <v>0</v>
      </c>
      <c r="R32" s="122"/>
      <c r="S32" s="122">
        <f>MIN(S33:S42)</f>
        <v>0</v>
      </c>
      <c r="T32" s="122">
        <f>MAX(T33:T42)</f>
        <v>0</v>
      </c>
      <c r="U32" s="122"/>
      <c r="V32" s="113"/>
      <c r="W32" s="113"/>
      <c r="X32" s="123" t="str">
        <f t="shared" si="4"/>
        <v/>
      </c>
      <c r="Y32" s="124">
        <f>NETWORKDAYS(P32,Q32,진행현황_전체!C$59:C$77)</f>
        <v>0</v>
      </c>
      <c r="Z32" s="257"/>
      <c r="AA32" s="125"/>
      <c r="AB32" s="126"/>
      <c r="AC32" s="126"/>
      <c r="AD32" s="126"/>
      <c r="AE32" s="127"/>
      <c r="AF32" s="129"/>
      <c r="AG32" s="126"/>
      <c r="AH32" s="126"/>
      <c r="AI32" s="127"/>
      <c r="AJ32" s="128"/>
      <c r="AK32" s="126"/>
      <c r="AL32" s="126"/>
      <c r="AM32" s="127"/>
      <c r="AN32" s="128"/>
      <c r="AO32" s="129"/>
      <c r="AP32" s="126"/>
      <c r="AQ32" s="126"/>
      <c r="AR32" s="193"/>
      <c r="AS32" s="129"/>
      <c r="AT32" s="126"/>
      <c r="AU32" s="126"/>
      <c r="AV32" s="127"/>
      <c r="AW32" s="128"/>
      <c r="AX32" s="126"/>
      <c r="AY32" s="126"/>
      <c r="AZ32" s="127"/>
      <c r="BA32" s="125"/>
      <c r="BB32" s="126"/>
      <c r="BC32" s="126"/>
      <c r="BD32" s="126"/>
      <c r="BE32" s="127"/>
      <c r="BF32" s="129"/>
      <c r="BG32" s="126"/>
      <c r="BH32" s="126"/>
      <c r="BI32" s="127"/>
      <c r="BJ32" s="128"/>
      <c r="BK32" s="126"/>
      <c r="BL32" s="126"/>
      <c r="BM32" s="127"/>
      <c r="BN32" s="129"/>
      <c r="BO32" s="126"/>
      <c r="BP32" s="126"/>
      <c r="BQ32" s="126"/>
      <c r="BR32" s="127"/>
      <c r="BS32" s="129"/>
      <c r="BT32" s="126"/>
      <c r="BU32" s="126"/>
      <c r="BV32" s="127"/>
      <c r="BW32" s="129"/>
      <c r="BX32" s="126"/>
      <c r="BY32" s="126"/>
      <c r="BZ32" s="126"/>
      <c r="CA32" s="127"/>
      <c r="CB32" s="129"/>
      <c r="CC32" s="126"/>
      <c r="CD32" s="126"/>
      <c r="CE32" s="127"/>
      <c r="CF32" s="128"/>
      <c r="CG32" s="126"/>
      <c r="CH32" s="126"/>
      <c r="CI32" s="127"/>
    </row>
    <row r="33" spans="1:87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20">IF(CheckDay&gt;=Q33,1,IF(CheckDay&lt;P33, 0,DAYS360(P33,CheckDay+1)/Y33))</f>
        <v>1</v>
      </c>
      <c r="K33" s="101">
        <v>0</v>
      </c>
      <c r="L33" s="132">
        <f t="shared" ref="L33:L42" si="21">I33*J33/100</f>
        <v>0.1</v>
      </c>
      <c r="M33" s="132">
        <f t="shared" ref="M33:M42" si="22">I33*K33/100</f>
        <v>0</v>
      </c>
      <c r="N33" s="132">
        <f t="shared" si="5"/>
        <v>-0.1</v>
      </c>
      <c r="O33" s="133" t="str">
        <f t="shared" ref="O33:O42" si="23">IF(AND(K33=0%,N33=0),"",IF(N33&lt;0,"지연",IF(K33=100%,"종료","진행")))</f>
        <v>지연</v>
      </c>
      <c r="P33" s="104"/>
      <c r="Q33" s="104"/>
      <c r="R33" s="104"/>
      <c r="S33" s="104"/>
      <c r="T33" s="104"/>
      <c r="U33" s="104"/>
      <c r="V33" s="94"/>
      <c r="W33" s="94"/>
      <c r="X33" s="134" t="str">
        <f t="shared" si="4"/>
        <v/>
      </c>
      <c r="Y33" s="253">
        <f>NETWORKDAYS(P33,Q33,진행현황_전체!C$59:C$77)</f>
        <v>0</v>
      </c>
      <c r="Z33" s="258"/>
      <c r="AA33" s="135">
        <f t="shared" ref="AA33:AU42" si="24">IF(OR((AND($P33&lt;=AA$7,AND($Q33&lt;=AA$8, $Q33&gt;=AA$7))),(AND(AND($P33&gt;=AA$7, $P33&lt;=AA$8),$Q33&gt;=AA$8)), AND($P33&gt;=AA$7, $Q33&lt;=AA$8), AND($P33&lt;=AA$7,$Q33&gt;=AA$8)),1,0)</f>
        <v>0</v>
      </c>
      <c r="AB33" s="136">
        <f t="shared" si="24"/>
        <v>0</v>
      </c>
      <c r="AC33" s="136">
        <f t="shared" si="24"/>
        <v>0</v>
      </c>
      <c r="AD33" s="136">
        <f t="shared" si="24"/>
        <v>0</v>
      </c>
      <c r="AE33" s="137">
        <f t="shared" si="24"/>
        <v>0</v>
      </c>
      <c r="AF33" s="138">
        <f t="shared" si="24"/>
        <v>0</v>
      </c>
      <c r="AG33" s="136">
        <f t="shared" si="24"/>
        <v>0</v>
      </c>
      <c r="AH33" s="136">
        <f t="shared" si="24"/>
        <v>0</v>
      </c>
      <c r="AI33" s="137">
        <f t="shared" si="24"/>
        <v>0</v>
      </c>
      <c r="AJ33" s="135">
        <f t="shared" si="24"/>
        <v>0</v>
      </c>
      <c r="AK33" s="136">
        <f t="shared" si="24"/>
        <v>0</v>
      </c>
      <c r="AL33" s="136">
        <f t="shared" si="24"/>
        <v>0</v>
      </c>
      <c r="AM33" s="137">
        <f t="shared" si="24"/>
        <v>0</v>
      </c>
      <c r="AN33" s="135">
        <f t="shared" si="24"/>
        <v>0</v>
      </c>
      <c r="AO33" s="138">
        <f t="shared" si="24"/>
        <v>0</v>
      </c>
      <c r="AP33" s="136">
        <f t="shared" si="24"/>
        <v>0</v>
      </c>
      <c r="AQ33" s="136">
        <f t="shared" si="24"/>
        <v>0</v>
      </c>
      <c r="AR33" s="194">
        <f t="shared" si="24"/>
        <v>0</v>
      </c>
      <c r="AS33" s="138">
        <f t="shared" si="24"/>
        <v>0</v>
      </c>
      <c r="AT33" s="136">
        <f t="shared" si="24"/>
        <v>0</v>
      </c>
      <c r="AU33" s="136">
        <f t="shared" si="24"/>
        <v>0</v>
      </c>
      <c r="AV33" s="137">
        <f t="shared" ref="AV33:BK42" si="25">IF(OR((AND($P33&lt;=AV$7,AND($Q33&lt;=AV$8, $Q33&gt;=AV$7))),(AND(AND($P33&gt;=AV$7, $P33&lt;=AV$8),$Q33&gt;=AV$8)), AND($P33&gt;=AV$7, $Q33&lt;=AV$8), AND($P33&lt;=AV$7,$Q33&gt;=AV$8)),1,0)</f>
        <v>0</v>
      </c>
      <c r="AW33" s="135">
        <f t="shared" si="25"/>
        <v>0</v>
      </c>
      <c r="AX33" s="136">
        <f t="shared" si="25"/>
        <v>0</v>
      </c>
      <c r="AY33" s="136">
        <f t="shared" si="25"/>
        <v>0</v>
      </c>
      <c r="AZ33" s="137">
        <f t="shared" si="25"/>
        <v>0</v>
      </c>
      <c r="BA33" s="135">
        <f t="shared" si="25"/>
        <v>0</v>
      </c>
      <c r="BB33" s="136">
        <f t="shared" si="25"/>
        <v>0</v>
      </c>
      <c r="BC33" s="136">
        <f t="shared" si="25"/>
        <v>0</v>
      </c>
      <c r="BD33" s="136">
        <f t="shared" si="25"/>
        <v>0</v>
      </c>
      <c r="BE33" s="137">
        <f t="shared" si="25"/>
        <v>0</v>
      </c>
      <c r="BF33" s="138">
        <f t="shared" si="25"/>
        <v>0</v>
      </c>
      <c r="BG33" s="136">
        <f t="shared" si="25"/>
        <v>0</v>
      </c>
      <c r="BH33" s="136">
        <f t="shared" si="25"/>
        <v>0</v>
      </c>
      <c r="BI33" s="137">
        <f t="shared" si="25"/>
        <v>0</v>
      </c>
      <c r="BJ33" s="135">
        <f t="shared" si="25"/>
        <v>0</v>
      </c>
      <c r="BK33" s="136">
        <f t="shared" si="25"/>
        <v>0</v>
      </c>
      <c r="BL33" s="136">
        <f t="shared" ref="BL33:CI42" si="26">IF(OR((AND($P33&lt;=BL$7,AND($Q33&lt;=BL$8, $Q33&gt;=BL$7))),(AND(AND($P33&gt;=BL$7, $P33&lt;=BL$8),$Q33&gt;=BL$8)), AND($P33&gt;=BL$7, $Q33&lt;=BL$8), AND($P33&lt;=BL$7,$Q33&gt;=BL$8)),1,0)</f>
        <v>0</v>
      </c>
      <c r="BM33" s="137">
        <f t="shared" si="26"/>
        <v>0</v>
      </c>
      <c r="BN33" s="138">
        <f t="shared" si="26"/>
        <v>0</v>
      </c>
      <c r="BO33" s="136">
        <f t="shared" si="26"/>
        <v>0</v>
      </c>
      <c r="BP33" s="136">
        <f t="shared" si="26"/>
        <v>0</v>
      </c>
      <c r="BQ33" s="136">
        <f t="shared" si="26"/>
        <v>0</v>
      </c>
      <c r="BR33" s="137">
        <f t="shared" si="26"/>
        <v>0</v>
      </c>
      <c r="BS33" s="138">
        <f t="shared" si="26"/>
        <v>0</v>
      </c>
      <c r="BT33" s="136">
        <f t="shared" si="26"/>
        <v>0</v>
      </c>
      <c r="BU33" s="136">
        <f t="shared" si="26"/>
        <v>0</v>
      </c>
      <c r="BV33" s="137">
        <f t="shared" si="26"/>
        <v>0</v>
      </c>
      <c r="BW33" s="138">
        <f t="shared" si="26"/>
        <v>0</v>
      </c>
      <c r="BX33" s="136">
        <f t="shared" si="26"/>
        <v>0</v>
      </c>
      <c r="BY33" s="136">
        <f t="shared" si="26"/>
        <v>0</v>
      </c>
      <c r="BZ33" s="136">
        <f t="shared" si="26"/>
        <v>0</v>
      </c>
      <c r="CA33" s="137">
        <f t="shared" si="26"/>
        <v>0</v>
      </c>
      <c r="CB33" s="138">
        <f t="shared" si="26"/>
        <v>0</v>
      </c>
      <c r="CC33" s="136">
        <f t="shared" si="26"/>
        <v>0</v>
      </c>
      <c r="CD33" s="136">
        <f t="shared" si="26"/>
        <v>0</v>
      </c>
      <c r="CE33" s="137">
        <f t="shared" si="26"/>
        <v>0</v>
      </c>
      <c r="CF33" s="135">
        <f t="shared" si="26"/>
        <v>0</v>
      </c>
      <c r="CG33" s="136">
        <f t="shared" si="26"/>
        <v>0</v>
      </c>
      <c r="CH33" s="136">
        <f t="shared" si="26"/>
        <v>0</v>
      </c>
      <c r="CI33" s="137">
        <f t="shared" si="26"/>
        <v>0</v>
      </c>
    </row>
    <row r="34" spans="1:87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20"/>
        <v>1</v>
      </c>
      <c r="K34" s="101">
        <v>0</v>
      </c>
      <c r="L34" s="132">
        <f t="shared" si="21"/>
        <v>0.1</v>
      </c>
      <c r="M34" s="132">
        <f t="shared" si="22"/>
        <v>0</v>
      </c>
      <c r="N34" s="132">
        <f t="shared" si="5"/>
        <v>-0.1</v>
      </c>
      <c r="O34" s="133" t="str">
        <f t="shared" si="23"/>
        <v>지연</v>
      </c>
      <c r="P34" s="104"/>
      <c r="Q34" s="104"/>
      <c r="R34" s="104"/>
      <c r="S34" s="104"/>
      <c r="T34" s="104"/>
      <c r="U34" s="104"/>
      <c r="V34" s="94"/>
      <c r="W34" s="94"/>
      <c r="X34" s="134" t="str">
        <f t="shared" si="4"/>
        <v/>
      </c>
      <c r="Y34" s="253">
        <f>NETWORKDAYS(P34,Q34,진행현황_전체!C$59:C$77)</f>
        <v>0</v>
      </c>
      <c r="Z34" s="258"/>
      <c r="AA34" s="135">
        <f t="shared" si="24"/>
        <v>0</v>
      </c>
      <c r="AB34" s="136">
        <f t="shared" si="24"/>
        <v>0</v>
      </c>
      <c r="AC34" s="136">
        <f t="shared" si="24"/>
        <v>0</v>
      </c>
      <c r="AD34" s="136">
        <f t="shared" si="24"/>
        <v>0</v>
      </c>
      <c r="AE34" s="137">
        <f t="shared" si="24"/>
        <v>0</v>
      </c>
      <c r="AF34" s="138">
        <f t="shared" si="24"/>
        <v>0</v>
      </c>
      <c r="AG34" s="136">
        <f t="shared" si="24"/>
        <v>0</v>
      </c>
      <c r="AH34" s="136">
        <f t="shared" si="24"/>
        <v>0</v>
      </c>
      <c r="AI34" s="137">
        <f t="shared" si="24"/>
        <v>0</v>
      </c>
      <c r="AJ34" s="135">
        <f t="shared" si="24"/>
        <v>0</v>
      </c>
      <c r="AK34" s="136">
        <f t="shared" si="24"/>
        <v>0</v>
      </c>
      <c r="AL34" s="136">
        <f t="shared" si="24"/>
        <v>0</v>
      </c>
      <c r="AM34" s="137">
        <f t="shared" si="24"/>
        <v>0</v>
      </c>
      <c r="AN34" s="135">
        <f t="shared" si="24"/>
        <v>0</v>
      </c>
      <c r="AO34" s="138">
        <f t="shared" si="24"/>
        <v>0</v>
      </c>
      <c r="AP34" s="136">
        <f t="shared" si="24"/>
        <v>0</v>
      </c>
      <c r="AQ34" s="136">
        <f t="shared" si="24"/>
        <v>0</v>
      </c>
      <c r="AR34" s="194">
        <f t="shared" si="24"/>
        <v>0</v>
      </c>
      <c r="AS34" s="138">
        <f t="shared" si="24"/>
        <v>0</v>
      </c>
      <c r="AT34" s="136">
        <f t="shared" si="24"/>
        <v>0</v>
      </c>
      <c r="AU34" s="136">
        <f t="shared" si="24"/>
        <v>0</v>
      </c>
      <c r="AV34" s="137">
        <f t="shared" si="25"/>
        <v>0</v>
      </c>
      <c r="AW34" s="135">
        <f t="shared" si="25"/>
        <v>0</v>
      </c>
      <c r="AX34" s="136">
        <f t="shared" si="25"/>
        <v>0</v>
      </c>
      <c r="AY34" s="136">
        <f t="shared" si="25"/>
        <v>0</v>
      </c>
      <c r="AZ34" s="137">
        <f t="shared" si="25"/>
        <v>0</v>
      </c>
      <c r="BA34" s="135">
        <f t="shared" si="25"/>
        <v>0</v>
      </c>
      <c r="BB34" s="136">
        <f t="shared" si="25"/>
        <v>0</v>
      </c>
      <c r="BC34" s="136">
        <f t="shared" si="25"/>
        <v>0</v>
      </c>
      <c r="BD34" s="136">
        <f t="shared" si="25"/>
        <v>0</v>
      </c>
      <c r="BE34" s="137">
        <f t="shared" si="25"/>
        <v>0</v>
      </c>
      <c r="BF34" s="138">
        <f t="shared" si="25"/>
        <v>0</v>
      </c>
      <c r="BG34" s="136">
        <f t="shared" si="25"/>
        <v>0</v>
      </c>
      <c r="BH34" s="136">
        <f t="shared" si="25"/>
        <v>0</v>
      </c>
      <c r="BI34" s="137">
        <f t="shared" si="25"/>
        <v>0</v>
      </c>
      <c r="BJ34" s="135">
        <f t="shared" si="25"/>
        <v>0</v>
      </c>
      <c r="BK34" s="136">
        <f t="shared" si="25"/>
        <v>0</v>
      </c>
      <c r="BL34" s="136">
        <f t="shared" si="26"/>
        <v>0</v>
      </c>
      <c r="BM34" s="137">
        <f t="shared" si="26"/>
        <v>0</v>
      </c>
      <c r="BN34" s="138">
        <f t="shared" si="26"/>
        <v>0</v>
      </c>
      <c r="BO34" s="136">
        <f t="shared" si="26"/>
        <v>0</v>
      </c>
      <c r="BP34" s="136">
        <f t="shared" si="26"/>
        <v>0</v>
      </c>
      <c r="BQ34" s="136">
        <f t="shared" si="26"/>
        <v>0</v>
      </c>
      <c r="BR34" s="137">
        <f t="shared" si="26"/>
        <v>0</v>
      </c>
      <c r="BS34" s="138">
        <f t="shared" si="26"/>
        <v>0</v>
      </c>
      <c r="BT34" s="136">
        <f t="shared" si="26"/>
        <v>0</v>
      </c>
      <c r="BU34" s="136">
        <f t="shared" si="26"/>
        <v>0</v>
      </c>
      <c r="BV34" s="137">
        <f t="shared" si="26"/>
        <v>0</v>
      </c>
      <c r="BW34" s="138">
        <f t="shared" si="26"/>
        <v>0</v>
      </c>
      <c r="BX34" s="136">
        <f t="shared" si="26"/>
        <v>0</v>
      </c>
      <c r="BY34" s="136">
        <f t="shared" si="26"/>
        <v>0</v>
      </c>
      <c r="BZ34" s="136">
        <f t="shared" si="26"/>
        <v>0</v>
      </c>
      <c r="CA34" s="137">
        <f t="shared" si="26"/>
        <v>0</v>
      </c>
      <c r="CB34" s="138">
        <f t="shared" si="26"/>
        <v>0</v>
      </c>
      <c r="CC34" s="136">
        <f t="shared" si="26"/>
        <v>0</v>
      </c>
      <c r="CD34" s="136">
        <f t="shared" si="26"/>
        <v>0</v>
      </c>
      <c r="CE34" s="137">
        <f t="shared" si="26"/>
        <v>0</v>
      </c>
      <c r="CF34" s="135">
        <f t="shared" si="26"/>
        <v>0</v>
      </c>
      <c r="CG34" s="136">
        <f t="shared" si="26"/>
        <v>0</v>
      </c>
      <c r="CH34" s="136">
        <f t="shared" si="26"/>
        <v>0</v>
      </c>
      <c r="CI34" s="137">
        <f t="shared" si="26"/>
        <v>0</v>
      </c>
    </row>
    <row r="35" spans="1:87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20"/>
        <v>1</v>
      </c>
      <c r="K35" s="101">
        <v>0</v>
      </c>
      <c r="L35" s="132">
        <f t="shared" si="21"/>
        <v>0.1</v>
      </c>
      <c r="M35" s="132">
        <f t="shared" si="22"/>
        <v>0</v>
      </c>
      <c r="N35" s="132">
        <f t="shared" si="5"/>
        <v>-0.1</v>
      </c>
      <c r="O35" s="133" t="str">
        <f t="shared" si="23"/>
        <v>지연</v>
      </c>
      <c r="P35" s="104"/>
      <c r="Q35" s="104"/>
      <c r="R35" s="104"/>
      <c r="S35" s="104"/>
      <c r="T35" s="104"/>
      <c r="U35" s="104"/>
      <c r="V35" s="94"/>
      <c r="W35" s="94"/>
      <c r="X35" s="134" t="str">
        <f t="shared" si="4"/>
        <v/>
      </c>
      <c r="Y35" s="253">
        <f>NETWORKDAYS(P35,Q35,진행현황_전체!C$59:C$77)</f>
        <v>0</v>
      </c>
      <c r="Z35" s="258"/>
      <c r="AA35" s="135">
        <f t="shared" si="24"/>
        <v>0</v>
      </c>
      <c r="AB35" s="136">
        <f t="shared" si="24"/>
        <v>0</v>
      </c>
      <c r="AC35" s="136">
        <f t="shared" si="24"/>
        <v>0</v>
      </c>
      <c r="AD35" s="136">
        <f t="shared" si="24"/>
        <v>0</v>
      </c>
      <c r="AE35" s="137">
        <f t="shared" si="24"/>
        <v>0</v>
      </c>
      <c r="AF35" s="138">
        <f t="shared" si="24"/>
        <v>0</v>
      </c>
      <c r="AG35" s="136">
        <f t="shared" si="24"/>
        <v>0</v>
      </c>
      <c r="AH35" s="136">
        <f t="shared" si="24"/>
        <v>0</v>
      </c>
      <c r="AI35" s="137">
        <f t="shared" si="24"/>
        <v>0</v>
      </c>
      <c r="AJ35" s="135">
        <f t="shared" si="24"/>
        <v>0</v>
      </c>
      <c r="AK35" s="136">
        <f t="shared" si="24"/>
        <v>0</v>
      </c>
      <c r="AL35" s="136">
        <f t="shared" si="24"/>
        <v>0</v>
      </c>
      <c r="AM35" s="137">
        <f t="shared" si="24"/>
        <v>0</v>
      </c>
      <c r="AN35" s="135">
        <f t="shared" si="24"/>
        <v>0</v>
      </c>
      <c r="AO35" s="138">
        <f t="shared" si="24"/>
        <v>0</v>
      </c>
      <c r="AP35" s="136">
        <f t="shared" si="24"/>
        <v>0</v>
      </c>
      <c r="AQ35" s="136">
        <f t="shared" si="24"/>
        <v>0</v>
      </c>
      <c r="AR35" s="194">
        <f t="shared" si="24"/>
        <v>0</v>
      </c>
      <c r="AS35" s="138">
        <f t="shared" si="24"/>
        <v>0</v>
      </c>
      <c r="AT35" s="136">
        <f t="shared" si="24"/>
        <v>0</v>
      </c>
      <c r="AU35" s="136">
        <f t="shared" si="24"/>
        <v>0</v>
      </c>
      <c r="AV35" s="137">
        <f t="shared" si="25"/>
        <v>0</v>
      </c>
      <c r="AW35" s="135">
        <f t="shared" si="25"/>
        <v>0</v>
      </c>
      <c r="AX35" s="136">
        <f t="shared" si="25"/>
        <v>0</v>
      </c>
      <c r="AY35" s="136">
        <f t="shared" si="25"/>
        <v>0</v>
      </c>
      <c r="AZ35" s="137">
        <f t="shared" si="25"/>
        <v>0</v>
      </c>
      <c r="BA35" s="135">
        <f t="shared" si="25"/>
        <v>0</v>
      </c>
      <c r="BB35" s="136">
        <f t="shared" si="25"/>
        <v>0</v>
      </c>
      <c r="BC35" s="136">
        <f t="shared" si="25"/>
        <v>0</v>
      </c>
      <c r="BD35" s="136">
        <f t="shared" si="25"/>
        <v>0</v>
      </c>
      <c r="BE35" s="137">
        <f t="shared" si="25"/>
        <v>0</v>
      </c>
      <c r="BF35" s="138">
        <f t="shared" si="25"/>
        <v>0</v>
      </c>
      <c r="BG35" s="136">
        <f t="shared" si="25"/>
        <v>0</v>
      </c>
      <c r="BH35" s="136">
        <f t="shared" si="25"/>
        <v>0</v>
      </c>
      <c r="BI35" s="137">
        <f t="shared" si="25"/>
        <v>0</v>
      </c>
      <c r="BJ35" s="135">
        <f t="shared" si="25"/>
        <v>0</v>
      </c>
      <c r="BK35" s="136">
        <f t="shared" si="25"/>
        <v>0</v>
      </c>
      <c r="BL35" s="136">
        <f t="shared" si="26"/>
        <v>0</v>
      </c>
      <c r="BM35" s="137">
        <f t="shared" si="26"/>
        <v>0</v>
      </c>
      <c r="BN35" s="138">
        <f t="shared" si="26"/>
        <v>0</v>
      </c>
      <c r="BO35" s="136">
        <f t="shared" si="26"/>
        <v>0</v>
      </c>
      <c r="BP35" s="136">
        <f t="shared" si="26"/>
        <v>0</v>
      </c>
      <c r="BQ35" s="136">
        <f t="shared" si="26"/>
        <v>0</v>
      </c>
      <c r="BR35" s="137">
        <f t="shared" si="26"/>
        <v>0</v>
      </c>
      <c r="BS35" s="138">
        <f t="shared" si="26"/>
        <v>0</v>
      </c>
      <c r="BT35" s="136">
        <f t="shared" si="26"/>
        <v>0</v>
      </c>
      <c r="BU35" s="136">
        <f t="shared" si="26"/>
        <v>0</v>
      </c>
      <c r="BV35" s="137">
        <f t="shared" si="26"/>
        <v>0</v>
      </c>
      <c r="BW35" s="138">
        <f t="shared" si="26"/>
        <v>0</v>
      </c>
      <c r="BX35" s="136">
        <f t="shared" si="26"/>
        <v>0</v>
      </c>
      <c r="BY35" s="136">
        <f t="shared" si="26"/>
        <v>0</v>
      </c>
      <c r="BZ35" s="136">
        <f t="shared" si="26"/>
        <v>0</v>
      </c>
      <c r="CA35" s="137">
        <f t="shared" si="26"/>
        <v>0</v>
      </c>
      <c r="CB35" s="138">
        <f t="shared" si="26"/>
        <v>0</v>
      </c>
      <c r="CC35" s="136">
        <f t="shared" si="26"/>
        <v>0</v>
      </c>
      <c r="CD35" s="136">
        <f t="shared" si="26"/>
        <v>0</v>
      </c>
      <c r="CE35" s="137">
        <f t="shared" si="26"/>
        <v>0</v>
      </c>
      <c r="CF35" s="135">
        <f t="shared" si="26"/>
        <v>0</v>
      </c>
      <c r="CG35" s="136">
        <f t="shared" si="26"/>
        <v>0</v>
      </c>
      <c r="CH35" s="136">
        <f t="shared" si="26"/>
        <v>0</v>
      </c>
      <c r="CI35" s="137">
        <f t="shared" si="26"/>
        <v>0</v>
      </c>
    </row>
    <row r="36" spans="1:87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20"/>
        <v>1</v>
      </c>
      <c r="K36" s="101">
        <v>0</v>
      </c>
      <c r="L36" s="132">
        <f t="shared" si="21"/>
        <v>0.1</v>
      </c>
      <c r="M36" s="132">
        <f t="shared" si="22"/>
        <v>0</v>
      </c>
      <c r="N36" s="132">
        <f t="shared" si="5"/>
        <v>-0.1</v>
      </c>
      <c r="O36" s="133" t="str">
        <f t="shared" si="23"/>
        <v>지연</v>
      </c>
      <c r="P36" s="104"/>
      <c r="Q36" s="104"/>
      <c r="R36" s="104"/>
      <c r="S36" s="104"/>
      <c r="T36" s="104"/>
      <c r="U36" s="104"/>
      <c r="V36" s="94"/>
      <c r="W36" s="94"/>
      <c r="X36" s="134" t="str">
        <f t="shared" si="4"/>
        <v/>
      </c>
      <c r="Y36" s="253">
        <f>NETWORKDAYS(P36,Q36,진행현황_전체!C$59:C$77)</f>
        <v>0</v>
      </c>
      <c r="Z36" s="258"/>
      <c r="AA36" s="135">
        <f t="shared" si="24"/>
        <v>0</v>
      </c>
      <c r="AB36" s="136">
        <f t="shared" si="24"/>
        <v>0</v>
      </c>
      <c r="AC36" s="136">
        <f t="shared" si="24"/>
        <v>0</v>
      </c>
      <c r="AD36" s="136">
        <f t="shared" si="24"/>
        <v>0</v>
      </c>
      <c r="AE36" s="137">
        <f t="shared" si="24"/>
        <v>0</v>
      </c>
      <c r="AF36" s="138">
        <f t="shared" si="24"/>
        <v>0</v>
      </c>
      <c r="AG36" s="136">
        <f t="shared" si="24"/>
        <v>0</v>
      </c>
      <c r="AH36" s="136">
        <f t="shared" si="24"/>
        <v>0</v>
      </c>
      <c r="AI36" s="137">
        <f t="shared" si="24"/>
        <v>0</v>
      </c>
      <c r="AJ36" s="135">
        <f t="shared" si="24"/>
        <v>0</v>
      </c>
      <c r="AK36" s="136">
        <f t="shared" si="24"/>
        <v>0</v>
      </c>
      <c r="AL36" s="136">
        <f t="shared" si="24"/>
        <v>0</v>
      </c>
      <c r="AM36" s="137">
        <f t="shared" si="24"/>
        <v>0</v>
      </c>
      <c r="AN36" s="135">
        <f t="shared" si="24"/>
        <v>0</v>
      </c>
      <c r="AO36" s="138">
        <f t="shared" si="24"/>
        <v>0</v>
      </c>
      <c r="AP36" s="136">
        <f t="shared" si="24"/>
        <v>0</v>
      </c>
      <c r="AQ36" s="136">
        <f t="shared" si="24"/>
        <v>0</v>
      </c>
      <c r="AR36" s="194">
        <f t="shared" si="24"/>
        <v>0</v>
      </c>
      <c r="AS36" s="138">
        <f t="shared" si="24"/>
        <v>0</v>
      </c>
      <c r="AT36" s="136">
        <f t="shared" si="24"/>
        <v>0</v>
      </c>
      <c r="AU36" s="136">
        <f t="shared" si="24"/>
        <v>0</v>
      </c>
      <c r="AV36" s="137">
        <f t="shared" si="25"/>
        <v>0</v>
      </c>
      <c r="AW36" s="135">
        <f t="shared" si="25"/>
        <v>0</v>
      </c>
      <c r="AX36" s="136">
        <f t="shared" si="25"/>
        <v>0</v>
      </c>
      <c r="AY36" s="136">
        <f t="shared" si="25"/>
        <v>0</v>
      </c>
      <c r="AZ36" s="137">
        <f t="shared" si="25"/>
        <v>0</v>
      </c>
      <c r="BA36" s="135">
        <f t="shared" si="25"/>
        <v>0</v>
      </c>
      <c r="BB36" s="136">
        <f t="shared" si="25"/>
        <v>0</v>
      </c>
      <c r="BC36" s="136">
        <f t="shared" si="25"/>
        <v>0</v>
      </c>
      <c r="BD36" s="136">
        <f t="shared" si="25"/>
        <v>0</v>
      </c>
      <c r="BE36" s="137">
        <f t="shared" si="25"/>
        <v>0</v>
      </c>
      <c r="BF36" s="138">
        <f t="shared" si="25"/>
        <v>0</v>
      </c>
      <c r="BG36" s="136">
        <f t="shared" si="25"/>
        <v>0</v>
      </c>
      <c r="BH36" s="136">
        <f t="shared" si="25"/>
        <v>0</v>
      </c>
      <c r="BI36" s="137">
        <f t="shared" si="25"/>
        <v>0</v>
      </c>
      <c r="BJ36" s="135">
        <f t="shared" si="25"/>
        <v>0</v>
      </c>
      <c r="BK36" s="136">
        <f t="shared" si="25"/>
        <v>0</v>
      </c>
      <c r="BL36" s="136">
        <f t="shared" si="26"/>
        <v>0</v>
      </c>
      <c r="BM36" s="137">
        <f t="shared" si="26"/>
        <v>0</v>
      </c>
      <c r="BN36" s="138">
        <f t="shared" si="26"/>
        <v>0</v>
      </c>
      <c r="BO36" s="136">
        <f t="shared" si="26"/>
        <v>0</v>
      </c>
      <c r="BP36" s="136">
        <f t="shared" si="26"/>
        <v>0</v>
      </c>
      <c r="BQ36" s="136">
        <f t="shared" si="26"/>
        <v>0</v>
      </c>
      <c r="BR36" s="137">
        <f t="shared" si="26"/>
        <v>0</v>
      </c>
      <c r="BS36" s="138">
        <f t="shared" si="26"/>
        <v>0</v>
      </c>
      <c r="BT36" s="136">
        <f t="shared" si="26"/>
        <v>0</v>
      </c>
      <c r="BU36" s="136">
        <f t="shared" si="26"/>
        <v>0</v>
      </c>
      <c r="BV36" s="137">
        <f t="shared" si="26"/>
        <v>0</v>
      </c>
      <c r="BW36" s="138">
        <f t="shared" si="26"/>
        <v>0</v>
      </c>
      <c r="BX36" s="136">
        <f t="shared" si="26"/>
        <v>0</v>
      </c>
      <c r="BY36" s="136">
        <f t="shared" si="26"/>
        <v>0</v>
      </c>
      <c r="BZ36" s="136">
        <f t="shared" si="26"/>
        <v>0</v>
      </c>
      <c r="CA36" s="137">
        <f t="shared" si="26"/>
        <v>0</v>
      </c>
      <c r="CB36" s="138">
        <f t="shared" si="26"/>
        <v>0</v>
      </c>
      <c r="CC36" s="136">
        <f t="shared" si="26"/>
        <v>0</v>
      </c>
      <c r="CD36" s="136">
        <f t="shared" si="26"/>
        <v>0</v>
      </c>
      <c r="CE36" s="137">
        <f t="shared" si="26"/>
        <v>0</v>
      </c>
      <c r="CF36" s="135">
        <f t="shared" si="26"/>
        <v>0</v>
      </c>
      <c r="CG36" s="136">
        <f t="shared" si="26"/>
        <v>0</v>
      </c>
      <c r="CH36" s="136">
        <f t="shared" si="26"/>
        <v>0</v>
      </c>
      <c r="CI36" s="137">
        <f t="shared" si="26"/>
        <v>0</v>
      </c>
    </row>
    <row r="37" spans="1:87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20"/>
        <v>1</v>
      </c>
      <c r="K37" s="101">
        <v>0</v>
      </c>
      <c r="L37" s="132">
        <f t="shared" si="21"/>
        <v>0.1</v>
      </c>
      <c r="M37" s="132">
        <f t="shared" si="22"/>
        <v>0</v>
      </c>
      <c r="N37" s="132">
        <f t="shared" si="5"/>
        <v>-0.1</v>
      </c>
      <c r="O37" s="133" t="str">
        <f t="shared" si="23"/>
        <v>지연</v>
      </c>
      <c r="P37" s="104"/>
      <c r="Q37" s="104"/>
      <c r="R37" s="104"/>
      <c r="S37" s="104"/>
      <c r="T37" s="104"/>
      <c r="U37" s="104"/>
      <c r="V37" s="94"/>
      <c r="W37" s="94"/>
      <c r="X37" s="134" t="str">
        <f t="shared" si="4"/>
        <v/>
      </c>
      <c r="Y37" s="253">
        <f>NETWORKDAYS(P37,Q37,진행현황_전체!C$59:C$77)</f>
        <v>0</v>
      </c>
      <c r="Z37" s="258"/>
      <c r="AA37" s="135">
        <f t="shared" si="24"/>
        <v>0</v>
      </c>
      <c r="AB37" s="136">
        <f t="shared" si="24"/>
        <v>0</v>
      </c>
      <c r="AC37" s="136">
        <f t="shared" si="24"/>
        <v>0</v>
      </c>
      <c r="AD37" s="136">
        <f t="shared" si="24"/>
        <v>0</v>
      </c>
      <c r="AE37" s="137">
        <f t="shared" si="24"/>
        <v>0</v>
      </c>
      <c r="AF37" s="138">
        <f t="shared" si="24"/>
        <v>0</v>
      </c>
      <c r="AG37" s="136">
        <f t="shared" si="24"/>
        <v>0</v>
      </c>
      <c r="AH37" s="136">
        <f t="shared" si="24"/>
        <v>0</v>
      </c>
      <c r="AI37" s="137">
        <f t="shared" si="24"/>
        <v>0</v>
      </c>
      <c r="AJ37" s="135">
        <f t="shared" si="24"/>
        <v>0</v>
      </c>
      <c r="AK37" s="136">
        <f t="shared" si="24"/>
        <v>0</v>
      </c>
      <c r="AL37" s="136">
        <f t="shared" si="24"/>
        <v>0</v>
      </c>
      <c r="AM37" s="137">
        <f t="shared" si="24"/>
        <v>0</v>
      </c>
      <c r="AN37" s="135">
        <f t="shared" si="24"/>
        <v>0</v>
      </c>
      <c r="AO37" s="138">
        <f t="shared" si="24"/>
        <v>0</v>
      </c>
      <c r="AP37" s="136">
        <f t="shared" si="24"/>
        <v>0</v>
      </c>
      <c r="AQ37" s="136">
        <f t="shared" si="24"/>
        <v>0</v>
      </c>
      <c r="AR37" s="194">
        <f t="shared" si="24"/>
        <v>0</v>
      </c>
      <c r="AS37" s="138">
        <f t="shared" si="24"/>
        <v>0</v>
      </c>
      <c r="AT37" s="136">
        <f t="shared" si="24"/>
        <v>0</v>
      </c>
      <c r="AU37" s="136">
        <f t="shared" si="24"/>
        <v>0</v>
      </c>
      <c r="AV37" s="137">
        <f t="shared" si="25"/>
        <v>0</v>
      </c>
      <c r="AW37" s="135">
        <f t="shared" si="25"/>
        <v>0</v>
      </c>
      <c r="AX37" s="136">
        <f t="shared" si="25"/>
        <v>0</v>
      </c>
      <c r="AY37" s="136">
        <f t="shared" si="25"/>
        <v>0</v>
      </c>
      <c r="AZ37" s="137">
        <f t="shared" si="25"/>
        <v>0</v>
      </c>
      <c r="BA37" s="135">
        <f t="shared" si="25"/>
        <v>0</v>
      </c>
      <c r="BB37" s="136">
        <f t="shared" si="25"/>
        <v>0</v>
      </c>
      <c r="BC37" s="136">
        <f t="shared" si="25"/>
        <v>0</v>
      </c>
      <c r="BD37" s="136">
        <f t="shared" si="25"/>
        <v>0</v>
      </c>
      <c r="BE37" s="137">
        <f t="shared" si="25"/>
        <v>0</v>
      </c>
      <c r="BF37" s="138">
        <f t="shared" si="25"/>
        <v>0</v>
      </c>
      <c r="BG37" s="136">
        <f t="shared" si="25"/>
        <v>0</v>
      </c>
      <c r="BH37" s="136">
        <f t="shared" si="25"/>
        <v>0</v>
      </c>
      <c r="BI37" s="137">
        <f t="shared" si="25"/>
        <v>0</v>
      </c>
      <c r="BJ37" s="135">
        <f t="shared" si="25"/>
        <v>0</v>
      </c>
      <c r="BK37" s="136">
        <f t="shared" si="25"/>
        <v>0</v>
      </c>
      <c r="BL37" s="136">
        <f t="shared" si="26"/>
        <v>0</v>
      </c>
      <c r="BM37" s="137">
        <f t="shared" si="26"/>
        <v>0</v>
      </c>
      <c r="BN37" s="138">
        <f t="shared" si="26"/>
        <v>0</v>
      </c>
      <c r="BO37" s="136">
        <f t="shared" si="26"/>
        <v>0</v>
      </c>
      <c r="BP37" s="136">
        <f t="shared" si="26"/>
        <v>0</v>
      </c>
      <c r="BQ37" s="136">
        <f t="shared" si="26"/>
        <v>0</v>
      </c>
      <c r="BR37" s="137">
        <f t="shared" si="26"/>
        <v>0</v>
      </c>
      <c r="BS37" s="138">
        <f t="shared" si="26"/>
        <v>0</v>
      </c>
      <c r="BT37" s="136">
        <f t="shared" si="26"/>
        <v>0</v>
      </c>
      <c r="BU37" s="136">
        <f t="shared" si="26"/>
        <v>0</v>
      </c>
      <c r="BV37" s="137">
        <f t="shared" si="26"/>
        <v>0</v>
      </c>
      <c r="BW37" s="138">
        <f t="shared" si="26"/>
        <v>0</v>
      </c>
      <c r="BX37" s="136">
        <f t="shared" si="26"/>
        <v>0</v>
      </c>
      <c r="BY37" s="136">
        <f t="shared" si="26"/>
        <v>0</v>
      </c>
      <c r="BZ37" s="136">
        <f t="shared" si="26"/>
        <v>0</v>
      </c>
      <c r="CA37" s="137">
        <f t="shared" si="26"/>
        <v>0</v>
      </c>
      <c r="CB37" s="138">
        <f t="shared" si="26"/>
        <v>0</v>
      </c>
      <c r="CC37" s="136">
        <f t="shared" si="26"/>
        <v>0</v>
      </c>
      <c r="CD37" s="136">
        <f t="shared" si="26"/>
        <v>0</v>
      </c>
      <c r="CE37" s="137">
        <f t="shared" si="26"/>
        <v>0</v>
      </c>
      <c r="CF37" s="135">
        <f t="shared" si="26"/>
        <v>0</v>
      </c>
      <c r="CG37" s="136">
        <f t="shared" si="26"/>
        <v>0</v>
      </c>
      <c r="CH37" s="136">
        <f t="shared" si="26"/>
        <v>0</v>
      </c>
      <c r="CI37" s="137">
        <f t="shared" si="26"/>
        <v>0</v>
      </c>
    </row>
    <row r="38" spans="1:87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20"/>
        <v>1</v>
      </c>
      <c r="K38" s="101">
        <v>0</v>
      </c>
      <c r="L38" s="132">
        <f t="shared" si="21"/>
        <v>0.1</v>
      </c>
      <c r="M38" s="132">
        <f t="shared" si="22"/>
        <v>0</v>
      </c>
      <c r="N38" s="132">
        <f t="shared" si="5"/>
        <v>-0.1</v>
      </c>
      <c r="O38" s="133" t="str">
        <f t="shared" si="23"/>
        <v>지연</v>
      </c>
      <c r="P38" s="104"/>
      <c r="Q38" s="104"/>
      <c r="R38" s="104"/>
      <c r="S38" s="104"/>
      <c r="T38" s="104"/>
      <c r="U38" s="104"/>
      <c r="V38" s="130"/>
      <c r="W38" s="130"/>
      <c r="X38" s="134" t="str">
        <f t="shared" si="4"/>
        <v/>
      </c>
      <c r="Y38" s="253">
        <f>NETWORKDAYS(P38,Q38,진행현황_전체!C$59:C$77)</f>
        <v>0</v>
      </c>
      <c r="Z38" s="258"/>
      <c r="AA38" s="135">
        <f t="shared" si="24"/>
        <v>0</v>
      </c>
      <c r="AB38" s="136">
        <f t="shared" si="24"/>
        <v>0</v>
      </c>
      <c r="AC38" s="136">
        <f t="shared" si="24"/>
        <v>0</v>
      </c>
      <c r="AD38" s="136">
        <f t="shared" si="24"/>
        <v>0</v>
      </c>
      <c r="AE38" s="137">
        <f t="shared" si="24"/>
        <v>0</v>
      </c>
      <c r="AF38" s="138">
        <f t="shared" si="24"/>
        <v>0</v>
      </c>
      <c r="AG38" s="136">
        <f t="shared" si="24"/>
        <v>0</v>
      </c>
      <c r="AH38" s="136">
        <f t="shared" si="24"/>
        <v>0</v>
      </c>
      <c r="AI38" s="137">
        <f t="shared" si="24"/>
        <v>0</v>
      </c>
      <c r="AJ38" s="135">
        <f t="shared" si="24"/>
        <v>0</v>
      </c>
      <c r="AK38" s="136">
        <f t="shared" si="24"/>
        <v>0</v>
      </c>
      <c r="AL38" s="136">
        <f t="shared" si="24"/>
        <v>0</v>
      </c>
      <c r="AM38" s="137">
        <f t="shared" si="24"/>
        <v>0</v>
      </c>
      <c r="AN38" s="135">
        <f t="shared" si="24"/>
        <v>0</v>
      </c>
      <c r="AO38" s="138">
        <f t="shared" si="24"/>
        <v>0</v>
      </c>
      <c r="AP38" s="136">
        <f t="shared" si="24"/>
        <v>0</v>
      </c>
      <c r="AQ38" s="136">
        <f t="shared" si="24"/>
        <v>0</v>
      </c>
      <c r="AR38" s="194">
        <f t="shared" si="24"/>
        <v>0</v>
      </c>
      <c r="AS38" s="138">
        <f t="shared" si="24"/>
        <v>0</v>
      </c>
      <c r="AT38" s="136">
        <f t="shared" si="24"/>
        <v>0</v>
      </c>
      <c r="AU38" s="136">
        <f t="shared" si="24"/>
        <v>0</v>
      </c>
      <c r="AV38" s="137">
        <f t="shared" si="25"/>
        <v>0</v>
      </c>
      <c r="AW38" s="135">
        <f t="shared" si="25"/>
        <v>0</v>
      </c>
      <c r="AX38" s="136">
        <f t="shared" si="25"/>
        <v>0</v>
      </c>
      <c r="AY38" s="136">
        <f t="shared" si="25"/>
        <v>0</v>
      </c>
      <c r="AZ38" s="137">
        <f t="shared" si="25"/>
        <v>0</v>
      </c>
      <c r="BA38" s="135">
        <f t="shared" si="25"/>
        <v>0</v>
      </c>
      <c r="BB38" s="136">
        <f t="shared" si="25"/>
        <v>0</v>
      </c>
      <c r="BC38" s="136">
        <f t="shared" si="25"/>
        <v>0</v>
      </c>
      <c r="BD38" s="136">
        <f t="shared" si="25"/>
        <v>0</v>
      </c>
      <c r="BE38" s="137">
        <f t="shared" si="25"/>
        <v>0</v>
      </c>
      <c r="BF38" s="138">
        <f t="shared" si="25"/>
        <v>0</v>
      </c>
      <c r="BG38" s="136">
        <f t="shared" si="25"/>
        <v>0</v>
      </c>
      <c r="BH38" s="136">
        <f t="shared" si="25"/>
        <v>0</v>
      </c>
      <c r="BI38" s="137">
        <f t="shared" si="25"/>
        <v>0</v>
      </c>
      <c r="BJ38" s="135">
        <f t="shared" si="25"/>
        <v>0</v>
      </c>
      <c r="BK38" s="136">
        <f t="shared" si="25"/>
        <v>0</v>
      </c>
      <c r="BL38" s="136">
        <f t="shared" si="26"/>
        <v>0</v>
      </c>
      <c r="BM38" s="137">
        <f t="shared" si="26"/>
        <v>0</v>
      </c>
      <c r="BN38" s="138">
        <f t="shared" si="26"/>
        <v>0</v>
      </c>
      <c r="BO38" s="136">
        <f t="shared" si="26"/>
        <v>0</v>
      </c>
      <c r="BP38" s="136">
        <f t="shared" si="26"/>
        <v>0</v>
      </c>
      <c r="BQ38" s="136">
        <f t="shared" si="26"/>
        <v>0</v>
      </c>
      <c r="BR38" s="137">
        <f t="shared" si="26"/>
        <v>0</v>
      </c>
      <c r="BS38" s="138">
        <f t="shared" si="26"/>
        <v>0</v>
      </c>
      <c r="BT38" s="136">
        <f t="shared" si="26"/>
        <v>0</v>
      </c>
      <c r="BU38" s="136">
        <f t="shared" si="26"/>
        <v>0</v>
      </c>
      <c r="BV38" s="137">
        <f t="shared" si="26"/>
        <v>0</v>
      </c>
      <c r="BW38" s="138">
        <f t="shared" si="26"/>
        <v>0</v>
      </c>
      <c r="BX38" s="136">
        <f t="shared" si="26"/>
        <v>0</v>
      </c>
      <c r="BY38" s="136">
        <f t="shared" si="26"/>
        <v>0</v>
      </c>
      <c r="BZ38" s="136">
        <f t="shared" si="26"/>
        <v>0</v>
      </c>
      <c r="CA38" s="137">
        <f t="shared" si="26"/>
        <v>0</v>
      </c>
      <c r="CB38" s="138">
        <f t="shared" si="26"/>
        <v>0</v>
      </c>
      <c r="CC38" s="136">
        <f t="shared" si="26"/>
        <v>0</v>
      </c>
      <c r="CD38" s="136">
        <f t="shared" si="26"/>
        <v>0</v>
      </c>
      <c r="CE38" s="137">
        <f t="shared" si="26"/>
        <v>0</v>
      </c>
      <c r="CF38" s="135">
        <f t="shared" si="26"/>
        <v>0</v>
      </c>
      <c r="CG38" s="136">
        <f t="shared" si="26"/>
        <v>0</v>
      </c>
      <c r="CH38" s="136">
        <f t="shared" si="26"/>
        <v>0</v>
      </c>
      <c r="CI38" s="137">
        <f t="shared" si="26"/>
        <v>0</v>
      </c>
    </row>
    <row r="39" spans="1:87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20"/>
        <v>1</v>
      </c>
      <c r="K39" s="101">
        <v>0</v>
      </c>
      <c r="L39" s="132">
        <f t="shared" si="21"/>
        <v>0.1</v>
      </c>
      <c r="M39" s="132">
        <f t="shared" si="22"/>
        <v>0</v>
      </c>
      <c r="N39" s="132">
        <f t="shared" si="5"/>
        <v>-0.1</v>
      </c>
      <c r="O39" s="133" t="str">
        <f t="shared" si="23"/>
        <v>지연</v>
      </c>
      <c r="P39" s="104"/>
      <c r="Q39" s="104"/>
      <c r="R39" s="104"/>
      <c r="S39" s="104"/>
      <c r="T39" s="104"/>
      <c r="U39" s="104"/>
      <c r="V39" s="94"/>
      <c r="W39" s="94"/>
      <c r="X39" s="134" t="str">
        <f t="shared" si="4"/>
        <v/>
      </c>
      <c r="Y39" s="253">
        <f>NETWORKDAYS(P39,Q39,진행현황_전체!C$59:C$77)</f>
        <v>0</v>
      </c>
      <c r="Z39" s="258"/>
      <c r="AA39" s="135">
        <f t="shared" si="24"/>
        <v>0</v>
      </c>
      <c r="AB39" s="136">
        <f t="shared" si="24"/>
        <v>0</v>
      </c>
      <c r="AC39" s="136">
        <f t="shared" si="24"/>
        <v>0</v>
      </c>
      <c r="AD39" s="136">
        <f t="shared" si="24"/>
        <v>0</v>
      </c>
      <c r="AE39" s="137">
        <f t="shared" si="24"/>
        <v>0</v>
      </c>
      <c r="AF39" s="138">
        <f t="shared" si="24"/>
        <v>0</v>
      </c>
      <c r="AG39" s="136">
        <f t="shared" si="24"/>
        <v>0</v>
      </c>
      <c r="AH39" s="136">
        <f t="shared" si="24"/>
        <v>0</v>
      </c>
      <c r="AI39" s="137">
        <f t="shared" si="24"/>
        <v>0</v>
      </c>
      <c r="AJ39" s="135">
        <f t="shared" si="24"/>
        <v>0</v>
      </c>
      <c r="AK39" s="136">
        <f t="shared" si="24"/>
        <v>0</v>
      </c>
      <c r="AL39" s="136">
        <f t="shared" si="24"/>
        <v>0</v>
      </c>
      <c r="AM39" s="137">
        <f t="shared" si="24"/>
        <v>0</v>
      </c>
      <c r="AN39" s="135">
        <f t="shared" si="24"/>
        <v>0</v>
      </c>
      <c r="AO39" s="138">
        <f t="shared" si="24"/>
        <v>0</v>
      </c>
      <c r="AP39" s="136">
        <f t="shared" si="24"/>
        <v>0</v>
      </c>
      <c r="AQ39" s="136">
        <f t="shared" si="24"/>
        <v>0</v>
      </c>
      <c r="AR39" s="194">
        <f t="shared" si="24"/>
        <v>0</v>
      </c>
      <c r="AS39" s="138">
        <f t="shared" si="24"/>
        <v>0</v>
      </c>
      <c r="AT39" s="136">
        <f t="shared" si="24"/>
        <v>0</v>
      </c>
      <c r="AU39" s="136">
        <f t="shared" si="24"/>
        <v>0</v>
      </c>
      <c r="AV39" s="137">
        <f t="shared" si="25"/>
        <v>0</v>
      </c>
      <c r="AW39" s="135">
        <f t="shared" si="25"/>
        <v>0</v>
      </c>
      <c r="AX39" s="136">
        <f t="shared" si="25"/>
        <v>0</v>
      </c>
      <c r="AY39" s="136">
        <f t="shared" si="25"/>
        <v>0</v>
      </c>
      <c r="AZ39" s="137">
        <f t="shared" si="25"/>
        <v>0</v>
      </c>
      <c r="BA39" s="135">
        <f t="shared" si="25"/>
        <v>0</v>
      </c>
      <c r="BB39" s="136">
        <f t="shared" si="25"/>
        <v>0</v>
      </c>
      <c r="BC39" s="136">
        <f t="shared" si="25"/>
        <v>0</v>
      </c>
      <c r="BD39" s="136">
        <f t="shared" si="25"/>
        <v>0</v>
      </c>
      <c r="BE39" s="137">
        <f t="shared" si="25"/>
        <v>0</v>
      </c>
      <c r="BF39" s="138">
        <f t="shared" si="25"/>
        <v>0</v>
      </c>
      <c r="BG39" s="136">
        <f t="shared" si="25"/>
        <v>0</v>
      </c>
      <c r="BH39" s="136">
        <f t="shared" si="25"/>
        <v>0</v>
      </c>
      <c r="BI39" s="137">
        <f t="shared" si="25"/>
        <v>0</v>
      </c>
      <c r="BJ39" s="135">
        <f t="shared" si="25"/>
        <v>0</v>
      </c>
      <c r="BK39" s="136">
        <f t="shared" si="25"/>
        <v>0</v>
      </c>
      <c r="BL39" s="136">
        <f t="shared" si="26"/>
        <v>0</v>
      </c>
      <c r="BM39" s="137">
        <f t="shared" si="26"/>
        <v>0</v>
      </c>
      <c r="BN39" s="138">
        <f t="shared" si="26"/>
        <v>0</v>
      </c>
      <c r="BO39" s="136">
        <f t="shared" si="26"/>
        <v>0</v>
      </c>
      <c r="BP39" s="136">
        <f t="shared" si="26"/>
        <v>0</v>
      </c>
      <c r="BQ39" s="136">
        <f t="shared" si="26"/>
        <v>0</v>
      </c>
      <c r="BR39" s="137">
        <f t="shared" si="26"/>
        <v>0</v>
      </c>
      <c r="BS39" s="138">
        <f t="shared" si="26"/>
        <v>0</v>
      </c>
      <c r="BT39" s="136">
        <f t="shared" si="26"/>
        <v>0</v>
      </c>
      <c r="BU39" s="136">
        <f t="shared" si="26"/>
        <v>0</v>
      </c>
      <c r="BV39" s="137">
        <f t="shared" si="26"/>
        <v>0</v>
      </c>
      <c r="BW39" s="138">
        <f t="shared" si="26"/>
        <v>0</v>
      </c>
      <c r="BX39" s="136">
        <f t="shared" si="26"/>
        <v>0</v>
      </c>
      <c r="BY39" s="136">
        <f t="shared" si="26"/>
        <v>0</v>
      </c>
      <c r="BZ39" s="136">
        <f t="shared" si="26"/>
        <v>0</v>
      </c>
      <c r="CA39" s="137">
        <f t="shared" si="26"/>
        <v>0</v>
      </c>
      <c r="CB39" s="138">
        <f t="shared" si="26"/>
        <v>0</v>
      </c>
      <c r="CC39" s="136">
        <f t="shared" si="26"/>
        <v>0</v>
      </c>
      <c r="CD39" s="136">
        <f t="shared" si="26"/>
        <v>0</v>
      </c>
      <c r="CE39" s="137">
        <f t="shared" si="26"/>
        <v>0</v>
      </c>
      <c r="CF39" s="135">
        <f t="shared" si="26"/>
        <v>0</v>
      </c>
      <c r="CG39" s="136">
        <f t="shared" si="26"/>
        <v>0</v>
      </c>
      <c r="CH39" s="136">
        <f t="shared" si="26"/>
        <v>0</v>
      </c>
      <c r="CI39" s="137">
        <f t="shared" si="26"/>
        <v>0</v>
      </c>
    </row>
    <row r="40" spans="1:87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20"/>
        <v>1</v>
      </c>
      <c r="K40" s="101">
        <v>0</v>
      </c>
      <c r="L40" s="132">
        <f t="shared" si="21"/>
        <v>0.1</v>
      </c>
      <c r="M40" s="132">
        <f t="shared" si="22"/>
        <v>0</v>
      </c>
      <c r="N40" s="132">
        <f t="shared" si="5"/>
        <v>-0.1</v>
      </c>
      <c r="O40" s="133" t="str">
        <f t="shared" si="23"/>
        <v>지연</v>
      </c>
      <c r="P40" s="104"/>
      <c r="Q40" s="104"/>
      <c r="R40" s="104"/>
      <c r="S40" s="104"/>
      <c r="T40" s="104"/>
      <c r="U40" s="104"/>
      <c r="V40" s="94"/>
      <c r="W40" s="94"/>
      <c r="X40" s="134" t="str">
        <f t="shared" si="4"/>
        <v/>
      </c>
      <c r="Y40" s="253">
        <f>NETWORKDAYS(P40,Q40,진행현황_전체!C$59:C$77)</f>
        <v>0</v>
      </c>
      <c r="Z40" s="258"/>
      <c r="AA40" s="135">
        <f t="shared" si="24"/>
        <v>0</v>
      </c>
      <c r="AB40" s="136">
        <f t="shared" si="24"/>
        <v>0</v>
      </c>
      <c r="AC40" s="136">
        <f t="shared" si="24"/>
        <v>0</v>
      </c>
      <c r="AD40" s="136">
        <f t="shared" si="24"/>
        <v>0</v>
      </c>
      <c r="AE40" s="137">
        <f t="shared" si="24"/>
        <v>0</v>
      </c>
      <c r="AF40" s="138">
        <f t="shared" si="24"/>
        <v>0</v>
      </c>
      <c r="AG40" s="136">
        <f t="shared" si="24"/>
        <v>0</v>
      </c>
      <c r="AH40" s="136">
        <f t="shared" si="24"/>
        <v>0</v>
      </c>
      <c r="AI40" s="137">
        <f t="shared" si="24"/>
        <v>0</v>
      </c>
      <c r="AJ40" s="135">
        <f t="shared" si="24"/>
        <v>0</v>
      </c>
      <c r="AK40" s="136">
        <f t="shared" si="24"/>
        <v>0</v>
      </c>
      <c r="AL40" s="136">
        <f t="shared" si="24"/>
        <v>0</v>
      </c>
      <c r="AM40" s="137">
        <f t="shared" si="24"/>
        <v>0</v>
      </c>
      <c r="AN40" s="135">
        <f t="shared" si="24"/>
        <v>0</v>
      </c>
      <c r="AO40" s="138">
        <f t="shared" si="24"/>
        <v>0</v>
      </c>
      <c r="AP40" s="136">
        <f t="shared" si="24"/>
        <v>0</v>
      </c>
      <c r="AQ40" s="136">
        <f t="shared" si="24"/>
        <v>0</v>
      </c>
      <c r="AR40" s="194">
        <f t="shared" si="24"/>
        <v>0</v>
      </c>
      <c r="AS40" s="138">
        <f t="shared" si="24"/>
        <v>0</v>
      </c>
      <c r="AT40" s="136">
        <f t="shared" si="24"/>
        <v>0</v>
      </c>
      <c r="AU40" s="136">
        <f t="shared" si="24"/>
        <v>0</v>
      </c>
      <c r="AV40" s="137">
        <f t="shared" si="25"/>
        <v>0</v>
      </c>
      <c r="AW40" s="135">
        <f t="shared" si="25"/>
        <v>0</v>
      </c>
      <c r="AX40" s="136">
        <f t="shared" si="25"/>
        <v>0</v>
      </c>
      <c r="AY40" s="136">
        <f t="shared" si="25"/>
        <v>0</v>
      </c>
      <c r="AZ40" s="137">
        <f t="shared" si="25"/>
        <v>0</v>
      </c>
      <c r="BA40" s="135">
        <f t="shared" si="25"/>
        <v>0</v>
      </c>
      <c r="BB40" s="136">
        <f t="shared" si="25"/>
        <v>0</v>
      </c>
      <c r="BC40" s="136">
        <f t="shared" si="25"/>
        <v>0</v>
      </c>
      <c r="BD40" s="136">
        <f t="shared" si="25"/>
        <v>0</v>
      </c>
      <c r="BE40" s="137">
        <f t="shared" si="25"/>
        <v>0</v>
      </c>
      <c r="BF40" s="138">
        <f t="shared" si="25"/>
        <v>0</v>
      </c>
      <c r="BG40" s="136">
        <f t="shared" si="25"/>
        <v>0</v>
      </c>
      <c r="BH40" s="136">
        <f t="shared" si="25"/>
        <v>0</v>
      </c>
      <c r="BI40" s="137">
        <f t="shared" si="25"/>
        <v>0</v>
      </c>
      <c r="BJ40" s="135">
        <f t="shared" si="25"/>
        <v>0</v>
      </c>
      <c r="BK40" s="136">
        <f t="shared" si="25"/>
        <v>0</v>
      </c>
      <c r="BL40" s="136">
        <f t="shared" si="26"/>
        <v>0</v>
      </c>
      <c r="BM40" s="137">
        <f t="shared" si="26"/>
        <v>0</v>
      </c>
      <c r="BN40" s="138">
        <f t="shared" si="26"/>
        <v>0</v>
      </c>
      <c r="BO40" s="136">
        <f t="shared" si="26"/>
        <v>0</v>
      </c>
      <c r="BP40" s="136">
        <f t="shared" si="26"/>
        <v>0</v>
      </c>
      <c r="BQ40" s="136">
        <f t="shared" si="26"/>
        <v>0</v>
      </c>
      <c r="BR40" s="137">
        <f t="shared" si="26"/>
        <v>0</v>
      </c>
      <c r="BS40" s="138">
        <f t="shared" si="26"/>
        <v>0</v>
      </c>
      <c r="BT40" s="136">
        <f t="shared" si="26"/>
        <v>0</v>
      </c>
      <c r="BU40" s="136">
        <f t="shared" si="26"/>
        <v>0</v>
      </c>
      <c r="BV40" s="137">
        <f t="shared" si="26"/>
        <v>0</v>
      </c>
      <c r="BW40" s="138">
        <f t="shared" si="26"/>
        <v>0</v>
      </c>
      <c r="BX40" s="136">
        <f t="shared" si="26"/>
        <v>0</v>
      </c>
      <c r="BY40" s="136">
        <f t="shared" si="26"/>
        <v>0</v>
      </c>
      <c r="BZ40" s="136">
        <f t="shared" si="26"/>
        <v>0</v>
      </c>
      <c r="CA40" s="137">
        <f t="shared" si="26"/>
        <v>0</v>
      </c>
      <c r="CB40" s="138">
        <f t="shared" si="26"/>
        <v>0</v>
      </c>
      <c r="CC40" s="136">
        <f t="shared" si="26"/>
        <v>0</v>
      </c>
      <c r="CD40" s="136">
        <f t="shared" si="26"/>
        <v>0</v>
      </c>
      <c r="CE40" s="137">
        <f t="shared" si="26"/>
        <v>0</v>
      </c>
      <c r="CF40" s="135">
        <f t="shared" si="26"/>
        <v>0</v>
      </c>
      <c r="CG40" s="136">
        <f t="shared" si="26"/>
        <v>0</v>
      </c>
      <c r="CH40" s="136">
        <f t="shared" si="26"/>
        <v>0</v>
      </c>
      <c r="CI40" s="137">
        <f t="shared" si="26"/>
        <v>0</v>
      </c>
    </row>
    <row r="41" spans="1:87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20"/>
        <v>1</v>
      </c>
      <c r="K41" s="101">
        <v>0</v>
      </c>
      <c r="L41" s="132">
        <f t="shared" si="21"/>
        <v>0.1</v>
      </c>
      <c r="M41" s="132">
        <f t="shared" si="22"/>
        <v>0</v>
      </c>
      <c r="N41" s="132">
        <f t="shared" si="5"/>
        <v>-0.1</v>
      </c>
      <c r="O41" s="133" t="str">
        <f t="shared" si="23"/>
        <v>지연</v>
      </c>
      <c r="P41" s="104"/>
      <c r="Q41" s="104"/>
      <c r="R41" s="104"/>
      <c r="S41" s="104"/>
      <c r="T41" s="104"/>
      <c r="U41" s="104"/>
      <c r="V41" s="94"/>
      <c r="W41" s="94"/>
      <c r="X41" s="134" t="str">
        <f t="shared" ref="X41:X72" si="27">IF(ISBLANK(V41),"",(DAYS360(VLOOKUP(V41,$A$9:$Q$97,15,FALSE),P41)-1))</f>
        <v/>
      </c>
      <c r="Y41" s="253">
        <f>NETWORKDAYS(P41,Q41,진행현황_전체!C$59:C$77)</f>
        <v>0</v>
      </c>
      <c r="Z41" s="258"/>
      <c r="AA41" s="135">
        <f t="shared" si="24"/>
        <v>0</v>
      </c>
      <c r="AB41" s="136">
        <f t="shared" si="24"/>
        <v>0</v>
      </c>
      <c r="AC41" s="136">
        <f t="shared" si="24"/>
        <v>0</v>
      </c>
      <c r="AD41" s="136">
        <f t="shared" si="24"/>
        <v>0</v>
      </c>
      <c r="AE41" s="137">
        <f t="shared" si="24"/>
        <v>0</v>
      </c>
      <c r="AF41" s="138">
        <f t="shared" si="24"/>
        <v>0</v>
      </c>
      <c r="AG41" s="136">
        <f t="shared" si="24"/>
        <v>0</v>
      </c>
      <c r="AH41" s="136">
        <f t="shared" si="24"/>
        <v>0</v>
      </c>
      <c r="AI41" s="137">
        <f t="shared" si="24"/>
        <v>0</v>
      </c>
      <c r="AJ41" s="135">
        <f t="shared" si="24"/>
        <v>0</v>
      </c>
      <c r="AK41" s="136">
        <f t="shared" si="24"/>
        <v>0</v>
      </c>
      <c r="AL41" s="136">
        <f t="shared" si="24"/>
        <v>0</v>
      </c>
      <c r="AM41" s="137">
        <f t="shared" si="24"/>
        <v>0</v>
      </c>
      <c r="AN41" s="135">
        <f t="shared" si="24"/>
        <v>0</v>
      </c>
      <c r="AO41" s="138">
        <f t="shared" si="24"/>
        <v>0</v>
      </c>
      <c r="AP41" s="136">
        <f t="shared" si="24"/>
        <v>0</v>
      </c>
      <c r="AQ41" s="136">
        <f t="shared" si="24"/>
        <v>0</v>
      </c>
      <c r="AR41" s="194">
        <f t="shared" si="24"/>
        <v>0</v>
      </c>
      <c r="AS41" s="138">
        <f t="shared" si="24"/>
        <v>0</v>
      </c>
      <c r="AT41" s="136">
        <f t="shared" si="24"/>
        <v>0</v>
      </c>
      <c r="AU41" s="136">
        <f t="shared" si="24"/>
        <v>0</v>
      </c>
      <c r="AV41" s="137">
        <f t="shared" si="25"/>
        <v>0</v>
      </c>
      <c r="AW41" s="135">
        <f t="shared" si="25"/>
        <v>0</v>
      </c>
      <c r="AX41" s="136">
        <f t="shared" si="25"/>
        <v>0</v>
      </c>
      <c r="AY41" s="136">
        <f t="shared" si="25"/>
        <v>0</v>
      </c>
      <c r="AZ41" s="137">
        <f t="shared" si="25"/>
        <v>0</v>
      </c>
      <c r="BA41" s="135">
        <f t="shared" si="25"/>
        <v>0</v>
      </c>
      <c r="BB41" s="136">
        <f t="shared" si="25"/>
        <v>0</v>
      </c>
      <c r="BC41" s="136">
        <f t="shared" si="25"/>
        <v>0</v>
      </c>
      <c r="BD41" s="136">
        <f t="shared" si="25"/>
        <v>0</v>
      </c>
      <c r="BE41" s="137">
        <f t="shared" si="25"/>
        <v>0</v>
      </c>
      <c r="BF41" s="138">
        <f t="shared" si="25"/>
        <v>0</v>
      </c>
      <c r="BG41" s="136">
        <f t="shared" si="25"/>
        <v>0</v>
      </c>
      <c r="BH41" s="136">
        <f t="shared" si="25"/>
        <v>0</v>
      </c>
      <c r="BI41" s="137">
        <f t="shared" si="25"/>
        <v>0</v>
      </c>
      <c r="BJ41" s="135">
        <f t="shared" si="25"/>
        <v>0</v>
      </c>
      <c r="BK41" s="136">
        <f t="shared" si="25"/>
        <v>0</v>
      </c>
      <c r="BL41" s="136">
        <f t="shared" si="26"/>
        <v>0</v>
      </c>
      <c r="BM41" s="137">
        <f t="shared" si="26"/>
        <v>0</v>
      </c>
      <c r="BN41" s="138">
        <f t="shared" si="26"/>
        <v>0</v>
      </c>
      <c r="BO41" s="136">
        <f t="shared" si="26"/>
        <v>0</v>
      </c>
      <c r="BP41" s="136">
        <f t="shared" si="26"/>
        <v>0</v>
      </c>
      <c r="BQ41" s="136">
        <f t="shared" si="26"/>
        <v>0</v>
      </c>
      <c r="BR41" s="137">
        <f t="shared" si="26"/>
        <v>0</v>
      </c>
      <c r="BS41" s="138">
        <f t="shared" si="26"/>
        <v>0</v>
      </c>
      <c r="BT41" s="136">
        <f t="shared" si="26"/>
        <v>0</v>
      </c>
      <c r="BU41" s="136">
        <f t="shared" si="26"/>
        <v>0</v>
      </c>
      <c r="BV41" s="137">
        <f t="shared" si="26"/>
        <v>0</v>
      </c>
      <c r="BW41" s="138">
        <f t="shared" si="26"/>
        <v>0</v>
      </c>
      <c r="BX41" s="136">
        <f t="shared" si="26"/>
        <v>0</v>
      </c>
      <c r="BY41" s="136">
        <f t="shared" si="26"/>
        <v>0</v>
      </c>
      <c r="BZ41" s="136">
        <f t="shared" si="26"/>
        <v>0</v>
      </c>
      <c r="CA41" s="137">
        <f t="shared" si="26"/>
        <v>0</v>
      </c>
      <c r="CB41" s="138">
        <f t="shared" si="26"/>
        <v>0</v>
      </c>
      <c r="CC41" s="136">
        <f t="shared" si="26"/>
        <v>0</v>
      </c>
      <c r="CD41" s="136">
        <f t="shared" si="26"/>
        <v>0</v>
      </c>
      <c r="CE41" s="137">
        <f t="shared" si="26"/>
        <v>0</v>
      </c>
      <c r="CF41" s="135">
        <f t="shared" si="26"/>
        <v>0</v>
      </c>
      <c r="CG41" s="136">
        <f t="shared" si="26"/>
        <v>0</v>
      </c>
      <c r="CH41" s="136">
        <f t="shared" si="26"/>
        <v>0</v>
      </c>
      <c r="CI41" s="137">
        <f t="shared" si="26"/>
        <v>0</v>
      </c>
    </row>
    <row r="42" spans="1:87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20"/>
        <v>1</v>
      </c>
      <c r="K42" s="101">
        <v>0</v>
      </c>
      <c r="L42" s="132">
        <f t="shared" si="21"/>
        <v>0.1</v>
      </c>
      <c r="M42" s="132">
        <f t="shared" si="22"/>
        <v>0</v>
      </c>
      <c r="N42" s="132">
        <f t="shared" si="5"/>
        <v>-0.1</v>
      </c>
      <c r="O42" s="133" t="str">
        <f t="shared" si="23"/>
        <v>지연</v>
      </c>
      <c r="P42" s="104"/>
      <c r="Q42" s="104"/>
      <c r="R42" s="104"/>
      <c r="S42" s="104"/>
      <c r="T42" s="104"/>
      <c r="U42" s="104"/>
      <c r="V42" s="94"/>
      <c r="W42" s="94"/>
      <c r="X42" s="134" t="str">
        <f t="shared" si="27"/>
        <v/>
      </c>
      <c r="Y42" s="253">
        <f>NETWORKDAYS(P42,Q42,진행현황_전체!C$59:C$77)</f>
        <v>0</v>
      </c>
      <c r="Z42" s="258"/>
      <c r="AA42" s="135">
        <f t="shared" si="24"/>
        <v>0</v>
      </c>
      <c r="AB42" s="136">
        <f t="shared" si="24"/>
        <v>0</v>
      </c>
      <c r="AC42" s="136">
        <f t="shared" si="24"/>
        <v>0</v>
      </c>
      <c r="AD42" s="136">
        <f t="shared" si="24"/>
        <v>0</v>
      </c>
      <c r="AE42" s="137">
        <f t="shared" si="24"/>
        <v>0</v>
      </c>
      <c r="AF42" s="138">
        <f t="shared" si="24"/>
        <v>0</v>
      </c>
      <c r="AG42" s="136">
        <f t="shared" si="24"/>
        <v>0</v>
      </c>
      <c r="AH42" s="136">
        <f t="shared" si="24"/>
        <v>0</v>
      </c>
      <c r="AI42" s="137">
        <f t="shared" si="24"/>
        <v>0</v>
      </c>
      <c r="AJ42" s="135">
        <f t="shared" si="24"/>
        <v>0</v>
      </c>
      <c r="AK42" s="136">
        <f t="shared" si="24"/>
        <v>0</v>
      </c>
      <c r="AL42" s="136">
        <f t="shared" si="24"/>
        <v>0</v>
      </c>
      <c r="AM42" s="137">
        <f t="shared" si="24"/>
        <v>0</v>
      </c>
      <c r="AN42" s="135">
        <f t="shared" si="24"/>
        <v>0</v>
      </c>
      <c r="AO42" s="138">
        <f t="shared" si="24"/>
        <v>0</v>
      </c>
      <c r="AP42" s="136">
        <f t="shared" si="24"/>
        <v>0</v>
      </c>
      <c r="AQ42" s="136">
        <f t="shared" si="24"/>
        <v>0</v>
      </c>
      <c r="AR42" s="194">
        <f t="shared" si="24"/>
        <v>0</v>
      </c>
      <c r="AS42" s="138">
        <f t="shared" si="24"/>
        <v>0</v>
      </c>
      <c r="AT42" s="136">
        <f t="shared" si="24"/>
        <v>0</v>
      </c>
      <c r="AU42" s="136">
        <f t="shared" si="24"/>
        <v>0</v>
      </c>
      <c r="AV42" s="137">
        <f t="shared" si="25"/>
        <v>0</v>
      </c>
      <c r="AW42" s="135">
        <f t="shared" si="25"/>
        <v>0</v>
      </c>
      <c r="AX42" s="136">
        <f t="shared" si="25"/>
        <v>0</v>
      </c>
      <c r="AY42" s="136">
        <f t="shared" si="25"/>
        <v>0</v>
      </c>
      <c r="AZ42" s="137">
        <f t="shared" si="25"/>
        <v>0</v>
      </c>
      <c r="BA42" s="135">
        <f t="shared" si="25"/>
        <v>0</v>
      </c>
      <c r="BB42" s="136">
        <f t="shared" si="25"/>
        <v>0</v>
      </c>
      <c r="BC42" s="136">
        <f t="shared" si="25"/>
        <v>0</v>
      </c>
      <c r="BD42" s="136">
        <f t="shared" si="25"/>
        <v>0</v>
      </c>
      <c r="BE42" s="137">
        <f t="shared" si="25"/>
        <v>0</v>
      </c>
      <c r="BF42" s="138">
        <f t="shared" si="25"/>
        <v>0</v>
      </c>
      <c r="BG42" s="136">
        <f t="shared" si="25"/>
        <v>0</v>
      </c>
      <c r="BH42" s="136">
        <f t="shared" si="25"/>
        <v>0</v>
      </c>
      <c r="BI42" s="137">
        <f t="shared" si="25"/>
        <v>0</v>
      </c>
      <c r="BJ42" s="135">
        <f t="shared" si="25"/>
        <v>0</v>
      </c>
      <c r="BK42" s="136">
        <f t="shared" si="25"/>
        <v>0</v>
      </c>
      <c r="BL42" s="136">
        <f t="shared" si="26"/>
        <v>0</v>
      </c>
      <c r="BM42" s="137">
        <f t="shared" si="26"/>
        <v>0</v>
      </c>
      <c r="BN42" s="138">
        <f t="shared" si="26"/>
        <v>0</v>
      </c>
      <c r="BO42" s="136">
        <f t="shared" si="26"/>
        <v>0</v>
      </c>
      <c r="BP42" s="136">
        <f t="shared" si="26"/>
        <v>0</v>
      </c>
      <c r="BQ42" s="136">
        <f t="shared" si="26"/>
        <v>0</v>
      </c>
      <c r="BR42" s="137">
        <f t="shared" si="26"/>
        <v>0</v>
      </c>
      <c r="BS42" s="138">
        <f t="shared" si="26"/>
        <v>0</v>
      </c>
      <c r="BT42" s="136">
        <f t="shared" si="26"/>
        <v>0</v>
      </c>
      <c r="BU42" s="136">
        <f t="shared" si="26"/>
        <v>0</v>
      </c>
      <c r="BV42" s="137">
        <f t="shared" si="26"/>
        <v>0</v>
      </c>
      <c r="BW42" s="138">
        <f t="shared" si="26"/>
        <v>0</v>
      </c>
      <c r="BX42" s="136">
        <f t="shared" si="26"/>
        <v>0</v>
      </c>
      <c r="BY42" s="136">
        <f t="shared" si="26"/>
        <v>0</v>
      </c>
      <c r="BZ42" s="136">
        <f t="shared" si="26"/>
        <v>0</v>
      </c>
      <c r="CA42" s="137">
        <f t="shared" si="26"/>
        <v>0</v>
      </c>
      <c r="CB42" s="138">
        <f t="shared" si="26"/>
        <v>0</v>
      </c>
      <c r="CC42" s="136">
        <f t="shared" si="26"/>
        <v>0</v>
      </c>
      <c r="CD42" s="136">
        <f t="shared" si="26"/>
        <v>0</v>
      </c>
      <c r="CE42" s="137">
        <f t="shared" si="26"/>
        <v>0</v>
      </c>
      <c r="CF42" s="135">
        <f t="shared" si="26"/>
        <v>0</v>
      </c>
      <c r="CG42" s="136">
        <f t="shared" si="26"/>
        <v>0</v>
      </c>
      <c r="CH42" s="136">
        <f t="shared" si="26"/>
        <v>0</v>
      </c>
      <c r="CI42" s="137">
        <f t="shared" si="26"/>
        <v>0</v>
      </c>
    </row>
    <row r="43" spans="1:87" ht="17.25" thickBot="1">
      <c r="A43" s="139" t="s">
        <v>8</v>
      </c>
      <c r="B43" s="114" t="str">
        <f>진행현황_01.범위명!E15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진행현황_01.범위명!E16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5"/>
        <v>-14.999999999999998</v>
      </c>
      <c r="O43" s="121"/>
      <c r="P43" s="122">
        <f>MIN(P44:P53)</f>
        <v>0</v>
      </c>
      <c r="Q43" s="122">
        <f>MAX(Q44:Q53)</f>
        <v>0</v>
      </c>
      <c r="R43" s="122"/>
      <c r="S43" s="122">
        <f>MIN(S44:S53)</f>
        <v>0</v>
      </c>
      <c r="T43" s="122">
        <f>MAX(T44:T53)</f>
        <v>0</v>
      </c>
      <c r="U43" s="122"/>
      <c r="V43" s="113"/>
      <c r="W43" s="113"/>
      <c r="X43" s="123" t="str">
        <f t="shared" si="27"/>
        <v/>
      </c>
      <c r="Y43" s="124">
        <f>NETWORKDAYS(P43,Q43,진행현황_전체!C$59:C$77)</f>
        <v>0</v>
      </c>
      <c r="Z43" s="257"/>
      <c r="AA43" s="125"/>
      <c r="AB43" s="126"/>
      <c r="AC43" s="126"/>
      <c r="AD43" s="126"/>
      <c r="AE43" s="127"/>
      <c r="AF43" s="129"/>
      <c r="AG43" s="126"/>
      <c r="AH43" s="126"/>
      <c r="AI43" s="127"/>
      <c r="AJ43" s="128"/>
      <c r="AK43" s="126"/>
      <c r="AL43" s="126"/>
      <c r="AM43" s="127"/>
      <c r="AN43" s="128"/>
      <c r="AO43" s="129"/>
      <c r="AP43" s="126"/>
      <c r="AQ43" s="126"/>
      <c r="AR43" s="193"/>
      <c r="AS43" s="129"/>
      <c r="AT43" s="126"/>
      <c r="AU43" s="126"/>
      <c r="AV43" s="127"/>
      <c r="AW43" s="128"/>
      <c r="AX43" s="126"/>
      <c r="AY43" s="126"/>
      <c r="AZ43" s="127"/>
      <c r="BA43" s="125"/>
      <c r="BB43" s="126"/>
      <c r="BC43" s="126"/>
      <c r="BD43" s="126"/>
      <c r="BE43" s="127"/>
      <c r="BF43" s="129"/>
      <c r="BG43" s="126"/>
      <c r="BH43" s="126"/>
      <c r="BI43" s="127"/>
      <c r="BJ43" s="128"/>
      <c r="BK43" s="126"/>
      <c r="BL43" s="126"/>
      <c r="BM43" s="127"/>
      <c r="BN43" s="129"/>
      <c r="BO43" s="126"/>
      <c r="BP43" s="126"/>
      <c r="BQ43" s="126"/>
      <c r="BR43" s="127"/>
      <c r="BS43" s="129"/>
      <c r="BT43" s="126"/>
      <c r="BU43" s="126"/>
      <c r="BV43" s="127"/>
      <c r="BW43" s="129"/>
      <c r="BX43" s="126"/>
      <c r="BY43" s="126"/>
      <c r="BZ43" s="126"/>
      <c r="CA43" s="127"/>
      <c r="CB43" s="129"/>
      <c r="CC43" s="126"/>
      <c r="CD43" s="126"/>
      <c r="CE43" s="127"/>
      <c r="CF43" s="128"/>
      <c r="CG43" s="126"/>
      <c r="CH43" s="126"/>
      <c r="CI43" s="127"/>
    </row>
    <row r="44" spans="1:87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8">IF(CheckDay&gt;=Q44,1,IF(CheckDay&lt;P44, 0,DAYS360(P44,CheckDay+1)/Y44))</f>
        <v>1</v>
      </c>
      <c r="K44" s="101">
        <v>0</v>
      </c>
      <c r="L44" s="132">
        <f t="shared" ref="L44:L53" si="29">I44*J44/100</f>
        <v>0.1</v>
      </c>
      <c r="M44" s="132">
        <f t="shared" ref="M44:M53" si="30">I44*K44/100</f>
        <v>0</v>
      </c>
      <c r="N44" s="132">
        <f t="shared" si="5"/>
        <v>-0.1</v>
      </c>
      <c r="O44" s="133" t="str">
        <f t="shared" ref="O44:O53" si="31">IF(AND(K44=0%,N44=0),"",IF(N44&lt;0,"지연",IF(K44=100%,"종료","진행")))</f>
        <v>지연</v>
      </c>
      <c r="P44" s="104"/>
      <c r="Q44" s="104"/>
      <c r="R44" s="104"/>
      <c r="S44" s="104"/>
      <c r="T44" s="104"/>
      <c r="U44" s="104"/>
      <c r="V44" s="94"/>
      <c r="W44" s="94"/>
      <c r="X44" s="134" t="str">
        <f t="shared" si="27"/>
        <v/>
      </c>
      <c r="Y44" s="253">
        <f>NETWORKDAYS(P44,Q44,진행현황_전체!C$59:C$77)</f>
        <v>0</v>
      </c>
      <c r="Z44" s="258"/>
      <c r="AA44" s="135">
        <f t="shared" ref="AA44:AZ53" si="32">IF(OR((AND($P44&lt;=AA$7,AND($Q44&lt;=AA$8, $Q44&gt;=AA$7))),(AND(AND($P44&gt;=AA$7, $P44&lt;=AA$8),$Q44&gt;=AA$8)), AND($P44&gt;=AA$7, $Q44&lt;=AA$8), AND($P44&lt;=AA$7,$Q44&gt;=AA$8)),1,0)</f>
        <v>0</v>
      </c>
      <c r="AB44" s="136">
        <f t="shared" si="32"/>
        <v>0</v>
      </c>
      <c r="AC44" s="136">
        <f t="shared" si="32"/>
        <v>0</v>
      </c>
      <c r="AD44" s="136">
        <f t="shared" si="32"/>
        <v>0</v>
      </c>
      <c r="AE44" s="137">
        <f t="shared" si="32"/>
        <v>0</v>
      </c>
      <c r="AF44" s="138">
        <f t="shared" si="32"/>
        <v>0</v>
      </c>
      <c r="AG44" s="136">
        <f t="shared" si="32"/>
        <v>0</v>
      </c>
      <c r="AH44" s="136">
        <f t="shared" si="32"/>
        <v>0</v>
      </c>
      <c r="AI44" s="137">
        <f t="shared" si="32"/>
        <v>0</v>
      </c>
      <c r="AJ44" s="135">
        <f t="shared" si="32"/>
        <v>0</v>
      </c>
      <c r="AK44" s="136">
        <f t="shared" si="32"/>
        <v>0</v>
      </c>
      <c r="AL44" s="136">
        <f t="shared" si="32"/>
        <v>0</v>
      </c>
      <c r="AM44" s="137">
        <f t="shared" si="32"/>
        <v>0</v>
      </c>
      <c r="AN44" s="135">
        <f t="shared" si="32"/>
        <v>0</v>
      </c>
      <c r="AO44" s="138">
        <f t="shared" si="32"/>
        <v>0</v>
      </c>
      <c r="AP44" s="136">
        <f t="shared" si="32"/>
        <v>0</v>
      </c>
      <c r="AQ44" s="136">
        <f t="shared" ref="AQ44:AQ53" si="33">IF(OR((AND($P44&lt;=AQ$7,AND($Q44&lt;=AQ$8, $Q44&gt;=AQ$7))),(AND(AND($P44&gt;=AQ$7, $P44&lt;=AQ$8),$Q44&gt;=AQ$8)), AND($P44&gt;=AQ$7, $Q44&lt;=AQ$8), AND($P44&lt;=AQ$7,$Q44&gt;=AQ$8)),1,0)</f>
        <v>0</v>
      </c>
      <c r="AR44" s="194">
        <f t="shared" si="32"/>
        <v>0</v>
      </c>
      <c r="AS44" s="138">
        <f t="shared" si="32"/>
        <v>0</v>
      </c>
      <c r="AT44" s="136">
        <f t="shared" si="32"/>
        <v>0</v>
      </c>
      <c r="AU44" s="136">
        <f t="shared" si="32"/>
        <v>0</v>
      </c>
      <c r="AV44" s="137">
        <f t="shared" si="32"/>
        <v>0</v>
      </c>
      <c r="AW44" s="135">
        <f t="shared" si="32"/>
        <v>0</v>
      </c>
      <c r="AX44" s="136">
        <f t="shared" si="32"/>
        <v>0</v>
      </c>
      <c r="AY44" s="136">
        <f t="shared" si="32"/>
        <v>0</v>
      </c>
      <c r="AZ44" s="137">
        <f t="shared" si="32"/>
        <v>0</v>
      </c>
      <c r="BA44" s="135">
        <f t="shared" ref="BA44:CI51" si="34">IF(OR((AND($P44&lt;=BA$7,AND($Q44&lt;=BA$8, $Q44&gt;=BA$7))),(AND(AND($P44&gt;=BA$7, $P44&lt;=BA$8),$Q44&gt;=BA$8)), AND($P44&gt;=BA$7, $Q44&lt;=BA$8), AND($P44&lt;=BA$7,$Q44&gt;=BA$8)),1,0)</f>
        <v>0</v>
      </c>
      <c r="BB44" s="136">
        <f t="shared" si="34"/>
        <v>0</v>
      </c>
      <c r="BC44" s="136">
        <f t="shared" si="34"/>
        <v>0</v>
      </c>
      <c r="BD44" s="136">
        <f t="shared" si="34"/>
        <v>0</v>
      </c>
      <c r="BE44" s="137">
        <f t="shared" si="34"/>
        <v>0</v>
      </c>
      <c r="BF44" s="138">
        <f t="shared" si="34"/>
        <v>0</v>
      </c>
      <c r="BG44" s="136">
        <f t="shared" si="34"/>
        <v>0</v>
      </c>
      <c r="BH44" s="136">
        <f t="shared" si="34"/>
        <v>0</v>
      </c>
      <c r="BI44" s="137">
        <f t="shared" si="34"/>
        <v>0</v>
      </c>
      <c r="BJ44" s="135">
        <f t="shared" si="34"/>
        <v>0</v>
      </c>
      <c r="BK44" s="136">
        <f t="shared" si="34"/>
        <v>0</v>
      </c>
      <c r="BL44" s="136">
        <f t="shared" si="34"/>
        <v>0</v>
      </c>
      <c r="BM44" s="137">
        <f t="shared" si="34"/>
        <v>0</v>
      </c>
      <c r="BN44" s="138">
        <f t="shared" si="34"/>
        <v>0</v>
      </c>
      <c r="BO44" s="136">
        <f t="shared" si="34"/>
        <v>0</v>
      </c>
      <c r="BP44" s="136">
        <f t="shared" si="34"/>
        <v>0</v>
      </c>
      <c r="BQ44" s="136">
        <f t="shared" si="34"/>
        <v>0</v>
      </c>
      <c r="BR44" s="137">
        <f t="shared" si="34"/>
        <v>0</v>
      </c>
      <c r="BS44" s="138">
        <f t="shared" si="34"/>
        <v>0</v>
      </c>
      <c r="BT44" s="136">
        <f t="shared" si="34"/>
        <v>0</v>
      </c>
      <c r="BU44" s="136">
        <f t="shared" si="34"/>
        <v>0</v>
      </c>
      <c r="BV44" s="137">
        <f t="shared" si="34"/>
        <v>0</v>
      </c>
      <c r="BW44" s="138">
        <f t="shared" si="34"/>
        <v>0</v>
      </c>
      <c r="BX44" s="136">
        <f t="shared" si="34"/>
        <v>0</v>
      </c>
      <c r="BY44" s="136">
        <f t="shared" si="34"/>
        <v>0</v>
      </c>
      <c r="BZ44" s="136">
        <f t="shared" ref="BZ44:BZ50" si="35">IF(OR((AND($P44&lt;=BZ$7,AND($Q44&lt;=BZ$8, $Q44&gt;=BZ$7))),(AND(AND($P44&gt;=BZ$7, $P44&lt;=BZ$8),$Q44&gt;=BZ$8)), AND($P44&gt;=BZ$7, $Q44&lt;=BZ$8), AND($P44&lt;=BZ$7,$Q44&gt;=BZ$8)),1,0)</f>
        <v>0</v>
      </c>
      <c r="CA44" s="137">
        <f t="shared" si="34"/>
        <v>0</v>
      </c>
      <c r="CB44" s="138">
        <f t="shared" si="34"/>
        <v>0</v>
      </c>
      <c r="CC44" s="136">
        <f t="shared" si="34"/>
        <v>0</v>
      </c>
      <c r="CD44" s="136">
        <f t="shared" si="34"/>
        <v>0</v>
      </c>
      <c r="CE44" s="137">
        <f t="shared" si="34"/>
        <v>0</v>
      </c>
      <c r="CF44" s="135">
        <f t="shared" si="34"/>
        <v>0</v>
      </c>
      <c r="CG44" s="136">
        <f t="shared" si="34"/>
        <v>0</v>
      </c>
      <c r="CH44" s="136">
        <f t="shared" si="34"/>
        <v>0</v>
      </c>
      <c r="CI44" s="137">
        <f t="shared" si="34"/>
        <v>0</v>
      </c>
    </row>
    <row r="45" spans="1:87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8"/>
        <v>1</v>
      </c>
      <c r="K45" s="101">
        <v>0</v>
      </c>
      <c r="L45" s="132">
        <f t="shared" si="29"/>
        <v>0.1</v>
      </c>
      <c r="M45" s="132">
        <f t="shared" si="30"/>
        <v>0</v>
      </c>
      <c r="N45" s="132">
        <f t="shared" si="5"/>
        <v>-0.1</v>
      </c>
      <c r="O45" s="133" t="str">
        <f t="shared" si="31"/>
        <v>지연</v>
      </c>
      <c r="P45" s="104"/>
      <c r="Q45" s="104"/>
      <c r="R45" s="104"/>
      <c r="S45" s="104"/>
      <c r="T45" s="104"/>
      <c r="U45" s="104"/>
      <c r="V45" s="94"/>
      <c r="W45" s="94"/>
      <c r="X45" s="134" t="str">
        <f t="shared" si="27"/>
        <v/>
      </c>
      <c r="Y45" s="253">
        <f>NETWORKDAYS(P45,Q45,진행현황_전체!C$59:C$77)</f>
        <v>0</v>
      </c>
      <c r="Z45" s="258"/>
      <c r="AA45" s="135">
        <f t="shared" si="32"/>
        <v>0</v>
      </c>
      <c r="AB45" s="136">
        <f t="shared" si="32"/>
        <v>0</v>
      </c>
      <c r="AC45" s="136">
        <f t="shared" si="32"/>
        <v>0</v>
      </c>
      <c r="AD45" s="136">
        <f t="shared" si="32"/>
        <v>0</v>
      </c>
      <c r="AE45" s="137">
        <f t="shared" si="32"/>
        <v>0</v>
      </c>
      <c r="AF45" s="138">
        <f t="shared" si="32"/>
        <v>0</v>
      </c>
      <c r="AG45" s="136">
        <f t="shared" si="32"/>
        <v>0</v>
      </c>
      <c r="AH45" s="136">
        <f t="shared" si="32"/>
        <v>0</v>
      </c>
      <c r="AI45" s="137">
        <f t="shared" si="32"/>
        <v>0</v>
      </c>
      <c r="AJ45" s="135">
        <f t="shared" si="32"/>
        <v>0</v>
      </c>
      <c r="AK45" s="136">
        <f t="shared" si="32"/>
        <v>0</v>
      </c>
      <c r="AL45" s="136">
        <f t="shared" si="32"/>
        <v>0</v>
      </c>
      <c r="AM45" s="137">
        <f t="shared" si="32"/>
        <v>0</v>
      </c>
      <c r="AN45" s="135">
        <f t="shared" si="32"/>
        <v>0</v>
      </c>
      <c r="AO45" s="138">
        <f t="shared" si="32"/>
        <v>0</v>
      </c>
      <c r="AP45" s="136">
        <f t="shared" si="32"/>
        <v>0</v>
      </c>
      <c r="AQ45" s="136">
        <f t="shared" si="33"/>
        <v>0</v>
      </c>
      <c r="AR45" s="194">
        <f t="shared" si="32"/>
        <v>0</v>
      </c>
      <c r="AS45" s="138">
        <f t="shared" si="32"/>
        <v>0</v>
      </c>
      <c r="AT45" s="136">
        <f t="shared" si="32"/>
        <v>0</v>
      </c>
      <c r="AU45" s="136">
        <f t="shared" si="32"/>
        <v>0</v>
      </c>
      <c r="AV45" s="137">
        <f t="shared" si="32"/>
        <v>0</v>
      </c>
      <c r="AW45" s="135">
        <f t="shared" si="32"/>
        <v>0</v>
      </c>
      <c r="AX45" s="136">
        <f t="shared" si="32"/>
        <v>0</v>
      </c>
      <c r="AY45" s="136">
        <f t="shared" si="32"/>
        <v>0</v>
      </c>
      <c r="AZ45" s="137">
        <f t="shared" si="32"/>
        <v>0</v>
      </c>
      <c r="BA45" s="135">
        <f t="shared" si="34"/>
        <v>0</v>
      </c>
      <c r="BB45" s="136">
        <f t="shared" si="34"/>
        <v>0</v>
      </c>
      <c r="BC45" s="136">
        <f t="shared" si="34"/>
        <v>0</v>
      </c>
      <c r="BD45" s="136">
        <f t="shared" si="34"/>
        <v>0</v>
      </c>
      <c r="BE45" s="137">
        <f t="shared" si="34"/>
        <v>0</v>
      </c>
      <c r="BF45" s="138">
        <f t="shared" si="34"/>
        <v>0</v>
      </c>
      <c r="BG45" s="136">
        <f t="shared" si="34"/>
        <v>0</v>
      </c>
      <c r="BH45" s="136">
        <f t="shared" si="34"/>
        <v>0</v>
      </c>
      <c r="BI45" s="137">
        <f t="shared" si="34"/>
        <v>0</v>
      </c>
      <c r="BJ45" s="135">
        <f t="shared" si="34"/>
        <v>0</v>
      </c>
      <c r="BK45" s="136">
        <f t="shared" si="34"/>
        <v>0</v>
      </c>
      <c r="BL45" s="136">
        <f t="shared" si="34"/>
        <v>0</v>
      </c>
      <c r="BM45" s="137">
        <f t="shared" si="34"/>
        <v>0</v>
      </c>
      <c r="BN45" s="138">
        <f t="shared" si="34"/>
        <v>0</v>
      </c>
      <c r="BO45" s="136">
        <f t="shared" si="34"/>
        <v>0</v>
      </c>
      <c r="BP45" s="136">
        <f t="shared" si="34"/>
        <v>0</v>
      </c>
      <c r="BQ45" s="136">
        <f t="shared" si="34"/>
        <v>0</v>
      </c>
      <c r="BR45" s="137">
        <f t="shared" si="34"/>
        <v>0</v>
      </c>
      <c r="BS45" s="138">
        <f t="shared" si="34"/>
        <v>0</v>
      </c>
      <c r="BT45" s="136">
        <f t="shared" si="34"/>
        <v>0</v>
      </c>
      <c r="BU45" s="136">
        <f t="shared" si="34"/>
        <v>0</v>
      </c>
      <c r="BV45" s="137">
        <f t="shared" si="34"/>
        <v>0</v>
      </c>
      <c r="BW45" s="138">
        <f t="shared" si="34"/>
        <v>0</v>
      </c>
      <c r="BX45" s="136">
        <f t="shared" si="34"/>
        <v>0</v>
      </c>
      <c r="BY45" s="136">
        <f t="shared" si="34"/>
        <v>0</v>
      </c>
      <c r="BZ45" s="136">
        <f t="shared" si="35"/>
        <v>0</v>
      </c>
      <c r="CA45" s="137">
        <f t="shared" si="34"/>
        <v>0</v>
      </c>
      <c r="CB45" s="138">
        <f t="shared" si="34"/>
        <v>0</v>
      </c>
      <c r="CC45" s="136">
        <f t="shared" si="34"/>
        <v>0</v>
      </c>
      <c r="CD45" s="136">
        <f t="shared" si="34"/>
        <v>0</v>
      </c>
      <c r="CE45" s="137">
        <f t="shared" si="34"/>
        <v>0</v>
      </c>
      <c r="CF45" s="135">
        <f t="shared" si="34"/>
        <v>0</v>
      </c>
      <c r="CG45" s="136">
        <f t="shared" si="34"/>
        <v>0</v>
      </c>
      <c r="CH45" s="136">
        <f t="shared" si="34"/>
        <v>0</v>
      </c>
      <c r="CI45" s="137">
        <f t="shared" si="34"/>
        <v>0</v>
      </c>
    </row>
    <row r="46" spans="1:87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8"/>
        <v>1</v>
      </c>
      <c r="K46" s="101">
        <v>0</v>
      </c>
      <c r="L46" s="132">
        <f t="shared" si="29"/>
        <v>0.1</v>
      </c>
      <c r="M46" s="132">
        <f t="shared" si="30"/>
        <v>0</v>
      </c>
      <c r="N46" s="132">
        <f t="shared" si="5"/>
        <v>-0.1</v>
      </c>
      <c r="O46" s="133" t="str">
        <f t="shared" si="31"/>
        <v>지연</v>
      </c>
      <c r="P46" s="104"/>
      <c r="Q46" s="104"/>
      <c r="R46" s="104"/>
      <c r="S46" s="104"/>
      <c r="T46" s="104"/>
      <c r="U46" s="104"/>
      <c r="V46" s="94"/>
      <c r="W46" s="94"/>
      <c r="X46" s="134" t="str">
        <f t="shared" si="27"/>
        <v/>
      </c>
      <c r="Y46" s="253">
        <f>NETWORKDAYS(P46,Q46,진행현황_전체!C$59:C$77)</f>
        <v>0</v>
      </c>
      <c r="Z46" s="258"/>
      <c r="AA46" s="135">
        <f t="shared" si="32"/>
        <v>0</v>
      </c>
      <c r="AB46" s="136">
        <f t="shared" si="32"/>
        <v>0</v>
      </c>
      <c r="AC46" s="136">
        <f t="shared" si="32"/>
        <v>0</v>
      </c>
      <c r="AD46" s="136">
        <f t="shared" si="32"/>
        <v>0</v>
      </c>
      <c r="AE46" s="137">
        <f t="shared" si="32"/>
        <v>0</v>
      </c>
      <c r="AF46" s="138">
        <f t="shared" si="32"/>
        <v>0</v>
      </c>
      <c r="AG46" s="136">
        <f t="shared" si="32"/>
        <v>0</v>
      </c>
      <c r="AH46" s="136">
        <f t="shared" si="32"/>
        <v>0</v>
      </c>
      <c r="AI46" s="137">
        <f t="shared" si="32"/>
        <v>0</v>
      </c>
      <c r="AJ46" s="135">
        <f t="shared" si="32"/>
        <v>0</v>
      </c>
      <c r="AK46" s="136">
        <f t="shared" si="32"/>
        <v>0</v>
      </c>
      <c r="AL46" s="136">
        <f t="shared" si="32"/>
        <v>0</v>
      </c>
      <c r="AM46" s="137">
        <f t="shared" si="32"/>
        <v>0</v>
      </c>
      <c r="AN46" s="135">
        <f t="shared" si="32"/>
        <v>0</v>
      </c>
      <c r="AO46" s="138">
        <f t="shared" si="32"/>
        <v>0</v>
      </c>
      <c r="AP46" s="136">
        <f t="shared" si="32"/>
        <v>0</v>
      </c>
      <c r="AQ46" s="136">
        <f t="shared" si="33"/>
        <v>0</v>
      </c>
      <c r="AR46" s="194">
        <f t="shared" si="32"/>
        <v>0</v>
      </c>
      <c r="AS46" s="138">
        <f t="shared" si="32"/>
        <v>0</v>
      </c>
      <c r="AT46" s="136">
        <f t="shared" si="32"/>
        <v>0</v>
      </c>
      <c r="AU46" s="136">
        <f t="shared" si="32"/>
        <v>0</v>
      </c>
      <c r="AV46" s="137">
        <f t="shared" si="32"/>
        <v>0</v>
      </c>
      <c r="AW46" s="135">
        <f t="shared" si="32"/>
        <v>0</v>
      </c>
      <c r="AX46" s="136">
        <f t="shared" si="32"/>
        <v>0</v>
      </c>
      <c r="AY46" s="136">
        <f t="shared" si="32"/>
        <v>0</v>
      </c>
      <c r="AZ46" s="137">
        <f t="shared" si="32"/>
        <v>0</v>
      </c>
      <c r="BA46" s="135">
        <f t="shared" si="34"/>
        <v>0</v>
      </c>
      <c r="BB46" s="136">
        <f t="shared" si="34"/>
        <v>0</v>
      </c>
      <c r="BC46" s="136">
        <f t="shared" si="34"/>
        <v>0</v>
      </c>
      <c r="BD46" s="136">
        <f t="shared" si="34"/>
        <v>0</v>
      </c>
      <c r="BE46" s="137">
        <f t="shared" si="34"/>
        <v>0</v>
      </c>
      <c r="BF46" s="138">
        <f t="shared" si="34"/>
        <v>0</v>
      </c>
      <c r="BG46" s="136">
        <f t="shared" si="34"/>
        <v>0</v>
      </c>
      <c r="BH46" s="136">
        <f t="shared" si="34"/>
        <v>0</v>
      </c>
      <c r="BI46" s="137">
        <f t="shared" si="34"/>
        <v>0</v>
      </c>
      <c r="BJ46" s="135">
        <f t="shared" si="34"/>
        <v>0</v>
      </c>
      <c r="BK46" s="136">
        <f t="shared" si="34"/>
        <v>0</v>
      </c>
      <c r="BL46" s="136">
        <f t="shared" si="34"/>
        <v>0</v>
      </c>
      <c r="BM46" s="137">
        <f t="shared" si="34"/>
        <v>0</v>
      </c>
      <c r="BN46" s="138">
        <f t="shared" si="34"/>
        <v>0</v>
      </c>
      <c r="BO46" s="136">
        <f t="shared" si="34"/>
        <v>0</v>
      </c>
      <c r="BP46" s="136">
        <f t="shared" si="34"/>
        <v>0</v>
      </c>
      <c r="BQ46" s="136">
        <f t="shared" si="34"/>
        <v>0</v>
      </c>
      <c r="BR46" s="137">
        <f t="shared" si="34"/>
        <v>0</v>
      </c>
      <c r="BS46" s="138">
        <f t="shared" si="34"/>
        <v>0</v>
      </c>
      <c r="BT46" s="136">
        <f t="shared" si="34"/>
        <v>0</v>
      </c>
      <c r="BU46" s="136">
        <f t="shared" si="34"/>
        <v>0</v>
      </c>
      <c r="BV46" s="137">
        <f t="shared" si="34"/>
        <v>0</v>
      </c>
      <c r="BW46" s="138">
        <f t="shared" si="34"/>
        <v>0</v>
      </c>
      <c r="BX46" s="136">
        <f t="shared" si="34"/>
        <v>0</v>
      </c>
      <c r="BY46" s="136">
        <f t="shared" si="34"/>
        <v>0</v>
      </c>
      <c r="BZ46" s="136">
        <f t="shared" si="35"/>
        <v>0</v>
      </c>
      <c r="CA46" s="137">
        <f t="shared" si="34"/>
        <v>0</v>
      </c>
      <c r="CB46" s="138">
        <f t="shared" si="34"/>
        <v>0</v>
      </c>
      <c r="CC46" s="136">
        <f t="shared" si="34"/>
        <v>0</v>
      </c>
      <c r="CD46" s="136">
        <f t="shared" si="34"/>
        <v>0</v>
      </c>
      <c r="CE46" s="137">
        <f t="shared" si="34"/>
        <v>0</v>
      </c>
      <c r="CF46" s="135">
        <f t="shared" si="34"/>
        <v>0</v>
      </c>
      <c r="CG46" s="136">
        <f t="shared" si="34"/>
        <v>0</v>
      </c>
      <c r="CH46" s="136">
        <f t="shared" si="34"/>
        <v>0</v>
      </c>
      <c r="CI46" s="137">
        <f t="shared" si="34"/>
        <v>0</v>
      </c>
    </row>
    <row r="47" spans="1:87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8"/>
        <v>1</v>
      </c>
      <c r="K47" s="101">
        <v>0</v>
      </c>
      <c r="L47" s="132">
        <f t="shared" si="29"/>
        <v>0.1</v>
      </c>
      <c r="M47" s="132">
        <f t="shared" si="30"/>
        <v>0</v>
      </c>
      <c r="N47" s="132">
        <f t="shared" si="5"/>
        <v>-0.1</v>
      </c>
      <c r="O47" s="133" t="str">
        <f t="shared" si="31"/>
        <v>지연</v>
      </c>
      <c r="P47" s="104"/>
      <c r="Q47" s="104"/>
      <c r="R47" s="104"/>
      <c r="S47" s="104"/>
      <c r="T47" s="104"/>
      <c r="U47" s="104"/>
      <c r="V47" s="130"/>
      <c r="W47" s="130"/>
      <c r="X47" s="134" t="str">
        <f t="shared" si="27"/>
        <v/>
      </c>
      <c r="Y47" s="253">
        <f>NETWORKDAYS(P47,Q47,진행현황_전체!C$59:C$77)</f>
        <v>0</v>
      </c>
      <c r="Z47" s="258"/>
      <c r="AA47" s="135">
        <f t="shared" si="32"/>
        <v>0</v>
      </c>
      <c r="AB47" s="136">
        <f t="shared" si="32"/>
        <v>0</v>
      </c>
      <c r="AC47" s="136">
        <f t="shared" si="32"/>
        <v>0</v>
      </c>
      <c r="AD47" s="136">
        <f t="shared" si="32"/>
        <v>0</v>
      </c>
      <c r="AE47" s="137">
        <f t="shared" si="32"/>
        <v>0</v>
      </c>
      <c r="AF47" s="138">
        <f t="shared" si="32"/>
        <v>0</v>
      </c>
      <c r="AG47" s="136">
        <f t="shared" si="32"/>
        <v>0</v>
      </c>
      <c r="AH47" s="136">
        <f t="shared" si="32"/>
        <v>0</v>
      </c>
      <c r="AI47" s="137">
        <f t="shared" si="32"/>
        <v>0</v>
      </c>
      <c r="AJ47" s="135">
        <f t="shared" si="32"/>
        <v>0</v>
      </c>
      <c r="AK47" s="136">
        <f t="shared" si="32"/>
        <v>0</v>
      </c>
      <c r="AL47" s="136">
        <f t="shared" si="32"/>
        <v>0</v>
      </c>
      <c r="AM47" s="137">
        <f t="shared" si="32"/>
        <v>0</v>
      </c>
      <c r="AN47" s="135">
        <f t="shared" si="32"/>
        <v>0</v>
      </c>
      <c r="AO47" s="138">
        <f t="shared" si="32"/>
        <v>0</v>
      </c>
      <c r="AP47" s="136">
        <f t="shared" si="32"/>
        <v>0</v>
      </c>
      <c r="AQ47" s="136">
        <f t="shared" si="33"/>
        <v>0</v>
      </c>
      <c r="AR47" s="194">
        <f t="shared" si="32"/>
        <v>0</v>
      </c>
      <c r="AS47" s="138">
        <f t="shared" si="32"/>
        <v>0</v>
      </c>
      <c r="AT47" s="136">
        <f t="shared" si="32"/>
        <v>0</v>
      </c>
      <c r="AU47" s="136">
        <f t="shared" si="32"/>
        <v>0</v>
      </c>
      <c r="AV47" s="137">
        <f t="shared" si="32"/>
        <v>0</v>
      </c>
      <c r="AW47" s="135">
        <f t="shared" si="32"/>
        <v>0</v>
      </c>
      <c r="AX47" s="136">
        <f t="shared" si="32"/>
        <v>0</v>
      </c>
      <c r="AY47" s="136">
        <f t="shared" si="32"/>
        <v>0</v>
      </c>
      <c r="AZ47" s="137">
        <f t="shared" si="32"/>
        <v>0</v>
      </c>
      <c r="BA47" s="135">
        <f t="shared" si="34"/>
        <v>0</v>
      </c>
      <c r="BB47" s="136">
        <f t="shared" si="34"/>
        <v>0</v>
      </c>
      <c r="BC47" s="136">
        <f t="shared" si="34"/>
        <v>0</v>
      </c>
      <c r="BD47" s="136">
        <f t="shared" si="34"/>
        <v>0</v>
      </c>
      <c r="BE47" s="137">
        <f t="shared" si="34"/>
        <v>0</v>
      </c>
      <c r="BF47" s="138">
        <f t="shared" si="34"/>
        <v>0</v>
      </c>
      <c r="BG47" s="136">
        <f t="shared" si="34"/>
        <v>0</v>
      </c>
      <c r="BH47" s="136">
        <f t="shared" si="34"/>
        <v>0</v>
      </c>
      <c r="BI47" s="137">
        <f t="shared" si="34"/>
        <v>0</v>
      </c>
      <c r="BJ47" s="135">
        <f t="shared" si="34"/>
        <v>0</v>
      </c>
      <c r="BK47" s="136">
        <f t="shared" si="34"/>
        <v>0</v>
      </c>
      <c r="BL47" s="136">
        <f t="shared" si="34"/>
        <v>0</v>
      </c>
      <c r="BM47" s="137">
        <f t="shared" si="34"/>
        <v>0</v>
      </c>
      <c r="BN47" s="138">
        <f t="shared" si="34"/>
        <v>0</v>
      </c>
      <c r="BO47" s="136">
        <f t="shared" si="34"/>
        <v>0</v>
      </c>
      <c r="BP47" s="136">
        <f t="shared" si="34"/>
        <v>0</v>
      </c>
      <c r="BQ47" s="136">
        <f t="shared" si="34"/>
        <v>0</v>
      </c>
      <c r="BR47" s="137">
        <f t="shared" si="34"/>
        <v>0</v>
      </c>
      <c r="BS47" s="138">
        <f t="shared" si="34"/>
        <v>0</v>
      </c>
      <c r="BT47" s="136">
        <f t="shared" si="34"/>
        <v>0</v>
      </c>
      <c r="BU47" s="136">
        <f t="shared" si="34"/>
        <v>0</v>
      </c>
      <c r="BV47" s="137">
        <f t="shared" si="34"/>
        <v>0</v>
      </c>
      <c r="BW47" s="138">
        <f t="shared" si="34"/>
        <v>0</v>
      </c>
      <c r="BX47" s="136">
        <f t="shared" si="34"/>
        <v>0</v>
      </c>
      <c r="BY47" s="136">
        <f t="shared" si="34"/>
        <v>0</v>
      </c>
      <c r="BZ47" s="136">
        <f t="shared" si="35"/>
        <v>0</v>
      </c>
      <c r="CA47" s="137">
        <f t="shared" si="34"/>
        <v>0</v>
      </c>
      <c r="CB47" s="138">
        <f t="shared" si="34"/>
        <v>0</v>
      </c>
      <c r="CC47" s="136">
        <f t="shared" si="34"/>
        <v>0</v>
      </c>
      <c r="CD47" s="136">
        <f t="shared" si="34"/>
        <v>0</v>
      </c>
      <c r="CE47" s="137">
        <f t="shared" si="34"/>
        <v>0</v>
      </c>
      <c r="CF47" s="135">
        <f t="shared" si="34"/>
        <v>0</v>
      </c>
      <c r="CG47" s="136">
        <f t="shared" si="34"/>
        <v>0</v>
      </c>
      <c r="CH47" s="136">
        <f t="shared" si="34"/>
        <v>0</v>
      </c>
      <c r="CI47" s="137">
        <f t="shared" si="34"/>
        <v>0</v>
      </c>
    </row>
    <row r="48" spans="1:87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8"/>
        <v>1</v>
      </c>
      <c r="K48" s="101">
        <v>0</v>
      </c>
      <c r="L48" s="132">
        <f t="shared" si="29"/>
        <v>0.1</v>
      </c>
      <c r="M48" s="132">
        <f t="shared" si="30"/>
        <v>0</v>
      </c>
      <c r="N48" s="132">
        <f t="shared" si="5"/>
        <v>-0.1</v>
      </c>
      <c r="O48" s="133" t="str">
        <f t="shared" si="31"/>
        <v>지연</v>
      </c>
      <c r="P48" s="104"/>
      <c r="Q48" s="104"/>
      <c r="R48" s="104"/>
      <c r="S48" s="104"/>
      <c r="T48" s="104"/>
      <c r="U48" s="104"/>
      <c r="V48" s="94"/>
      <c r="W48" s="94"/>
      <c r="X48" s="134" t="str">
        <f t="shared" si="27"/>
        <v/>
      </c>
      <c r="Y48" s="253">
        <f>NETWORKDAYS(P48,Q48,진행현황_전체!C$59:C$77)</f>
        <v>0</v>
      </c>
      <c r="Z48" s="258"/>
      <c r="AA48" s="135">
        <f t="shared" si="32"/>
        <v>0</v>
      </c>
      <c r="AB48" s="136">
        <f t="shared" si="32"/>
        <v>0</v>
      </c>
      <c r="AC48" s="136">
        <f t="shared" si="32"/>
        <v>0</v>
      </c>
      <c r="AD48" s="136">
        <f t="shared" si="32"/>
        <v>0</v>
      </c>
      <c r="AE48" s="137">
        <f t="shared" si="32"/>
        <v>0</v>
      </c>
      <c r="AF48" s="138">
        <f t="shared" si="32"/>
        <v>0</v>
      </c>
      <c r="AG48" s="136">
        <f t="shared" si="32"/>
        <v>0</v>
      </c>
      <c r="AH48" s="136">
        <f t="shared" si="32"/>
        <v>0</v>
      </c>
      <c r="AI48" s="137">
        <f t="shared" si="32"/>
        <v>0</v>
      </c>
      <c r="AJ48" s="135">
        <f t="shared" si="32"/>
        <v>0</v>
      </c>
      <c r="AK48" s="136">
        <f t="shared" si="32"/>
        <v>0</v>
      </c>
      <c r="AL48" s="136">
        <f t="shared" si="32"/>
        <v>0</v>
      </c>
      <c r="AM48" s="137">
        <f t="shared" si="32"/>
        <v>0</v>
      </c>
      <c r="AN48" s="135">
        <f t="shared" si="32"/>
        <v>0</v>
      </c>
      <c r="AO48" s="138">
        <f t="shared" si="32"/>
        <v>0</v>
      </c>
      <c r="AP48" s="136">
        <f t="shared" si="32"/>
        <v>0</v>
      </c>
      <c r="AQ48" s="136">
        <f t="shared" si="33"/>
        <v>0</v>
      </c>
      <c r="AR48" s="194">
        <f t="shared" si="32"/>
        <v>0</v>
      </c>
      <c r="AS48" s="138">
        <f t="shared" si="32"/>
        <v>0</v>
      </c>
      <c r="AT48" s="136">
        <f t="shared" si="32"/>
        <v>0</v>
      </c>
      <c r="AU48" s="136">
        <f t="shared" si="32"/>
        <v>0</v>
      </c>
      <c r="AV48" s="137">
        <f t="shared" si="32"/>
        <v>0</v>
      </c>
      <c r="AW48" s="135">
        <f t="shared" si="32"/>
        <v>0</v>
      </c>
      <c r="AX48" s="136">
        <f t="shared" si="32"/>
        <v>0</v>
      </c>
      <c r="AY48" s="136">
        <f t="shared" si="32"/>
        <v>0</v>
      </c>
      <c r="AZ48" s="137">
        <f t="shared" si="32"/>
        <v>0</v>
      </c>
      <c r="BA48" s="135">
        <f t="shared" si="34"/>
        <v>0</v>
      </c>
      <c r="BB48" s="136">
        <f t="shared" si="34"/>
        <v>0</v>
      </c>
      <c r="BC48" s="136">
        <f t="shared" si="34"/>
        <v>0</v>
      </c>
      <c r="BD48" s="136">
        <f t="shared" si="34"/>
        <v>0</v>
      </c>
      <c r="BE48" s="137">
        <f t="shared" si="34"/>
        <v>0</v>
      </c>
      <c r="BF48" s="138">
        <f t="shared" si="34"/>
        <v>0</v>
      </c>
      <c r="BG48" s="136">
        <f t="shared" si="34"/>
        <v>0</v>
      </c>
      <c r="BH48" s="136">
        <f t="shared" si="34"/>
        <v>0</v>
      </c>
      <c r="BI48" s="137">
        <f t="shared" si="34"/>
        <v>0</v>
      </c>
      <c r="BJ48" s="135">
        <f t="shared" si="34"/>
        <v>0</v>
      </c>
      <c r="BK48" s="136">
        <f t="shared" si="34"/>
        <v>0</v>
      </c>
      <c r="BL48" s="136">
        <f t="shared" si="34"/>
        <v>0</v>
      </c>
      <c r="BM48" s="137">
        <f t="shared" si="34"/>
        <v>0</v>
      </c>
      <c r="BN48" s="138">
        <f t="shared" si="34"/>
        <v>0</v>
      </c>
      <c r="BO48" s="136">
        <f t="shared" si="34"/>
        <v>0</v>
      </c>
      <c r="BP48" s="136">
        <f t="shared" si="34"/>
        <v>0</v>
      </c>
      <c r="BQ48" s="136">
        <f t="shared" si="34"/>
        <v>0</v>
      </c>
      <c r="BR48" s="137">
        <f t="shared" si="34"/>
        <v>0</v>
      </c>
      <c r="BS48" s="138">
        <f t="shared" si="34"/>
        <v>0</v>
      </c>
      <c r="BT48" s="136">
        <f t="shared" si="34"/>
        <v>0</v>
      </c>
      <c r="BU48" s="136">
        <f t="shared" si="34"/>
        <v>0</v>
      </c>
      <c r="BV48" s="137">
        <f t="shared" si="34"/>
        <v>0</v>
      </c>
      <c r="BW48" s="138">
        <f t="shared" si="34"/>
        <v>0</v>
      </c>
      <c r="BX48" s="136">
        <f t="shared" si="34"/>
        <v>0</v>
      </c>
      <c r="BY48" s="136">
        <f t="shared" si="34"/>
        <v>0</v>
      </c>
      <c r="BZ48" s="136">
        <f t="shared" si="35"/>
        <v>0</v>
      </c>
      <c r="CA48" s="137">
        <f t="shared" si="34"/>
        <v>0</v>
      </c>
      <c r="CB48" s="138">
        <f t="shared" si="34"/>
        <v>0</v>
      </c>
      <c r="CC48" s="136">
        <f t="shared" si="34"/>
        <v>0</v>
      </c>
      <c r="CD48" s="136">
        <f t="shared" si="34"/>
        <v>0</v>
      </c>
      <c r="CE48" s="137">
        <f t="shared" si="34"/>
        <v>0</v>
      </c>
      <c r="CF48" s="135">
        <f t="shared" si="34"/>
        <v>0</v>
      </c>
      <c r="CG48" s="136">
        <f t="shared" si="34"/>
        <v>0</v>
      </c>
      <c r="CH48" s="136">
        <f t="shared" si="34"/>
        <v>0</v>
      </c>
      <c r="CI48" s="137">
        <f t="shared" si="34"/>
        <v>0</v>
      </c>
    </row>
    <row r="49" spans="1:87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8"/>
        <v>1</v>
      </c>
      <c r="K49" s="101">
        <v>0</v>
      </c>
      <c r="L49" s="132">
        <f t="shared" si="29"/>
        <v>0.1</v>
      </c>
      <c r="M49" s="132">
        <f t="shared" si="30"/>
        <v>0</v>
      </c>
      <c r="N49" s="132">
        <f t="shared" si="5"/>
        <v>-0.1</v>
      </c>
      <c r="O49" s="133" t="str">
        <f t="shared" si="31"/>
        <v>지연</v>
      </c>
      <c r="P49" s="104"/>
      <c r="Q49" s="104"/>
      <c r="R49" s="104"/>
      <c r="S49" s="104"/>
      <c r="T49" s="104"/>
      <c r="U49" s="104"/>
      <c r="V49" s="94"/>
      <c r="W49" s="94"/>
      <c r="X49" s="134" t="str">
        <f t="shared" si="27"/>
        <v/>
      </c>
      <c r="Y49" s="253">
        <f>NETWORKDAYS(P49,Q49,진행현황_전체!C$59:C$77)</f>
        <v>0</v>
      </c>
      <c r="Z49" s="258"/>
      <c r="AA49" s="135">
        <f t="shared" si="32"/>
        <v>0</v>
      </c>
      <c r="AB49" s="136">
        <f t="shared" si="32"/>
        <v>0</v>
      </c>
      <c r="AC49" s="136">
        <f t="shared" si="32"/>
        <v>0</v>
      </c>
      <c r="AD49" s="136">
        <f t="shared" si="32"/>
        <v>0</v>
      </c>
      <c r="AE49" s="137">
        <f t="shared" si="32"/>
        <v>0</v>
      </c>
      <c r="AF49" s="138">
        <f t="shared" si="32"/>
        <v>0</v>
      </c>
      <c r="AG49" s="136">
        <f t="shared" si="32"/>
        <v>0</v>
      </c>
      <c r="AH49" s="136">
        <f t="shared" si="32"/>
        <v>0</v>
      </c>
      <c r="AI49" s="137">
        <f t="shared" si="32"/>
        <v>0</v>
      </c>
      <c r="AJ49" s="135">
        <f t="shared" si="32"/>
        <v>0</v>
      </c>
      <c r="AK49" s="136">
        <f t="shared" si="32"/>
        <v>0</v>
      </c>
      <c r="AL49" s="136">
        <f t="shared" si="32"/>
        <v>0</v>
      </c>
      <c r="AM49" s="137">
        <f t="shared" si="32"/>
        <v>0</v>
      </c>
      <c r="AN49" s="135">
        <f t="shared" si="32"/>
        <v>0</v>
      </c>
      <c r="AO49" s="138">
        <f t="shared" si="32"/>
        <v>0</v>
      </c>
      <c r="AP49" s="136">
        <f t="shared" si="32"/>
        <v>0</v>
      </c>
      <c r="AQ49" s="136">
        <f t="shared" si="33"/>
        <v>0</v>
      </c>
      <c r="AR49" s="194">
        <f t="shared" si="32"/>
        <v>0</v>
      </c>
      <c r="AS49" s="138">
        <f t="shared" si="32"/>
        <v>0</v>
      </c>
      <c r="AT49" s="136">
        <f t="shared" si="32"/>
        <v>0</v>
      </c>
      <c r="AU49" s="136">
        <f t="shared" si="32"/>
        <v>0</v>
      </c>
      <c r="AV49" s="137">
        <f t="shared" si="32"/>
        <v>0</v>
      </c>
      <c r="AW49" s="135">
        <f t="shared" si="32"/>
        <v>0</v>
      </c>
      <c r="AX49" s="136">
        <f t="shared" si="32"/>
        <v>0</v>
      </c>
      <c r="AY49" s="136">
        <f t="shared" si="32"/>
        <v>0</v>
      </c>
      <c r="AZ49" s="137">
        <f t="shared" si="32"/>
        <v>0</v>
      </c>
      <c r="BA49" s="135">
        <f t="shared" si="34"/>
        <v>0</v>
      </c>
      <c r="BB49" s="136">
        <f t="shared" si="34"/>
        <v>0</v>
      </c>
      <c r="BC49" s="136">
        <f t="shared" si="34"/>
        <v>0</v>
      </c>
      <c r="BD49" s="136">
        <f t="shared" si="34"/>
        <v>0</v>
      </c>
      <c r="BE49" s="137">
        <f t="shared" si="34"/>
        <v>0</v>
      </c>
      <c r="BF49" s="138">
        <f t="shared" si="34"/>
        <v>0</v>
      </c>
      <c r="BG49" s="136">
        <f t="shared" si="34"/>
        <v>0</v>
      </c>
      <c r="BH49" s="136">
        <f t="shared" si="34"/>
        <v>0</v>
      </c>
      <c r="BI49" s="137">
        <f t="shared" si="34"/>
        <v>0</v>
      </c>
      <c r="BJ49" s="135">
        <f t="shared" si="34"/>
        <v>0</v>
      </c>
      <c r="BK49" s="136">
        <f t="shared" si="34"/>
        <v>0</v>
      </c>
      <c r="BL49" s="136">
        <f t="shared" si="34"/>
        <v>0</v>
      </c>
      <c r="BM49" s="137">
        <f t="shared" si="34"/>
        <v>0</v>
      </c>
      <c r="BN49" s="138">
        <f t="shared" si="34"/>
        <v>0</v>
      </c>
      <c r="BO49" s="136">
        <f t="shared" si="34"/>
        <v>0</v>
      </c>
      <c r="BP49" s="136">
        <f t="shared" si="34"/>
        <v>0</v>
      </c>
      <c r="BQ49" s="136">
        <f t="shared" si="34"/>
        <v>0</v>
      </c>
      <c r="BR49" s="137">
        <f t="shared" si="34"/>
        <v>0</v>
      </c>
      <c r="BS49" s="138">
        <f t="shared" si="34"/>
        <v>0</v>
      </c>
      <c r="BT49" s="136">
        <f t="shared" si="34"/>
        <v>0</v>
      </c>
      <c r="BU49" s="136">
        <f t="shared" si="34"/>
        <v>0</v>
      </c>
      <c r="BV49" s="137">
        <f t="shared" si="34"/>
        <v>0</v>
      </c>
      <c r="BW49" s="138">
        <f t="shared" si="34"/>
        <v>0</v>
      </c>
      <c r="BX49" s="136">
        <f t="shared" si="34"/>
        <v>0</v>
      </c>
      <c r="BY49" s="136">
        <f t="shared" si="34"/>
        <v>0</v>
      </c>
      <c r="BZ49" s="136">
        <f t="shared" si="35"/>
        <v>0</v>
      </c>
      <c r="CA49" s="137">
        <f t="shared" si="34"/>
        <v>0</v>
      </c>
      <c r="CB49" s="138">
        <f t="shared" si="34"/>
        <v>0</v>
      </c>
      <c r="CC49" s="136">
        <f t="shared" si="34"/>
        <v>0</v>
      </c>
      <c r="CD49" s="136">
        <f t="shared" si="34"/>
        <v>0</v>
      </c>
      <c r="CE49" s="137">
        <f t="shared" si="34"/>
        <v>0</v>
      </c>
      <c r="CF49" s="135">
        <f t="shared" si="34"/>
        <v>0</v>
      </c>
      <c r="CG49" s="136">
        <f t="shared" si="34"/>
        <v>0</v>
      </c>
      <c r="CH49" s="136">
        <f t="shared" si="34"/>
        <v>0</v>
      </c>
      <c r="CI49" s="137">
        <f t="shared" si="34"/>
        <v>0</v>
      </c>
    </row>
    <row r="50" spans="1:87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8"/>
        <v>1</v>
      </c>
      <c r="K50" s="101">
        <v>0</v>
      </c>
      <c r="L50" s="132">
        <f t="shared" si="29"/>
        <v>0.1</v>
      </c>
      <c r="M50" s="132">
        <f t="shared" si="30"/>
        <v>0</v>
      </c>
      <c r="N50" s="132">
        <f t="shared" si="5"/>
        <v>-0.1</v>
      </c>
      <c r="O50" s="133" t="str">
        <f t="shared" si="31"/>
        <v>지연</v>
      </c>
      <c r="P50" s="104"/>
      <c r="Q50" s="104"/>
      <c r="R50" s="104"/>
      <c r="S50" s="104"/>
      <c r="T50" s="104"/>
      <c r="U50" s="104"/>
      <c r="V50" s="130"/>
      <c r="W50" s="130"/>
      <c r="X50" s="134" t="str">
        <f t="shared" si="27"/>
        <v/>
      </c>
      <c r="Y50" s="253">
        <f>NETWORKDAYS(P50,Q50,진행현황_전체!C$59:C$77)</f>
        <v>0</v>
      </c>
      <c r="Z50" s="258"/>
      <c r="AA50" s="135">
        <f t="shared" si="32"/>
        <v>0</v>
      </c>
      <c r="AB50" s="136">
        <f t="shared" si="32"/>
        <v>0</v>
      </c>
      <c r="AC50" s="136">
        <f t="shared" si="32"/>
        <v>0</v>
      </c>
      <c r="AD50" s="136">
        <f t="shared" si="32"/>
        <v>0</v>
      </c>
      <c r="AE50" s="137">
        <f t="shared" si="32"/>
        <v>0</v>
      </c>
      <c r="AF50" s="138">
        <f t="shared" si="32"/>
        <v>0</v>
      </c>
      <c r="AG50" s="136">
        <f t="shared" si="32"/>
        <v>0</v>
      </c>
      <c r="AH50" s="136">
        <f t="shared" si="32"/>
        <v>0</v>
      </c>
      <c r="AI50" s="137">
        <f t="shared" si="32"/>
        <v>0</v>
      </c>
      <c r="AJ50" s="135">
        <f t="shared" si="32"/>
        <v>0</v>
      </c>
      <c r="AK50" s="136">
        <f t="shared" si="32"/>
        <v>0</v>
      </c>
      <c r="AL50" s="136">
        <f t="shared" si="32"/>
        <v>0</v>
      </c>
      <c r="AM50" s="137">
        <f t="shared" si="32"/>
        <v>0</v>
      </c>
      <c r="AN50" s="135">
        <f t="shared" si="32"/>
        <v>0</v>
      </c>
      <c r="AO50" s="138">
        <f t="shared" si="32"/>
        <v>0</v>
      </c>
      <c r="AP50" s="136">
        <f t="shared" si="32"/>
        <v>0</v>
      </c>
      <c r="AQ50" s="136">
        <f t="shared" si="33"/>
        <v>0</v>
      </c>
      <c r="AR50" s="194">
        <f t="shared" si="32"/>
        <v>0</v>
      </c>
      <c r="AS50" s="138">
        <f t="shared" si="32"/>
        <v>0</v>
      </c>
      <c r="AT50" s="136">
        <f t="shared" si="32"/>
        <v>0</v>
      </c>
      <c r="AU50" s="136">
        <f t="shared" si="32"/>
        <v>0</v>
      </c>
      <c r="AV50" s="137">
        <f t="shared" si="32"/>
        <v>0</v>
      </c>
      <c r="AW50" s="135">
        <f t="shared" si="32"/>
        <v>0</v>
      </c>
      <c r="AX50" s="136">
        <f t="shared" si="32"/>
        <v>0</v>
      </c>
      <c r="AY50" s="136">
        <f t="shared" si="32"/>
        <v>0</v>
      </c>
      <c r="AZ50" s="137">
        <f t="shared" si="32"/>
        <v>0</v>
      </c>
      <c r="BA50" s="135">
        <f t="shared" si="34"/>
        <v>0</v>
      </c>
      <c r="BB50" s="136">
        <f t="shared" si="34"/>
        <v>0</v>
      </c>
      <c r="BC50" s="136">
        <f t="shared" si="34"/>
        <v>0</v>
      </c>
      <c r="BD50" s="136">
        <f t="shared" si="34"/>
        <v>0</v>
      </c>
      <c r="BE50" s="137">
        <f t="shared" si="34"/>
        <v>0</v>
      </c>
      <c r="BF50" s="138">
        <f t="shared" si="34"/>
        <v>0</v>
      </c>
      <c r="BG50" s="136">
        <f t="shared" si="34"/>
        <v>0</v>
      </c>
      <c r="BH50" s="136">
        <f t="shared" si="34"/>
        <v>0</v>
      </c>
      <c r="BI50" s="137">
        <f t="shared" si="34"/>
        <v>0</v>
      </c>
      <c r="BJ50" s="135">
        <f t="shared" si="34"/>
        <v>0</v>
      </c>
      <c r="BK50" s="136">
        <f t="shared" si="34"/>
        <v>0</v>
      </c>
      <c r="BL50" s="136">
        <f t="shared" si="34"/>
        <v>0</v>
      </c>
      <c r="BM50" s="137">
        <f t="shared" si="34"/>
        <v>0</v>
      </c>
      <c r="BN50" s="138">
        <f t="shared" si="34"/>
        <v>0</v>
      </c>
      <c r="BO50" s="136">
        <f t="shared" si="34"/>
        <v>0</v>
      </c>
      <c r="BP50" s="136">
        <f t="shared" si="34"/>
        <v>0</v>
      </c>
      <c r="BQ50" s="136">
        <f t="shared" si="34"/>
        <v>0</v>
      </c>
      <c r="BR50" s="137">
        <f t="shared" si="34"/>
        <v>0</v>
      </c>
      <c r="BS50" s="138">
        <f t="shared" si="34"/>
        <v>0</v>
      </c>
      <c r="BT50" s="136">
        <f t="shared" si="34"/>
        <v>0</v>
      </c>
      <c r="BU50" s="136">
        <f t="shared" si="34"/>
        <v>0</v>
      </c>
      <c r="BV50" s="137">
        <f t="shared" si="34"/>
        <v>0</v>
      </c>
      <c r="BW50" s="138">
        <f t="shared" si="34"/>
        <v>0</v>
      </c>
      <c r="BX50" s="136">
        <f t="shared" si="34"/>
        <v>0</v>
      </c>
      <c r="BY50" s="136">
        <f t="shared" si="34"/>
        <v>0</v>
      </c>
      <c r="BZ50" s="136">
        <f t="shared" si="35"/>
        <v>0</v>
      </c>
      <c r="CA50" s="137">
        <f t="shared" si="34"/>
        <v>0</v>
      </c>
      <c r="CB50" s="138">
        <f t="shared" si="34"/>
        <v>0</v>
      </c>
      <c r="CC50" s="136">
        <f t="shared" si="34"/>
        <v>0</v>
      </c>
      <c r="CD50" s="136">
        <f t="shared" si="34"/>
        <v>0</v>
      </c>
      <c r="CE50" s="137">
        <f t="shared" si="34"/>
        <v>0</v>
      </c>
      <c r="CF50" s="135">
        <f t="shared" si="34"/>
        <v>0</v>
      </c>
      <c r="CG50" s="136">
        <f t="shared" si="34"/>
        <v>0</v>
      </c>
      <c r="CH50" s="136">
        <f t="shared" si="34"/>
        <v>0</v>
      </c>
      <c r="CI50" s="137">
        <f t="shared" si="34"/>
        <v>0</v>
      </c>
    </row>
    <row r="51" spans="1:87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8"/>
        <v>1</v>
      </c>
      <c r="K51" s="101">
        <v>0</v>
      </c>
      <c r="L51" s="132">
        <f t="shared" si="29"/>
        <v>0.1</v>
      </c>
      <c r="M51" s="132">
        <f t="shared" si="30"/>
        <v>0</v>
      </c>
      <c r="N51" s="132">
        <f t="shared" si="5"/>
        <v>-0.1</v>
      </c>
      <c r="O51" s="133" t="str">
        <f t="shared" si="31"/>
        <v>지연</v>
      </c>
      <c r="P51" s="104"/>
      <c r="Q51" s="104"/>
      <c r="R51" s="104"/>
      <c r="S51" s="104"/>
      <c r="T51" s="104"/>
      <c r="U51" s="104"/>
      <c r="V51" s="94"/>
      <c r="W51" s="94"/>
      <c r="X51" s="134" t="str">
        <f t="shared" si="27"/>
        <v/>
      </c>
      <c r="Y51" s="253">
        <f>NETWORKDAYS(P51,Q51,진행현황_전체!C$59:C$77)</f>
        <v>0</v>
      </c>
      <c r="Z51" s="258"/>
      <c r="AA51" s="135">
        <f t="shared" si="32"/>
        <v>0</v>
      </c>
      <c r="AB51" s="136">
        <f t="shared" si="32"/>
        <v>0</v>
      </c>
      <c r="AC51" s="136">
        <f t="shared" si="32"/>
        <v>0</v>
      </c>
      <c r="AD51" s="136">
        <f t="shared" si="32"/>
        <v>0</v>
      </c>
      <c r="AE51" s="137">
        <f t="shared" si="32"/>
        <v>0</v>
      </c>
      <c r="AF51" s="138">
        <f t="shared" si="32"/>
        <v>0</v>
      </c>
      <c r="AG51" s="136">
        <f t="shared" si="32"/>
        <v>0</v>
      </c>
      <c r="AH51" s="136">
        <f t="shared" si="32"/>
        <v>0</v>
      </c>
      <c r="AI51" s="137">
        <f t="shared" si="32"/>
        <v>0</v>
      </c>
      <c r="AJ51" s="135">
        <f t="shared" si="32"/>
        <v>0</v>
      </c>
      <c r="AK51" s="136">
        <f t="shared" si="32"/>
        <v>0</v>
      </c>
      <c r="AL51" s="136">
        <f t="shared" si="32"/>
        <v>0</v>
      </c>
      <c r="AM51" s="137">
        <f t="shared" si="32"/>
        <v>0</v>
      </c>
      <c r="AN51" s="135">
        <f t="shared" si="32"/>
        <v>0</v>
      </c>
      <c r="AO51" s="138">
        <f t="shared" si="32"/>
        <v>0</v>
      </c>
      <c r="AP51" s="136">
        <f t="shared" si="32"/>
        <v>0</v>
      </c>
      <c r="AQ51" s="136">
        <f t="shared" si="33"/>
        <v>0</v>
      </c>
      <c r="AR51" s="194">
        <f t="shared" si="32"/>
        <v>0</v>
      </c>
      <c r="AS51" s="138">
        <f t="shared" si="32"/>
        <v>0</v>
      </c>
      <c r="AT51" s="136">
        <f t="shared" si="32"/>
        <v>0</v>
      </c>
      <c r="AU51" s="136">
        <f t="shared" si="32"/>
        <v>0</v>
      </c>
      <c r="AV51" s="137">
        <f t="shared" si="32"/>
        <v>0</v>
      </c>
      <c r="AW51" s="135">
        <f t="shared" si="32"/>
        <v>0</v>
      </c>
      <c r="AX51" s="136">
        <f t="shared" si="32"/>
        <v>0</v>
      </c>
      <c r="AY51" s="136">
        <f t="shared" si="32"/>
        <v>0</v>
      </c>
      <c r="AZ51" s="137">
        <f t="shared" si="32"/>
        <v>0</v>
      </c>
      <c r="BA51" s="135">
        <f t="shared" si="34"/>
        <v>0</v>
      </c>
      <c r="BB51" s="136">
        <f t="shared" si="34"/>
        <v>0</v>
      </c>
      <c r="BC51" s="136">
        <f t="shared" si="34"/>
        <v>0</v>
      </c>
      <c r="BD51" s="136">
        <f t="shared" si="34"/>
        <v>0</v>
      </c>
      <c r="BE51" s="137">
        <f t="shared" si="34"/>
        <v>0</v>
      </c>
      <c r="BF51" s="138">
        <f t="shared" si="34"/>
        <v>0</v>
      </c>
      <c r="BG51" s="136">
        <f t="shared" si="34"/>
        <v>0</v>
      </c>
      <c r="BH51" s="136">
        <f t="shared" si="34"/>
        <v>0</v>
      </c>
      <c r="BI51" s="137">
        <f t="shared" si="34"/>
        <v>0</v>
      </c>
      <c r="BJ51" s="135">
        <f t="shared" si="34"/>
        <v>0</v>
      </c>
      <c r="BK51" s="136">
        <f t="shared" ref="BK51:CI53" si="36">IF(OR((AND($P51&lt;=BK$7,AND($Q51&lt;=BK$8, $Q51&gt;=BK$7))),(AND(AND($P51&gt;=BK$7, $P51&lt;=BK$8),$Q51&gt;=BK$8)), AND($P51&gt;=BK$7, $Q51&lt;=BK$8), AND($P51&lt;=BK$7,$Q51&gt;=BK$8)),1,0)</f>
        <v>0</v>
      </c>
      <c r="BL51" s="136">
        <f t="shared" si="36"/>
        <v>0</v>
      </c>
      <c r="BM51" s="137">
        <f t="shared" si="36"/>
        <v>0</v>
      </c>
      <c r="BN51" s="138">
        <f t="shared" si="36"/>
        <v>0</v>
      </c>
      <c r="BO51" s="136">
        <f t="shared" si="36"/>
        <v>0</v>
      </c>
      <c r="BP51" s="136">
        <f t="shared" si="36"/>
        <v>0</v>
      </c>
      <c r="BQ51" s="136">
        <f t="shared" si="36"/>
        <v>0</v>
      </c>
      <c r="BR51" s="137">
        <f t="shared" si="36"/>
        <v>0</v>
      </c>
      <c r="BS51" s="138">
        <f t="shared" si="36"/>
        <v>0</v>
      </c>
      <c r="BT51" s="136">
        <f t="shared" si="36"/>
        <v>0</v>
      </c>
      <c r="BU51" s="136">
        <f t="shared" si="36"/>
        <v>0</v>
      </c>
      <c r="BV51" s="137">
        <f t="shared" si="36"/>
        <v>0</v>
      </c>
      <c r="BW51" s="138">
        <f t="shared" si="36"/>
        <v>0</v>
      </c>
      <c r="BX51" s="136">
        <f t="shared" si="36"/>
        <v>0</v>
      </c>
      <c r="BY51" s="136">
        <f t="shared" si="36"/>
        <v>0</v>
      </c>
      <c r="BZ51" s="136">
        <f t="shared" si="36"/>
        <v>0</v>
      </c>
      <c r="CA51" s="137">
        <f t="shared" si="36"/>
        <v>0</v>
      </c>
      <c r="CB51" s="138">
        <f t="shared" si="36"/>
        <v>0</v>
      </c>
      <c r="CC51" s="136">
        <f t="shared" si="36"/>
        <v>0</v>
      </c>
      <c r="CD51" s="136">
        <f t="shared" si="36"/>
        <v>0</v>
      </c>
      <c r="CE51" s="137">
        <f t="shared" si="36"/>
        <v>0</v>
      </c>
      <c r="CF51" s="135">
        <f t="shared" si="36"/>
        <v>0</v>
      </c>
      <c r="CG51" s="136">
        <f t="shared" si="36"/>
        <v>0</v>
      </c>
      <c r="CH51" s="136">
        <f t="shared" si="36"/>
        <v>0</v>
      </c>
      <c r="CI51" s="137">
        <f t="shared" si="36"/>
        <v>0</v>
      </c>
    </row>
    <row r="52" spans="1:87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8"/>
        <v>1</v>
      </c>
      <c r="K52" s="101">
        <v>0</v>
      </c>
      <c r="L52" s="132">
        <f t="shared" si="29"/>
        <v>0.1</v>
      </c>
      <c r="M52" s="132">
        <f t="shared" si="30"/>
        <v>0</v>
      </c>
      <c r="N52" s="132">
        <f t="shared" si="5"/>
        <v>-0.1</v>
      </c>
      <c r="O52" s="133" t="str">
        <f t="shared" si="31"/>
        <v>지연</v>
      </c>
      <c r="P52" s="104"/>
      <c r="Q52" s="104"/>
      <c r="R52" s="104"/>
      <c r="S52" s="104"/>
      <c r="T52" s="104"/>
      <c r="U52" s="104"/>
      <c r="V52" s="94"/>
      <c r="W52" s="94"/>
      <c r="X52" s="134" t="str">
        <f t="shared" si="27"/>
        <v/>
      </c>
      <c r="Y52" s="253">
        <f>NETWORKDAYS(P52,Q52,진행현황_전체!C$59:C$77)</f>
        <v>0</v>
      </c>
      <c r="Z52" s="258"/>
      <c r="AA52" s="135">
        <f t="shared" si="32"/>
        <v>0</v>
      </c>
      <c r="AB52" s="136">
        <f t="shared" si="32"/>
        <v>0</v>
      </c>
      <c r="AC52" s="136">
        <f t="shared" si="32"/>
        <v>0</v>
      </c>
      <c r="AD52" s="136">
        <f t="shared" si="32"/>
        <v>0</v>
      </c>
      <c r="AE52" s="137">
        <f t="shared" si="32"/>
        <v>0</v>
      </c>
      <c r="AF52" s="138">
        <f t="shared" si="32"/>
        <v>0</v>
      </c>
      <c r="AG52" s="136">
        <f t="shared" si="32"/>
        <v>0</v>
      </c>
      <c r="AH52" s="136">
        <f t="shared" si="32"/>
        <v>0</v>
      </c>
      <c r="AI52" s="137">
        <f t="shared" si="32"/>
        <v>0</v>
      </c>
      <c r="AJ52" s="135">
        <f t="shared" si="32"/>
        <v>0</v>
      </c>
      <c r="AK52" s="136">
        <f t="shared" si="32"/>
        <v>0</v>
      </c>
      <c r="AL52" s="136">
        <f t="shared" si="32"/>
        <v>0</v>
      </c>
      <c r="AM52" s="137">
        <f t="shared" si="32"/>
        <v>0</v>
      </c>
      <c r="AN52" s="135">
        <f t="shared" si="32"/>
        <v>0</v>
      </c>
      <c r="AO52" s="138">
        <f t="shared" si="32"/>
        <v>0</v>
      </c>
      <c r="AP52" s="136">
        <f t="shared" si="32"/>
        <v>0</v>
      </c>
      <c r="AQ52" s="136">
        <f t="shared" si="33"/>
        <v>0</v>
      </c>
      <c r="AR52" s="194">
        <f t="shared" si="32"/>
        <v>0</v>
      </c>
      <c r="AS52" s="138">
        <f t="shared" si="32"/>
        <v>0</v>
      </c>
      <c r="AT52" s="136">
        <f t="shared" si="32"/>
        <v>0</v>
      </c>
      <c r="AU52" s="136">
        <f t="shared" si="32"/>
        <v>0</v>
      </c>
      <c r="AV52" s="137">
        <f t="shared" si="32"/>
        <v>0</v>
      </c>
      <c r="AW52" s="135">
        <f t="shared" si="32"/>
        <v>0</v>
      </c>
      <c r="AX52" s="136">
        <f t="shared" si="32"/>
        <v>0</v>
      </c>
      <c r="AY52" s="136">
        <f t="shared" si="32"/>
        <v>0</v>
      </c>
      <c r="AZ52" s="137">
        <f t="shared" si="32"/>
        <v>0</v>
      </c>
      <c r="BA52" s="135">
        <f t="shared" ref="BA52:BW53" si="37">IF(OR((AND($P52&lt;=BA$7,AND($Q52&lt;=BA$8, $Q52&gt;=BA$7))),(AND(AND($P52&gt;=BA$7, $P52&lt;=BA$8),$Q52&gt;=BA$8)), AND($P52&gt;=BA$7, $Q52&lt;=BA$8), AND($P52&lt;=BA$7,$Q52&gt;=BA$8)),1,0)</f>
        <v>0</v>
      </c>
      <c r="BB52" s="136">
        <f t="shared" si="37"/>
        <v>0</v>
      </c>
      <c r="BC52" s="136">
        <f t="shared" si="37"/>
        <v>0</v>
      </c>
      <c r="BD52" s="136">
        <f t="shared" si="37"/>
        <v>0</v>
      </c>
      <c r="BE52" s="137">
        <f t="shared" si="37"/>
        <v>0</v>
      </c>
      <c r="BF52" s="138">
        <f t="shared" si="37"/>
        <v>0</v>
      </c>
      <c r="BG52" s="136">
        <f t="shared" si="37"/>
        <v>0</v>
      </c>
      <c r="BH52" s="136">
        <f t="shared" si="37"/>
        <v>0</v>
      </c>
      <c r="BI52" s="137">
        <f t="shared" si="37"/>
        <v>0</v>
      </c>
      <c r="BJ52" s="135">
        <f t="shared" si="37"/>
        <v>0</v>
      </c>
      <c r="BK52" s="136">
        <f t="shared" si="37"/>
        <v>0</v>
      </c>
      <c r="BL52" s="136">
        <f t="shared" si="37"/>
        <v>0</v>
      </c>
      <c r="BM52" s="137">
        <f t="shared" si="37"/>
        <v>0</v>
      </c>
      <c r="BN52" s="138">
        <f t="shared" si="37"/>
        <v>0</v>
      </c>
      <c r="BO52" s="136">
        <f t="shared" si="37"/>
        <v>0</v>
      </c>
      <c r="BP52" s="136">
        <f t="shared" si="37"/>
        <v>0</v>
      </c>
      <c r="BQ52" s="136">
        <f t="shared" si="37"/>
        <v>0</v>
      </c>
      <c r="BR52" s="137">
        <f t="shared" si="37"/>
        <v>0</v>
      </c>
      <c r="BS52" s="138">
        <f t="shared" si="37"/>
        <v>0</v>
      </c>
      <c r="BT52" s="136">
        <f t="shared" si="37"/>
        <v>0</v>
      </c>
      <c r="BU52" s="136">
        <f t="shared" si="37"/>
        <v>0</v>
      </c>
      <c r="BV52" s="137">
        <f t="shared" si="36"/>
        <v>0</v>
      </c>
      <c r="BW52" s="138">
        <f t="shared" si="37"/>
        <v>0</v>
      </c>
      <c r="BX52" s="136">
        <f t="shared" si="36"/>
        <v>0</v>
      </c>
      <c r="BY52" s="136">
        <f t="shared" si="36"/>
        <v>0</v>
      </c>
      <c r="BZ52" s="136">
        <f t="shared" si="36"/>
        <v>0</v>
      </c>
      <c r="CA52" s="137">
        <f t="shared" si="36"/>
        <v>0</v>
      </c>
      <c r="CB52" s="138">
        <f t="shared" si="36"/>
        <v>0</v>
      </c>
      <c r="CC52" s="136">
        <f t="shared" si="36"/>
        <v>0</v>
      </c>
      <c r="CD52" s="136">
        <f t="shared" si="36"/>
        <v>0</v>
      </c>
      <c r="CE52" s="137">
        <f t="shared" si="36"/>
        <v>0</v>
      </c>
      <c r="CF52" s="135">
        <f t="shared" si="36"/>
        <v>0</v>
      </c>
      <c r="CG52" s="136">
        <f t="shared" si="36"/>
        <v>0</v>
      </c>
      <c r="CH52" s="136">
        <f t="shared" si="36"/>
        <v>0</v>
      </c>
      <c r="CI52" s="137">
        <f t="shared" si="36"/>
        <v>0</v>
      </c>
    </row>
    <row r="53" spans="1:87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8"/>
        <v>1</v>
      </c>
      <c r="K53" s="101">
        <v>0</v>
      </c>
      <c r="L53" s="132">
        <f t="shared" si="29"/>
        <v>0.1</v>
      </c>
      <c r="M53" s="132">
        <f t="shared" si="30"/>
        <v>0</v>
      </c>
      <c r="N53" s="132">
        <f t="shared" si="5"/>
        <v>-0.1</v>
      </c>
      <c r="O53" s="133" t="str">
        <f t="shared" si="31"/>
        <v>지연</v>
      </c>
      <c r="P53" s="104"/>
      <c r="Q53" s="104"/>
      <c r="R53" s="104"/>
      <c r="S53" s="104"/>
      <c r="T53" s="104"/>
      <c r="U53" s="104"/>
      <c r="V53" s="94"/>
      <c r="W53" s="94"/>
      <c r="X53" s="134" t="str">
        <f t="shared" si="27"/>
        <v/>
      </c>
      <c r="Y53" s="253">
        <f>NETWORKDAYS(P53,Q53,진행현황_전체!C$59:C$77)</f>
        <v>0</v>
      </c>
      <c r="Z53" s="258"/>
      <c r="AA53" s="135">
        <f t="shared" si="32"/>
        <v>0</v>
      </c>
      <c r="AB53" s="136">
        <f t="shared" si="32"/>
        <v>0</v>
      </c>
      <c r="AC53" s="136">
        <f t="shared" si="32"/>
        <v>0</v>
      </c>
      <c r="AD53" s="136">
        <f t="shared" si="32"/>
        <v>0</v>
      </c>
      <c r="AE53" s="137">
        <f t="shared" si="32"/>
        <v>0</v>
      </c>
      <c r="AF53" s="138">
        <f t="shared" si="32"/>
        <v>0</v>
      </c>
      <c r="AG53" s="136">
        <f t="shared" si="32"/>
        <v>0</v>
      </c>
      <c r="AH53" s="136">
        <f t="shared" si="32"/>
        <v>0</v>
      </c>
      <c r="AI53" s="137">
        <f t="shared" si="32"/>
        <v>0</v>
      </c>
      <c r="AJ53" s="135">
        <f t="shared" si="32"/>
        <v>0</v>
      </c>
      <c r="AK53" s="136">
        <f t="shared" si="32"/>
        <v>0</v>
      </c>
      <c r="AL53" s="136">
        <f t="shared" si="32"/>
        <v>0</v>
      </c>
      <c r="AM53" s="137">
        <f t="shared" si="32"/>
        <v>0</v>
      </c>
      <c r="AN53" s="135">
        <f t="shared" si="32"/>
        <v>0</v>
      </c>
      <c r="AO53" s="138">
        <f t="shared" si="32"/>
        <v>0</v>
      </c>
      <c r="AP53" s="136">
        <f t="shared" si="32"/>
        <v>0</v>
      </c>
      <c r="AQ53" s="136">
        <f t="shared" si="33"/>
        <v>0</v>
      </c>
      <c r="AR53" s="194">
        <f t="shared" si="32"/>
        <v>0</v>
      </c>
      <c r="AS53" s="138">
        <f t="shared" si="32"/>
        <v>0</v>
      </c>
      <c r="AT53" s="136">
        <f t="shared" si="32"/>
        <v>0</v>
      </c>
      <c r="AU53" s="136">
        <f t="shared" si="32"/>
        <v>0</v>
      </c>
      <c r="AV53" s="137">
        <f t="shared" ref="AV53:AZ53" si="38">IF(OR((AND($P53&lt;=AV$7,AND($Q53&lt;=AV$8, $Q53&gt;=AV$7))),(AND(AND($P53&gt;=AV$7, $P53&lt;=AV$8),$Q53&gt;=AV$8)), AND($P53&gt;=AV$7, $Q53&lt;=AV$8), AND($P53&lt;=AV$7,$Q53&gt;=AV$8)),1,0)</f>
        <v>0</v>
      </c>
      <c r="AW53" s="135">
        <f t="shared" si="38"/>
        <v>0</v>
      </c>
      <c r="AX53" s="136">
        <f t="shared" si="38"/>
        <v>0</v>
      </c>
      <c r="AY53" s="136">
        <f t="shared" si="38"/>
        <v>0</v>
      </c>
      <c r="AZ53" s="137">
        <f t="shared" si="38"/>
        <v>0</v>
      </c>
      <c r="BA53" s="135">
        <f t="shared" si="37"/>
        <v>0</v>
      </c>
      <c r="BB53" s="136">
        <f t="shared" si="37"/>
        <v>0</v>
      </c>
      <c r="BC53" s="136">
        <f t="shared" si="37"/>
        <v>0</v>
      </c>
      <c r="BD53" s="136">
        <f t="shared" si="37"/>
        <v>0</v>
      </c>
      <c r="BE53" s="137">
        <f t="shared" si="37"/>
        <v>0</v>
      </c>
      <c r="BF53" s="138">
        <f t="shared" si="37"/>
        <v>0</v>
      </c>
      <c r="BG53" s="136">
        <f t="shared" si="37"/>
        <v>0</v>
      </c>
      <c r="BH53" s="136">
        <f t="shared" si="37"/>
        <v>0</v>
      </c>
      <c r="BI53" s="137">
        <f t="shared" si="37"/>
        <v>0</v>
      </c>
      <c r="BJ53" s="135">
        <f t="shared" si="37"/>
        <v>0</v>
      </c>
      <c r="BK53" s="136">
        <f t="shared" si="37"/>
        <v>0</v>
      </c>
      <c r="BL53" s="136">
        <f t="shared" si="37"/>
        <v>0</v>
      </c>
      <c r="BM53" s="137">
        <f t="shared" si="37"/>
        <v>0</v>
      </c>
      <c r="BN53" s="138">
        <f t="shared" si="37"/>
        <v>0</v>
      </c>
      <c r="BO53" s="136">
        <f t="shared" si="37"/>
        <v>0</v>
      </c>
      <c r="BP53" s="136">
        <f t="shared" si="37"/>
        <v>0</v>
      </c>
      <c r="BQ53" s="136">
        <f t="shared" si="37"/>
        <v>0</v>
      </c>
      <c r="BR53" s="137">
        <f t="shared" si="37"/>
        <v>0</v>
      </c>
      <c r="BS53" s="138">
        <f t="shared" si="37"/>
        <v>0</v>
      </c>
      <c r="BT53" s="136">
        <f t="shared" si="37"/>
        <v>0</v>
      </c>
      <c r="BU53" s="136">
        <f t="shared" si="37"/>
        <v>0</v>
      </c>
      <c r="BV53" s="137">
        <f t="shared" si="36"/>
        <v>0</v>
      </c>
      <c r="BW53" s="138">
        <f t="shared" si="36"/>
        <v>0</v>
      </c>
      <c r="BX53" s="136">
        <f t="shared" si="36"/>
        <v>0</v>
      </c>
      <c r="BY53" s="136">
        <f t="shared" si="36"/>
        <v>0</v>
      </c>
      <c r="BZ53" s="136">
        <f t="shared" si="36"/>
        <v>0</v>
      </c>
      <c r="CA53" s="137">
        <f t="shared" si="36"/>
        <v>0</v>
      </c>
      <c r="CB53" s="138">
        <f t="shared" si="36"/>
        <v>0</v>
      </c>
      <c r="CC53" s="136">
        <f t="shared" si="36"/>
        <v>0</v>
      </c>
      <c r="CD53" s="136">
        <f t="shared" si="36"/>
        <v>0</v>
      </c>
      <c r="CE53" s="137">
        <f t="shared" si="36"/>
        <v>0</v>
      </c>
      <c r="CF53" s="135">
        <f t="shared" si="36"/>
        <v>0</v>
      </c>
      <c r="CG53" s="136">
        <f t="shared" si="36"/>
        <v>0</v>
      </c>
      <c r="CH53" s="136">
        <f t="shared" si="36"/>
        <v>0</v>
      </c>
      <c r="CI53" s="137">
        <f t="shared" si="36"/>
        <v>0</v>
      </c>
    </row>
    <row r="54" spans="1:87" ht="17.25" thickBot="1">
      <c r="A54" s="139" t="s">
        <v>78</v>
      </c>
      <c r="B54" s="114" t="str">
        <f>진행현황_01.범위명!F15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진행현황_01.범위명!F16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5"/>
        <v>-14.999999999999998</v>
      </c>
      <c r="O54" s="121"/>
      <c r="P54" s="122">
        <f>MIN(P55:P64)</f>
        <v>0</v>
      </c>
      <c r="Q54" s="122">
        <f>MAX(Q55:Q64)</f>
        <v>0</v>
      </c>
      <c r="R54" s="122"/>
      <c r="S54" s="122">
        <f>MIN(S55:S64)</f>
        <v>0</v>
      </c>
      <c r="T54" s="122">
        <f>MAX(T55:T64)</f>
        <v>0</v>
      </c>
      <c r="U54" s="122"/>
      <c r="V54" s="113"/>
      <c r="W54" s="113"/>
      <c r="X54" s="123" t="str">
        <f t="shared" si="27"/>
        <v/>
      </c>
      <c r="Y54" s="124">
        <f>NETWORKDAYS(P54,Q54,진행현황_전체!C$59:C$77)</f>
        <v>0</v>
      </c>
      <c r="Z54" s="257"/>
      <c r="AA54" s="125"/>
      <c r="AB54" s="126"/>
      <c r="AC54" s="126"/>
      <c r="AD54" s="126"/>
      <c r="AE54" s="127"/>
      <c r="AF54" s="129"/>
      <c r="AG54" s="126"/>
      <c r="AH54" s="126"/>
      <c r="AI54" s="127"/>
      <c r="AJ54" s="128"/>
      <c r="AK54" s="126"/>
      <c r="AL54" s="126"/>
      <c r="AM54" s="127"/>
      <c r="AN54" s="128"/>
      <c r="AO54" s="129"/>
      <c r="AP54" s="126"/>
      <c r="AQ54" s="126"/>
      <c r="AR54" s="193"/>
      <c r="AS54" s="129"/>
      <c r="AT54" s="126"/>
      <c r="AU54" s="126"/>
      <c r="AV54" s="127"/>
      <c r="AW54" s="128"/>
      <c r="AX54" s="126"/>
      <c r="AY54" s="126"/>
      <c r="AZ54" s="127"/>
      <c r="BA54" s="125"/>
      <c r="BB54" s="126"/>
      <c r="BC54" s="126"/>
      <c r="BD54" s="126"/>
      <c r="BE54" s="127"/>
      <c r="BF54" s="129"/>
      <c r="BG54" s="126"/>
      <c r="BH54" s="126"/>
      <c r="BI54" s="127"/>
      <c r="BJ54" s="128"/>
      <c r="BK54" s="126"/>
      <c r="BL54" s="126"/>
      <c r="BM54" s="127"/>
      <c r="BN54" s="129"/>
      <c r="BO54" s="126"/>
      <c r="BP54" s="126"/>
      <c r="BQ54" s="126"/>
      <c r="BR54" s="127"/>
      <c r="BS54" s="129"/>
      <c r="BT54" s="126"/>
      <c r="BU54" s="126"/>
      <c r="BV54" s="127"/>
      <c r="BW54" s="129"/>
      <c r="BX54" s="126"/>
      <c r="BY54" s="126"/>
      <c r="BZ54" s="126"/>
      <c r="CA54" s="127"/>
      <c r="CB54" s="129"/>
      <c r="CC54" s="126"/>
      <c r="CD54" s="126"/>
      <c r="CE54" s="127"/>
      <c r="CF54" s="128"/>
      <c r="CG54" s="126"/>
      <c r="CH54" s="126"/>
      <c r="CI54" s="127"/>
    </row>
    <row r="55" spans="1:87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9">IF(CheckDay&gt;=Q55,1,IF(CheckDay&lt;P55, 0,DAYS360(P55,CheckDay+1)/Y55))</f>
        <v>1</v>
      </c>
      <c r="K55" s="101">
        <v>0</v>
      </c>
      <c r="L55" s="132">
        <f t="shared" ref="L55:L64" si="40">I55*J55/100</f>
        <v>0.1</v>
      </c>
      <c r="M55" s="132">
        <f t="shared" ref="M55:M64" si="41">I55*K55/100</f>
        <v>0</v>
      </c>
      <c r="N55" s="132">
        <f t="shared" si="5"/>
        <v>-0.1</v>
      </c>
      <c r="O55" s="133" t="str">
        <f t="shared" ref="O55:O64" si="42">IF(AND(K55=0%,N55=0),"",IF(N55&lt;0,"지연",IF(K55=100%,"종료","진행")))</f>
        <v>지연</v>
      </c>
      <c r="P55" s="104"/>
      <c r="Q55" s="104"/>
      <c r="R55" s="104"/>
      <c r="S55" s="104"/>
      <c r="T55" s="104"/>
      <c r="U55" s="104"/>
      <c r="V55" s="94"/>
      <c r="W55" s="94"/>
      <c r="X55" s="134" t="str">
        <f t="shared" si="27"/>
        <v/>
      </c>
      <c r="Y55" s="253">
        <f>NETWORKDAYS(P55,Q55,진행현황_전체!C$59:C$77)</f>
        <v>0</v>
      </c>
      <c r="Z55" s="258"/>
      <c r="AA55" s="135">
        <f t="shared" ref="AA55:AU64" si="43">IF(OR((AND($P55&lt;=AA$7,AND($Q55&lt;=AA$8, $Q55&gt;=AA$7))),(AND(AND($P55&gt;=AA$7, $P55&lt;=AA$8),$Q55&gt;=AA$8)), AND($P55&gt;=AA$7, $Q55&lt;=AA$8), AND($P55&lt;=AA$7,$Q55&gt;=AA$8)),1,0)</f>
        <v>0</v>
      </c>
      <c r="AB55" s="136">
        <f t="shared" si="43"/>
        <v>0</v>
      </c>
      <c r="AC55" s="136">
        <f t="shared" si="43"/>
        <v>0</v>
      </c>
      <c r="AD55" s="136">
        <f t="shared" si="43"/>
        <v>0</v>
      </c>
      <c r="AE55" s="137">
        <f t="shared" si="43"/>
        <v>0</v>
      </c>
      <c r="AF55" s="138">
        <f t="shared" si="43"/>
        <v>0</v>
      </c>
      <c r="AG55" s="136">
        <f t="shared" si="43"/>
        <v>0</v>
      </c>
      <c r="AH55" s="136">
        <f t="shared" si="43"/>
        <v>0</v>
      </c>
      <c r="AI55" s="137">
        <f t="shared" si="43"/>
        <v>0</v>
      </c>
      <c r="AJ55" s="135">
        <f t="shared" si="43"/>
        <v>0</v>
      </c>
      <c r="AK55" s="136">
        <f t="shared" si="43"/>
        <v>0</v>
      </c>
      <c r="AL55" s="136">
        <f t="shared" si="43"/>
        <v>0</v>
      </c>
      <c r="AM55" s="137">
        <f t="shared" si="43"/>
        <v>0</v>
      </c>
      <c r="AN55" s="135">
        <f t="shared" si="43"/>
        <v>0</v>
      </c>
      <c r="AO55" s="138">
        <f t="shared" si="43"/>
        <v>0</v>
      </c>
      <c r="AP55" s="136">
        <f t="shared" si="43"/>
        <v>0</v>
      </c>
      <c r="AQ55" s="136">
        <f t="shared" si="43"/>
        <v>0</v>
      </c>
      <c r="AR55" s="194">
        <f t="shared" si="43"/>
        <v>0</v>
      </c>
      <c r="AS55" s="138">
        <f t="shared" si="43"/>
        <v>0</v>
      </c>
      <c r="AT55" s="136">
        <f t="shared" si="43"/>
        <v>0</v>
      </c>
      <c r="AU55" s="136">
        <f t="shared" si="43"/>
        <v>0</v>
      </c>
      <c r="AV55" s="137">
        <f t="shared" ref="AV55:BK64" si="44">IF(OR((AND($P55&lt;=AV$7,AND($Q55&lt;=AV$8, $Q55&gt;=AV$7))),(AND(AND($P55&gt;=AV$7, $P55&lt;=AV$8),$Q55&gt;=AV$8)), AND($P55&gt;=AV$7, $Q55&lt;=AV$8), AND($P55&lt;=AV$7,$Q55&gt;=AV$8)),1,0)</f>
        <v>0</v>
      </c>
      <c r="AW55" s="135">
        <f t="shared" si="44"/>
        <v>0</v>
      </c>
      <c r="AX55" s="136">
        <f t="shared" si="44"/>
        <v>0</v>
      </c>
      <c r="AY55" s="136">
        <f t="shared" si="44"/>
        <v>0</v>
      </c>
      <c r="AZ55" s="137">
        <f t="shared" si="44"/>
        <v>0</v>
      </c>
      <c r="BA55" s="135">
        <f t="shared" si="44"/>
        <v>0</v>
      </c>
      <c r="BB55" s="136">
        <f t="shared" si="44"/>
        <v>0</v>
      </c>
      <c r="BC55" s="136">
        <f t="shared" si="44"/>
        <v>0</v>
      </c>
      <c r="BD55" s="136">
        <f t="shared" si="44"/>
        <v>0</v>
      </c>
      <c r="BE55" s="137">
        <f t="shared" si="44"/>
        <v>0</v>
      </c>
      <c r="BF55" s="138">
        <f t="shared" si="44"/>
        <v>0</v>
      </c>
      <c r="BG55" s="136">
        <f t="shared" si="44"/>
        <v>0</v>
      </c>
      <c r="BH55" s="136">
        <f t="shared" si="44"/>
        <v>0</v>
      </c>
      <c r="BI55" s="137">
        <f t="shared" si="44"/>
        <v>0</v>
      </c>
      <c r="BJ55" s="135">
        <f t="shared" si="44"/>
        <v>0</v>
      </c>
      <c r="BK55" s="136">
        <f t="shared" si="44"/>
        <v>0</v>
      </c>
      <c r="BL55" s="136">
        <f t="shared" ref="BL55:CI64" si="45">IF(OR((AND($P55&lt;=BL$7,AND($Q55&lt;=BL$8, $Q55&gt;=BL$7))),(AND(AND($P55&gt;=BL$7, $P55&lt;=BL$8),$Q55&gt;=BL$8)), AND($P55&gt;=BL$7, $Q55&lt;=BL$8), AND($P55&lt;=BL$7,$Q55&gt;=BL$8)),1,0)</f>
        <v>0</v>
      </c>
      <c r="BM55" s="137">
        <f t="shared" si="45"/>
        <v>0</v>
      </c>
      <c r="BN55" s="138">
        <f t="shared" si="45"/>
        <v>0</v>
      </c>
      <c r="BO55" s="136">
        <f t="shared" si="45"/>
        <v>0</v>
      </c>
      <c r="BP55" s="136">
        <f t="shared" si="45"/>
        <v>0</v>
      </c>
      <c r="BQ55" s="136">
        <f t="shared" si="45"/>
        <v>0</v>
      </c>
      <c r="BR55" s="137">
        <f t="shared" si="45"/>
        <v>0</v>
      </c>
      <c r="BS55" s="138">
        <f t="shared" si="45"/>
        <v>0</v>
      </c>
      <c r="BT55" s="136">
        <f t="shared" si="45"/>
        <v>0</v>
      </c>
      <c r="BU55" s="136">
        <f t="shared" si="45"/>
        <v>0</v>
      </c>
      <c r="BV55" s="137">
        <f t="shared" si="45"/>
        <v>0</v>
      </c>
      <c r="BW55" s="138">
        <f t="shared" si="45"/>
        <v>0</v>
      </c>
      <c r="BX55" s="136">
        <f t="shared" si="45"/>
        <v>0</v>
      </c>
      <c r="BY55" s="136">
        <f t="shared" si="45"/>
        <v>0</v>
      </c>
      <c r="BZ55" s="136">
        <f t="shared" si="45"/>
        <v>0</v>
      </c>
      <c r="CA55" s="137">
        <f t="shared" si="45"/>
        <v>0</v>
      </c>
      <c r="CB55" s="138">
        <f t="shared" si="45"/>
        <v>0</v>
      </c>
      <c r="CC55" s="136">
        <f t="shared" si="45"/>
        <v>0</v>
      </c>
      <c r="CD55" s="136">
        <f t="shared" si="45"/>
        <v>0</v>
      </c>
      <c r="CE55" s="137">
        <f t="shared" si="45"/>
        <v>0</v>
      </c>
      <c r="CF55" s="135">
        <f t="shared" si="45"/>
        <v>0</v>
      </c>
      <c r="CG55" s="136">
        <f t="shared" si="45"/>
        <v>0</v>
      </c>
      <c r="CH55" s="136">
        <f t="shared" si="45"/>
        <v>0</v>
      </c>
      <c r="CI55" s="137">
        <f t="shared" si="45"/>
        <v>0</v>
      </c>
    </row>
    <row r="56" spans="1:87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9"/>
        <v>1</v>
      </c>
      <c r="K56" s="101">
        <v>0</v>
      </c>
      <c r="L56" s="132">
        <f t="shared" si="40"/>
        <v>0.1</v>
      </c>
      <c r="M56" s="132">
        <f t="shared" si="41"/>
        <v>0</v>
      </c>
      <c r="N56" s="132">
        <f t="shared" si="5"/>
        <v>-0.1</v>
      </c>
      <c r="O56" s="133" t="str">
        <f t="shared" si="42"/>
        <v>지연</v>
      </c>
      <c r="P56" s="104"/>
      <c r="Q56" s="104"/>
      <c r="R56" s="104"/>
      <c r="S56" s="104"/>
      <c r="T56" s="104"/>
      <c r="U56" s="104"/>
      <c r="V56" s="94"/>
      <c r="W56" s="94"/>
      <c r="X56" s="134" t="str">
        <f t="shared" si="27"/>
        <v/>
      </c>
      <c r="Y56" s="253">
        <f>NETWORKDAYS(P56,Q56,진행현황_전체!C$59:C$77)</f>
        <v>0</v>
      </c>
      <c r="Z56" s="258"/>
      <c r="AA56" s="135">
        <f t="shared" si="43"/>
        <v>0</v>
      </c>
      <c r="AB56" s="136">
        <f t="shared" si="43"/>
        <v>0</v>
      </c>
      <c r="AC56" s="136">
        <f t="shared" si="43"/>
        <v>0</v>
      </c>
      <c r="AD56" s="136">
        <f t="shared" si="43"/>
        <v>0</v>
      </c>
      <c r="AE56" s="137">
        <f t="shared" si="43"/>
        <v>0</v>
      </c>
      <c r="AF56" s="138">
        <f t="shared" si="43"/>
        <v>0</v>
      </c>
      <c r="AG56" s="136">
        <f t="shared" si="43"/>
        <v>0</v>
      </c>
      <c r="AH56" s="136">
        <f t="shared" si="43"/>
        <v>0</v>
      </c>
      <c r="AI56" s="137">
        <f t="shared" si="43"/>
        <v>0</v>
      </c>
      <c r="AJ56" s="135">
        <f t="shared" si="43"/>
        <v>0</v>
      </c>
      <c r="AK56" s="136">
        <f t="shared" si="43"/>
        <v>0</v>
      </c>
      <c r="AL56" s="136">
        <f t="shared" si="43"/>
        <v>0</v>
      </c>
      <c r="AM56" s="137">
        <f t="shared" si="43"/>
        <v>0</v>
      </c>
      <c r="AN56" s="135">
        <f t="shared" si="43"/>
        <v>0</v>
      </c>
      <c r="AO56" s="138">
        <f t="shared" si="43"/>
        <v>0</v>
      </c>
      <c r="AP56" s="136">
        <f t="shared" si="43"/>
        <v>0</v>
      </c>
      <c r="AQ56" s="136">
        <f t="shared" si="43"/>
        <v>0</v>
      </c>
      <c r="AR56" s="194">
        <f t="shared" si="43"/>
        <v>0</v>
      </c>
      <c r="AS56" s="138">
        <f t="shared" si="43"/>
        <v>0</v>
      </c>
      <c r="AT56" s="136">
        <f t="shared" si="43"/>
        <v>0</v>
      </c>
      <c r="AU56" s="136">
        <f t="shared" si="43"/>
        <v>0</v>
      </c>
      <c r="AV56" s="137">
        <f t="shared" si="44"/>
        <v>0</v>
      </c>
      <c r="AW56" s="135">
        <f t="shared" si="44"/>
        <v>0</v>
      </c>
      <c r="AX56" s="136">
        <f t="shared" si="44"/>
        <v>0</v>
      </c>
      <c r="AY56" s="136">
        <f t="shared" si="44"/>
        <v>0</v>
      </c>
      <c r="AZ56" s="137">
        <f t="shared" si="44"/>
        <v>0</v>
      </c>
      <c r="BA56" s="135">
        <f t="shared" si="44"/>
        <v>0</v>
      </c>
      <c r="BB56" s="136">
        <f t="shared" si="44"/>
        <v>0</v>
      </c>
      <c r="BC56" s="136">
        <f t="shared" si="44"/>
        <v>0</v>
      </c>
      <c r="BD56" s="136">
        <f t="shared" si="44"/>
        <v>0</v>
      </c>
      <c r="BE56" s="137">
        <f t="shared" si="44"/>
        <v>0</v>
      </c>
      <c r="BF56" s="138">
        <f t="shared" si="44"/>
        <v>0</v>
      </c>
      <c r="BG56" s="136">
        <f t="shared" si="44"/>
        <v>0</v>
      </c>
      <c r="BH56" s="136">
        <f t="shared" si="44"/>
        <v>0</v>
      </c>
      <c r="BI56" s="137">
        <f t="shared" si="44"/>
        <v>0</v>
      </c>
      <c r="BJ56" s="135">
        <f t="shared" si="44"/>
        <v>0</v>
      </c>
      <c r="BK56" s="136">
        <f t="shared" si="44"/>
        <v>0</v>
      </c>
      <c r="BL56" s="136">
        <f t="shared" si="45"/>
        <v>0</v>
      </c>
      <c r="BM56" s="137">
        <f t="shared" si="45"/>
        <v>0</v>
      </c>
      <c r="BN56" s="138">
        <f t="shared" si="45"/>
        <v>0</v>
      </c>
      <c r="BO56" s="136">
        <f t="shared" si="45"/>
        <v>0</v>
      </c>
      <c r="BP56" s="136">
        <f t="shared" si="45"/>
        <v>0</v>
      </c>
      <c r="BQ56" s="136">
        <f t="shared" si="45"/>
        <v>0</v>
      </c>
      <c r="BR56" s="137">
        <f t="shared" si="45"/>
        <v>0</v>
      </c>
      <c r="BS56" s="138">
        <f t="shared" si="45"/>
        <v>0</v>
      </c>
      <c r="BT56" s="136">
        <f t="shared" si="45"/>
        <v>0</v>
      </c>
      <c r="BU56" s="136">
        <f t="shared" si="45"/>
        <v>0</v>
      </c>
      <c r="BV56" s="137">
        <f t="shared" si="45"/>
        <v>0</v>
      </c>
      <c r="BW56" s="138">
        <f t="shared" si="45"/>
        <v>0</v>
      </c>
      <c r="BX56" s="136">
        <f t="shared" si="45"/>
        <v>0</v>
      </c>
      <c r="BY56" s="136">
        <f t="shared" si="45"/>
        <v>0</v>
      </c>
      <c r="BZ56" s="136">
        <f t="shared" si="45"/>
        <v>0</v>
      </c>
      <c r="CA56" s="137">
        <f t="shared" si="45"/>
        <v>0</v>
      </c>
      <c r="CB56" s="138">
        <f t="shared" si="45"/>
        <v>0</v>
      </c>
      <c r="CC56" s="136">
        <f t="shared" si="45"/>
        <v>0</v>
      </c>
      <c r="CD56" s="136">
        <f t="shared" si="45"/>
        <v>0</v>
      </c>
      <c r="CE56" s="137">
        <f t="shared" si="45"/>
        <v>0</v>
      </c>
      <c r="CF56" s="135">
        <f t="shared" si="45"/>
        <v>0</v>
      </c>
      <c r="CG56" s="136">
        <f t="shared" si="45"/>
        <v>0</v>
      </c>
      <c r="CH56" s="136">
        <f t="shared" si="45"/>
        <v>0</v>
      </c>
      <c r="CI56" s="137">
        <f t="shared" si="45"/>
        <v>0</v>
      </c>
    </row>
    <row r="57" spans="1:87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9"/>
        <v>1</v>
      </c>
      <c r="K57" s="101">
        <v>0</v>
      </c>
      <c r="L57" s="132">
        <f t="shared" si="40"/>
        <v>0.1</v>
      </c>
      <c r="M57" s="132">
        <f t="shared" si="41"/>
        <v>0</v>
      </c>
      <c r="N57" s="132">
        <f t="shared" si="5"/>
        <v>-0.1</v>
      </c>
      <c r="O57" s="133" t="str">
        <f t="shared" si="42"/>
        <v>지연</v>
      </c>
      <c r="P57" s="104"/>
      <c r="Q57" s="104"/>
      <c r="R57" s="104"/>
      <c r="S57" s="104"/>
      <c r="T57" s="104"/>
      <c r="U57" s="104"/>
      <c r="V57" s="94"/>
      <c r="W57" s="94"/>
      <c r="X57" s="134" t="str">
        <f t="shared" si="27"/>
        <v/>
      </c>
      <c r="Y57" s="253">
        <f>NETWORKDAYS(P57,Q57,진행현황_전체!C$59:C$77)</f>
        <v>0</v>
      </c>
      <c r="Z57" s="258"/>
      <c r="AA57" s="135">
        <f t="shared" si="43"/>
        <v>0</v>
      </c>
      <c r="AB57" s="136">
        <f t="shared" si="43"/>
        <v>0</v>
      </c>
      <c r="AC57" s="136">
        <f t="shared" si="43"/>
        <v>0</v>
      </c>
      <c r="AD57" s="136">
        <f t="shared" si="43"/>
        <v>0</v>
      </c>
      <c r="AE57" s="137">
        <f t="shared" si="43"/>
        <v>0</v>
      </c>
      <c r="AF57" s="138">
        <f t="shared" si="43"/>
        <v>0</v>
      </c>
      <c r="AG57" s="136">
        <f t="shared" si="43"/>
        <v>0</v>
      </c>
      <c r="AH57" s="136">
        <f t="shared" si="43"/>
        <v>0</v>
      </c>
      <c r="AI57" s="137">
        <f t="shared" si="43"/>
        <v>0</v>
      </c>
      <c r="AJ57" s="135">
        <f t="shared" si="43"/>
        <v>0</v>
      </c>
      <c r="AK57" s="136">
        <f t="shared" si="43"/>
        <v>0</v>
      </c>
      <c r="AL57" s="136">
        <f t="shared" si="43"/>
        <v>0</v>
      </c>
      <c r="AM57" s="137">
        <f t="shared" si="43"/>
        <v>0</v>
      </c>
      <c r="AN57" s="135">
        <f t="shared" si="43"/>
        <v>0</v>
      </c>
      <c r="AO57" s="138">
        <f t="shared" si="43"/>
        <v>0</v>
      </c>
      <c r="AP57" s="136">
        <f t="shared" si="43"/>
        <v>0</v>
      </c>
      <c r="AQ57" s="136">
        <f t="shared" si="43"/>
        <v>0</v>
      </c>
      <c r="AR57" s="194">
        <f t="shared" si="43"/>
        <v>0</v>
      </c>
      <c r="AS57" s="138">
        <f t="shared" si="43"/>
        <v>0</v>
      </c>
      <c r="AT57" s="136">
        <f t="shared" si="43"/>
        <v>0</v>
      </c>
      <c r="AU57" s="136">
        <f t="shared" si="43"/>
        <v>0</v>
      </c>
      <c r="AV57" s="137">
        <f t="shared" si="44"/>
        <v>0</v>
      </c>
      <c r="AW57" s="135">
        <f t="shared" si="44"/>
        <v>0</v>
      </c>
      <c r="AX57" s="136">
        <f t="shared" si="44"/>
        <v>0</v>
      </c>
      <c r="AY57" s="136">
        <f t="shared" si="44"/>
        <v>0</v>
      </c>
      <c r="AZ57" s="137">
        <f t="shared" si="44"/>
        <v>0</v>
      </c>
      <c r="BA57" s="135">
        <f t="shared" si="44"/>
        <v>0</v>
      </c>
      <c r="BB57" s="136">
        <f t="shared" si="44"/>
        <v>0</v>
      </c>
      <c r="BC57" s="136">
        <f t="shared" si="44"/>
        <v>0</v>
      </c>
      <c r="BD57" s="136">
        <f t="shared" si="44"/>
        <v>0</v>
      </c>
      <c r="BE57" s="137">
        <f t="shared" si="44"/>
        <v>0</v>
      </c>
      <c r="BF57" s="138">
        <f t="shared" si="44"/>
        <v>0</v>
      </c>
      <c r="BG57" s="136">
        <f t="shared" si="44"/>
        <v>0</v>
      </c>
      <c r="BH57" s="136">
        <f t="shared" si="44"/>
        <v>0</v>
      </c>
      <c r="BI57" s="137">
        <f t="shared" si="44"/>
        <v>0</v>
      </c>
      <c r="BJ57" s="135">
        <f t="shared" si="44"/>
        <v>0</v>
      </c>
      <c r="BK57" s="136">
        <f t="shared" si="44"/>
        <v>0</v>
      </c>
      <c r="BL57" s="136">
        <f t="shared" si="45"/>
        <v>0</v>
      </c>
      <c r="BM57" s="137">
        <f t="shared" si="45"/>
        <v>0</v>
      </c>
      <c r="BN57" s="138">
        <f t="shared" si="45"/>
        <v>0</v>
      </c>
      <c r="BO57" s="136">
        <f t="shared" si="45"/>
        <v>0</v>
      </c>
      <c r="BP57" s="136">
        <f t="shared" si="45"/>
        <v>0</v>
      </c>
      <c r="BQ57" s="136">
        <f t="shared" si="45"/>
        <v>0</v>
      </c>
      <c r="BR57" s="137">
        <f t="shared" si="45"/>
        <v>0</v>
      </c>
      <c r="BS57" s="138">
        <f t="shared" si="45"/>
        <v>0</v>
      </c>
      <c r="BT57" s="136">
        <f t="shared" si="45"/>
        <v>0</v>
      </c>
      <c r="BU57" s="136">
        <f t="shared" si="45"/>
        <v>0</v>
      </c>
      <c r="BV57" s="137">
        <f t="shared" si="45"/>
        <v>0</v>
      </c>
      <c r="BW57" s="138">
        <f t="shared" si="45"/>
        <v>0</v>
      </c>
      <c r="BX57" s="136">
        <f t="shared" si="45"/>
        <v>0</v>
      </c>
      <c r="BY57" s="136">
        <f t="shared" si="45"/>
        <v>0</v>
      </c>
      <c r="BZ57" s="136">
        <f t="shared" si="45"/>
        <v>0</v>
      </c>
      <c r="CA57" s="137">
        <f t="shared" si="45"/>
        <v>0</v>
      </c>
      <c r="CB57" s="138">
        <f t="shared" si="45"/>
        <v>0</v>
      </c>
      <c r="CC57" s="136">
        <f t="shared" si="45"/>
        <v>0</v>
      </c>
      <c r="CD57" s="136">
        <f t="shared" si="45"/>
        <v>0</v>
      </c>
      <c r="CE57" s="137">
        <f t="shared" si="45"/>
        <v>0</v>
      </c>
      <c r="CF57" s="135">
        <f t="shared" si="45"/>
        <v>0</v>
      </c>
      <c r="CG57" s="136">
        <f t="shared" si="45"/>
        <v>0</v>
      </c>
      <c r="CH57" s="136">
        <f t="shared" si="45"/>
        <v>0</v>
      </c>
      <c r="CI57" s="137">
        <f t="shared" si="45"/>
        <v>0</v>
      </c>
    </row>
    <row r="58" spans="1:87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9"/>
        <v>1</v>
      </c>
      <c r="K58" s="101">
        <v>0</v>
      </c>
      <c r="L58" s="132">
        <f t="shared" si="40"/>
        <v>0.1</v>
      </c>
      <c r="M58" s="132">
        <f t="shared" si="41"/>
        <v>0</v>
      </c>
      <c r="N58" s="132">
        <f t="shared" si="5"/>
        <v>-0.1</v>
      </c>
      <c r="O58" s="133" t="str">
        <f t="shared" si="42"/>
        <v>지연</v>
      </c>
      <c r="P58" s="104"/>
      <c r="Q58" s="104"/>
      <c r="R58" s="104"/>
      <c r="S58" s="104"/>
      <c r="T58" s="104"/>
      <c r="U58" s="104"/>
      <c r="V58" s="94"/>
      <c r="W58" s="94"/>
      <c r="X58" s="134" t="str">
        <f t="shared" si="27"/>
        <v/>
      </c>
      <c r="Y58" s="253">
        <f>NETWORKDAYS(P58,Q58,진행현황_전체!C$59:C$77)</f>
        <v>0</v>
      </c>
      <c r="Z58" s="258"/>
      <c r="AA58" s="135">
        <f t="shared" si="43"/>
        <v>0</v>
      </c>
      <c r="AB58" s="136">
        <f t="shared" si="43"/>
        <v>0</v>
      </c>
      <c r="AC58" s="136">
        <f t="shared" si="43"/>
        <v>0</v>
      </c>
      <c r="AD58" s="136">
        <f t="shared" si="43"/>
        <v>0</v>
      </c>
      <c r="AE58" s="137">
        <f t="shared" si="43"/>
        <v>0</v>
      </c>
      <c r="AF58" s="138">
        <f t="shared" si="43"/>
        <v>0</v>
      </c>
      <c r="AG58" s="136">
        <f t="shared" si="43"/>
        <v>0</v>
      </c>
      <c r="AH58" s="136">
        <f t="shared" si="43"/>
        <v>0</v>
      </c>
      <c r="AI58" s="137">
        <f t="shared" si="43"/>
        <v>0</v>
      </c>
      <c r="AJ58" s="135">
        <f t="shared" si="43"/>
        <v>0</v>
      </c>
      <c r="AK58" s="136">
        <f t="shared" si="43"/>
        <v>0</v>
      </c>
      <c r="AL58" s="136">
        <f t="shared" si="43"/>
        <v>0</v>
      </c>
      <c r="AM58" s="137">
        <f t="shared" si="43"/>
        <v>0</v>
      </c>
      <c r="AN58" s="135">
        <f t="shared" si="43"/>
        <v>0</v>
      </c>
      <c r="AO58" s="138">
        <f t="shared" si="43"/>
        <v>0</v>
      </c>
      <c r="AP58" s="136">
        <f t="shared" si="43"/>
        <v>0</v>
      </c>
      <c r="AQ58" s="136">
        <f t="shared" si="43"/>
        <v>0</v>
      </c>
      <c r="AR58" s="194">
        <f t="shared" si="43"/>
        <v>0</v>
      </c>
      <c r="AS58" s="138">
        <f t="shared" si="43"/>
        <v>0</v>
      </c>
      <c r="AT58" s="136">
        <f t="shared" si="43"/>
        <v>0</v>
      </c>
      <c r="AU58" s="136">
        <f t="shared" si="43"/>
        <v>0</v>
      </c>
      <c r="AV58" s="137">
        <f t="shared" si="44"/>
        <v>0</v>
      </c>
      <c r="AW58" s="135">
        <f t="shared" si="44"/>
        <v>0</v>
      </c>
      <c r="AX58" s="136">
        <f t="shared" si="44"/>
        <v>0</v>
      </c>
      <c r="AY58" s="136">
        <f t="shared" si="44"/>
        <v>0</v>
      </c>
      <c r="AZ58" s="137">
        <f t="shared" si="44"/>
        <v>0</v>
      </c>
      <c r="BA58" s="135">
        <f t="shared" si="44"/>
        <v>0</v>
      </c>
      <c r="BB58" s="136">
        <f t="shared" si="44"/>
        <v>0</v>
      </c>
      <c r="BC58" s="136">
        <f t="shared" si="44"/>
        <v>0</v>
      </c>
      <c r="BD58" s="136">
        <f t="shared" si="44"/>
        <v>0</v>
      </c>
      <c r="BE58" s="137">
        <f t="shared" si="44"/>
        <v>0</v>
      </c>
      <c r="BF58" s="138">
        <f t="shared" si="44"/>
        <v>0</v>
      </c>
      <c r="BG58" s="136">
        <f t="shared" si="44"/>
        <v>0</v>
      </c>
      <c r="BH58" s="136">
        <f t="shared" si="44"/>
        <v>0</v>
      </c>
      <c r="BI58" s="137">
        <f t="shared" si="44"/>
        <v>0</v>
      </c>
      <c r="BJ58" s="135">
        <f t="shared" si="44"/>
        <v>0</v>
      </c>
      <c r="BK58" s="136">
        <f t="shared" si="44"/>
        <v>0</v>
      </c>
      <c r="BL58" s="136">
        <f t="shared" si="45"/>
        <v>0</v>
      </c>
      <c r="BM58" s="137">
        <f t="shared" si="45"/>
        <v>0</v>
      </c>
      <c r="BN58" s="138">
        <f t="shared" si="45"/>
        <v>0</v>
      </c>
      <c r="BO58" s="136">
        <f t="shared" si="45"/>
        <v>0</v>
      </c>
      <c r="BP58" s="136">
        <f t="shared" si="45"/>
        <v>0</v>
      </c>
      <c r="BQ58" s="136">
        <f t="shared" si="45"/>
        <v>0</v>
      </c>
      <c r="BR58" s="137">
        <f t="shared" si="45"/>
        <v>0</v>
      </c>
      <c r="BS58" s="138">
        <f t="shared" si="45"/>
        <v>0</v>
      </c>
      <c r="BT58" s="136">
        <f t="shared" si="45"/>
        <v>0</v>
      </c>
      <c r="BU58" s="136">
        <f t="shared" si="45"/>
        <v>0</v>
      </c>
      <c r="BV58" s="137">
        <f t="shared" si="45"/>
        <v>0</v>
      </c>
      <c r="BW58" s="138">
        <f t="shared" si="45"/>
        <v>0</v>
      </c>
      <c r="BX58" s="136">
        <f t="shared" si="45"/>
        <v>0</v>
      </c>
      <c r="BY58" s="136">
        <f t="shared" si="45"/>
        <v>0</v>
      </c>
      <c r="BZ58" s="136">
        <f t="shared" si="45"/>
        <v>0</v>
      </c>
      <c r="CA58" s="137">
        <f t="shared" si="45"/>
        <v>0</v>
      </c>
      <c r="CB58" s="138">
        <f t="shared" si="45"/>
        <v>0</v>
      </c>
      <c r="CC58" s="136">
        <f t="shared" si="45"/>
        <v>0</v>
      </c>
      <c r="CD58" s="136">
        <f t="shared" si="45"/>
        <v>0</v>
      </c>
      <c r="CE58" s="137">
        <f t="shared" si="45"/>
        <v>0</v>
      </c>
      <c r="CF58" s="135">
        <f t="shared" si="45"/>
        <v>0</v>
      </c>
      <c r="CG58" s="136">
        <f t="shared" si="45"/>
        <v>0</v>
      </c>
      <c r="CH58" s="136">
        <f t="shared" si="45"/>
        <v>0</v>
      </c>
      <c r="CI58" s="137">
        <f t="shared" si="45"/>
        <v>0</v>
      </c>
    </row>
    <row r="59" spans="1:87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9"/>
        <v>1</v>
      </c>
      <c r="K59" s="101">
        <v>0</v>
      </c>
      <c r="L59" s="132">
        <f t="shared" si="40"/>
        <v>0.1</v>
      </c>
      <c r="M59" s="132">
        <f t="shared" si="41"/>
        <v>0</v>
      </c>
      <c r="N59" s="132">
        <f t="shared" si="5"/>
        <v>-0.1</v>
      </c>
      <c r="O59" s="133" t="str">
        <f t="shared" si="42"/>
        <v>지연</v>
      </c>
      <c r="P59" s="104"/>
      <c r="Q59" s="104"/>
      <c r="R59" s="104"/>
      <c r="S59" s="104"/>
      <c r="T59" s="104"/>
      <c r="U59" s="104"/>
      <c r="V59" s="94"/>
      <c r="W59" s="94"/>
      <c r="X59" s="134" t="str">
        <f t="shared" si="27"/>
        <v/>
      </c>
      <c r="Y59" s="253">
        <f>NETWORKDAYS(P59,Q59,진행현황_전체!C$59:C$77)</f>
        <v>0</v>
      </c>
      <c r="Z59" s="258"/>
      <c r="AA59" s="135">
        <f t="shared" si="43"/>
        <v>0</v>
      </c>
      <c r="AB59" s="136">
        <f t="shared" si="43"/>
        <v>0</v>
      </c>
      <c r="AC59" s="136">
        <f t="shared" si="43"/>
        <v>0</v>
      </c>
      <c r="AD59" s="136">
        <f t="shared" si="43"/>
        <v>0</v>
      </c>
      <c r="AE59" s="137">
        <f t="shared" si="43"/>
        <v>0</v>
      </c>
      <c r="AF59" s="138">
        <f t="shared" si="43"/>
        <v>0</v>
      </c>
      <c r="AG59" s="136">
        <f t="shared" si="43"/>
        <v>0</v>
      </c>
      <c r="AH59" s="136">
        <f t="shared" si="43"/>
        <v>0</v>
      </c>
      <c r="AI59" s="137">
        <f t="shared" si="43"/>
        <v>0</v>
      </c>
      <c r="AJ59" s="135">
        <f t="shared" si="43"/>
        <v>0</v>
      </c>
      <c r="AK59" s="136">
        <f t="shared" si="43"/>
        <v>0</v>
      </c>
      <c r="AL59" s="136">
        <f t="shared" si="43"/>
        <v>0</v>
      </c>
      <c r="AM59" s="137">
        <f t="shared" si="43"/>
        <v>0</v>
      </c>
      <c r="AN59" s="135">
        <f t="shared" si="43"/>
        <v>0</v>
      </c>
      <c r="AO59" s="138">
        <f t="shared" si="43"/>
        <v>0</v>
      </c>
      <c r="AP59" s="136">
        <f t="shared" si="43"/>
        <v>0</v>
      </c>
      <c r="AQ59" s="136">
        <f t="shared" si="43"/>
        <v>0</v>
      </c>
      <c r="AR59" s="194">
        <f t="shared" si="43"/>
        <v>0</v>
      </c>
      <c r="AS59" s="138">
        <f t="shared" si="43"/>
        <v>0</v>
      </c>
      <c r="AT59" s="136">
        <f t="shared" si="43"/>
        <v>0</v>
      </c>
      <c r="AU59" s="136">
        <f t="shared" si="43"/>
        <v>0</v>
      </c>
      <c r="AV59" s="137">
        <f t="shared" si="44"/>
        <v>0</v>
      </c>
      <c r="AW59" s="135">
        <f t="shared" si="44"/>
        <v>0</v>
      </c>
      <c r="AX59" s="136">
        <f t="shared" si="44"/>
        <v>0</v>
      </c>
      <c r="AY59" s="136">
        <f t="shared" si="44"/>
        <v>0</v>
      </c>
      <c r="AZ59" s="137">
        <f t="shared" si="44"/>
        <v>0</v>
      </c>
      <c r="BA59" s="135">
        <f t="shared" si="44"/>
        <v>0</v>
      </c>
      <c r="BB59" s="136">
        <f t="shared" si="44"/>
        <v>0</v>
      </c>
      <c r="BC59" s="136">
        <f t="shared" si="44"/>
        <v>0</v>
      </c>
      <c r="BD59" s="136">
        <f t="shared" si="44"/>
        <v>0</v>
      </c>
      <c r="BE59" s="137">
        <f t="shared" si="44"/>
        <v>0</v>
      </c>
      <c r="BF59" s="138">
        <f t="shared" si="44"/>
        <v>0</v>
      </c>
      <c r="BG59" s="136">
        <f t="shared" si="44"/>
        <v>0</v>
      </c>
      <c r="BH59" s="136">
        <f t="shared" si="44"/>
        <v>0</v>
      </c>
      <c r="BI59" s="137">
        <f t="shared" si="44"/>
        <v>0</v>
      </c>
      <c r="BJ59" s="135">
        <f t="shared" si="44"/>
        <v>0</v>
      </c>
      <c r="BK59" s="136">
        <f t="shared" si="44"/>
        <v>0</v>
      </c>
      <c r="BL59" s="136">
        <f t="shared" si="45"/>
        <v>0</v>
      </c>
      <c r="BM59" s="137">
        <f t="shared" si="45"/>
        <v>0</v>
      </c>
      <c r="BN59" s="138">
        <f t="shared" si="45"/>
        <v>0</v>
      </c>
      <c r="BO59" s="136">
        <f t="shared" si="45"/>
        <v>0</v>
      </c>
      <c r="BP59" s="136">
        <f t="shared" si="45"/>
        <v>0</v>
      </c>
      <c r="BQ59" s="136">
        <f t="shared" si="45"/>
        <v>0</v>
      </c>
      <c r="BR59" s="137">
        <f t="shared" si="45"/>
        <v>0</v>
      </c>
      <c r="BS59" s="138">
        <f t="shared" si="45"/>
        <v>0</v>
      </c>
      <c r="BT59" s="136">
        <f t="shared" si="45"/>
        <v>0</v>
      </c>
      <c r="BU59" s="136">
        <f t="shared" si="45"/>
        <v>0</v>
      </c>
      <c r="BV59" s="137">
        <f t="shared" si="45"/>
        <v>0</v>
      </c>
      <c r="BW59" s="138">
        <f t="shared" si="45"/>
        <v>0</v>
      </c>
      <c r="BX59" s="136">
        <f t="shared" si="45"/>
        <v>0</v>
      </c>
      <c r="BY59" s="136">
        <f t="shared" si="45"/>
        <v>0</v>
      </c>
      <c r="BZ59" s="136">
        <f t="shared" si="45"/>
        <v>0</v>
      </c>
      <c r="CA59" s="137">
        <f t="shared" si="45"/>
        <v>0</v>
      </c>
      <c r="CB59" s="138">
        <f t="shared" si="45"/>
        <v>0</v>
      </c>
      <c r="CC59" s="136">
        <f t="shared" si="45"/>
        <v>0</v>
      </c>
      <c r="CD59" s="136">
        <f t="shared" si="45"/>
        <v>0</v>
      </c>
      <c r="CE59" s="137">
        <f t="shared" si="45"/>
        <v>0</v>
      </c>
      <c r="CF59" s="135">
        <f t="shared" si="45"/>
        <v>0</v>
      </c>
      <c r="CG59" s="136">
        <f t="shared" si="45"/>
        <v>0</v>
      </c>
      <c r="CH59" s="136">
        <f t="shared" si="45"/>
        <v>0</v>
      </c>
      <c r="CI59" s="137">
        <f t="shared" si="45"/>
        <v>0</v>
      </c>
    </row>
    <row r="60" spans="1:87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9"/>
        <v>1</v>
      </c>
      <c r="K60" s="101">
        <v>0</v>
      </c>
      <c r="L60" s="132">
        <f t="shared" si="40"/>
        <v>0.1</v>
      </c>
      <c r="M60" s="132">
        <f t="shared" si="41"/>
        <v>0</v>
      </c>
      <c r="N60" s="132">
        <f t="shared" si="5"/>
        <v>-0.1</v>
      </c>
      <c r="O60" s="133" t="str">
        <f t="shared" si="42"/>
        <v>지연</v>
      </c>
      <c r="P60" s="104"/>
      <c r="Q60" s="104"/>
      <c r="R60" s="104"/>
      <c r="S60" s="104"/>
      <c r="T60" s="104"/>
      <c r="U60" s="104"/>
      <c r="V60" s="130"/>
      <c r="W60" s="130"/>
      <c r="X60" s="134" t="str">
        <f t="shared" si="27"/>
        <v/>
      </c>
      <c r="Y60" s="253">
        <f>NETWORKDAYS(P60,Q60,진행현황_전체!C$59:C$77)</f>
        <v>0</v>
      </c>
      <c r="Z60" s="258"/>
      <c r="AA60" s="135">
        <f t="shared" si="43"/>
        <v>0</v>
      </c>
      <c r="AB60" s="136">
        <f t="shared" si="43"/>
        <v>0</v>
      </c>
      <c r="AC60" s="136">
        <f t="shared" si="43"/>
        <v>0</v>
      </c>
      <c r="AD60" s="136">
        <f t="shared" si="43"/>
        <v>0</v>
      </c>
      <c r="AE60" s="137">
        <f t="shared" si="43"/>
        <v>0</v>
      </c>
      <c r="AF60" s="138">
        <f t="shared" si="43"/>
        <v>0</v>
      </c>
      <c r="AG60" s="136">
        <f t="shared" si="43"/>
        <v>0</v>
      </c>
      <c r="AH60" s="136">
        <f t="shared" si="43"/>
        <v>0</v>
      </c>
      <c r="AI60" s="137">
        <f t="shared" si="43"/>
        <v>0</v>
      </c>
      <c r="AJ60" s="135">
        <f t="shared" si="43"/>
        <v>0</v>
      </c>
      <c r="AK60" s="136">
        <f t="shared" si="43"/>
        <v>0</v>
      </c>
      <c r="AL60" s="136">
        <f t="shared" si="43"/>
        <v>0</v>
      </c>
      <c r="AM60" s="137">
        <f t="shared" si="43"/>
        <v>0</v>
      </c>
      <c r="AN60" s="135">
        <f t="shared" si="43"/>
        <v>0</v>
      </c>
      <c r="AO60" s="138">
        <f t="shared" si="43"/>
        <v>0</v>
      </c>
      <c r="AP60" s="136">
        <f t="shared" si="43"/>
        <v>0</v>
      </c>
      <c r="AQ60" s="136">
        <f t="shared" si="43"/>
        <v>0</v>
      </c>
      <c r="AR60" s="194">
        <f t="shared" si="43"/>
        <v>0</v>
      </c>
      <c r="AS60" s="138">
        <f t="shared" si="43"/>
        <v>0</v>
      </c>
      <c r="AT60" s="136">
        <f t="shared" si="43"/>
        <v>0</v>
      </c>
      <c r="AU60" s="136">
        <f t="shared" si="43"/>
        <v>0</v>
      </c>
      <c r="AV60" s="137">
        <f t="shared" si="44"/>
        <v>0</v>
      </c>
      <c r="AW60" s="135">
        <f t="shared" si="44"/>
        <v>0</v>
      </c>
      <c r="AX60" s="136">
        <f t="shared" si="44"/>
        <v>0</v>
      </c>
      <c r="AY60" s="136">
        <f t="shared" si="44"/>
        <v>0</v>
      </c>
      <c r="AZ60" s="137">
        <f t="shared" si="44"/>
        <v>0</v>
      </c>
      <c r="BA60" s="135">
        <f t="shared" si="44"/>
        <v>0</v>
      </c>
      <c r="BB60" s="136">
        <f t="shared" si="44"/>
        <v>0</v>
      </c>
      <c r="BC60" s="136">
        <f t="shared" si="44"/>
        <v>0</v>
      </c>
      <c r="BD60" s="136">
        <f t="shared" si="44"/>
        <v>0</v>
      </c>
      <c r="BE60" s="137">
        <f t="shared" si="44"/>
        <v>0</v>
      </c>
      <c r="BF60" s="138">
        <f t="shared" si="44"/>
        <v>0</v>
      </c>
      <c r="BG60" s="136">
        <f t="shared" si="44"/>
        <v>0</v>
      </c>
      <c r="BH60" s="136">
        <f t="shared" si="44"/>
        <v>0</v>
      </c>
      <c r="BI60" s="137">
        <f t="shared" si="44"/>
        <v>0</v>
      </c>
      <c r="BJ60" s="135">
        <f t="shared" si="44"/>
        <v>0</v>
      </c>
      <c r="BK60" s="136">
        <f t="shared" si="44"/>
        <v>0</v>
      </c>
      <c r="BL60" s="136">
        <f t="shared" si="45"/>
        <v>0</v>
      </c>
      <c r="BM60" s="137">
        <f t="shared" si="45"/>
        <v>0</v>
      </c>
      <c r="BN60" s="138">
        <f t="shared" si="45"/>
        <v>0</v>
      </c>
      <c r="BO60" s="136">
        <f t="shared" si="45"/>
        <v>0</v>
      </c>
      <c r="BP60" s="136">
        <f t="shared" si="45"/>
        <v>0</v>
      </c>
      <c r="BQ60" s="136">
        <f t="shared" si="45"/>
        <v>0</v>
      </c>
      <c r="BR60" s="137">
        <f t="shared" si="45"/>
        <v>0</v>
      </c>
      <c r="BS60" s="138">
        <f t="shared" si="45"/>
        <v>0</v>
      </c>
      <c r="BT60" s="136">
        <f t="shared" si="45"/>
        <v>0</v>
      </c>
      <c r="BU60" s="136">
        <f t="shared" si="45"/>
        <v>0</v>
      </c>
      <c r="BV60" s="137">
        <f t="shared" si="45"/>
        <v>0</v>
      </c>
      <c r="BW60" s="138">
        <f t="shared" si="45"/>
        <v>0</v>
      </c>
      <c r="BX60" s="136">
        <f t="shared" si="45"/>
        <v>0</v>
      </c>
      <c r="BY60" s="136">
        <f t="shared" si="45"/>
        <v>0</v>
      </c>
      <c r="BZ60" s="136">
        <f t="shared" si="45"/>
        <v>0</v>
      </c>
      <c r="CA60" s="137">
        <f t="shared" si="45"/>
        <v>0</v>
      </c>
      <c r="CB60" s="138">
        <f t="shared" si="45"/>
        <v>0</v>
      </c>
      <c r="CC60" s="136">
        <f t="shared" si="45"/>
        <v>0</v>
      </c>
      <c r="CD60" s="136">
        <f t="shared" si="45"/>
        <v>0</v>
      </c>
      <c r="CE60" s="137">
        <f t="shared" si="45"/>
        <v>0</v>
      </c>
      <c r="CF60" s="135">
        <f t="shared" si="45"/>
        <v>0</v>
      </c>
      <c r="CG60" s="136">
        <f t="shared" si="45"/>
        <v>0</v>
      </c>
      <c r="CH60" s="136">
        <f t="shared" si="45"/>
        <v>0</v>
      </c>
      <c r="CI60" s="137">
        <f t="shared" si="45"/>
        <v>0</v>
      </c>
    </row>
    <row r="61" spans="1:87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9"/>
        <v>1</v>
      </c>
      <c r="K61" s="101">
        <v>0</v>
      </c>
      <c r="L61" s="132">
        <f t="shared" si="40"/>
        <v>0.1</v>
      </c>
      <c r="M61" s="132">
        <f t="shared" si="41"/>
        <v>0</v>
      </c>
      <c r="N61" s="132">
        <f t="shared" si="5"/>
        <v>-0.1</v>
      </c>
      <c r="O61" s="133" t="str">
        <f t="shared" si="42"/>
        <v>지연</v>
      </c>
      <c r="P61" s="104"/>
      <c r="Q61" s="104"/>
      <c r="R61" s="104"/>
      <c r="S61" s="104"/>
      <c r="T61" s="104"/>
      <c r="U61" s="104"/>
      <c r="V61" s="94"/>
      <c r="W61" s="94"/>
      <c r="X61" s="134" t="str">
        <f t="shared" si="27"/>
        <v/>
      </c>
      <c r="Y61" s="253">
        <f>NETWORKDAYS(P61,Q61,진행현황_전체!C$59:C$77)</f>
        <v>0</v>
      </c>
      <c r="Z61" s="258"/>
      <c r="AA61" s="135">
        <f t="shared" si="43"/>
        <v>0</v>
      </c>
      <c r="AB61" s="136">
        <f t="shared" si="43"/>
        <v>0</v>
      </c>
      <c r="AC61" s="136">
        <f t="shared" si="43"/>
        <v>0</v>
      </c>
      <c r="AD61" s="136">
        <f t="shared" si="43"/>
        <v>0</v>
      </c>
      <c r="AE61" s="137">
        <f t="shared" si="43"/>
        <v>0</v>
      </c>
      <c r="AF61" s="138">
        <f t="shared" si="43"/>
        <v>0</v>
      </c>
      <c r="AG61" s="136">
        <f t="shared" si="43"/>
        <v>0</v>
      </c>
      <c r="AH61" s="136">
        <f t="shared" si="43"/>
        <v>0</v>
      </c>
      <c r="AI61" s="137">
        <f t="shared" si="43"/>
        <v>0</v>
      </c>
      <c r="AJ61" s="135">
        <f t="shared" si="43"/>
        <v>0</v>
      </c>
      <c r="AK61" s="136">
        <f t="shared" si="43"/>
        <v>0</v>
      </c>
      <c r="AL61" s="136">
        <f t="shared" si="43"/>
        <v>0</v>
      </c>
      <c r="AM61" s="137">
        <f t="shared" si="43"/>
        <v>0</v>
      </c>
      <c r="AN61" s="135">
        <f t="shared" si="43"/>
        <v>0</v>
      </c>
      <c r="AO61" s="138">
        <f t="shared" si="43"/>
        <v>0</v>
      </c>
      <c r="AP61" s="136">
        <f t="shared" si="43"/>
        <v>0</v>
      </c>
      <c r="AQ61" s="136">
        <f t="shared" si="43"/>
        <v>0</v>
      </c>
      <c r="AR61" s="194">
        <f t="shared" si="43"/>
        <v>0</v>
      </c>
      <c r="AS61" s="138">
        <f t="shared" si="43"/>
        <v>0</v>
      </c>
      <c r="AT61" s="136">
        <f t="shared" si="43"/>
        <v>0</v>
      </c>
      <c r="AU61" s="136">
        <f t="shared" si="43"/>
        <v>0</v>
      </c>
      <c r="AV61" s="137">
        <f t="shared" si="44"/>
        <v>0</v>
      </c>
      <c r="AW61" s="135">
        <f t="shared" si="44"/>
        <v>0</v>
      </c>
      <c r="AX61" s="136">
        <f t="shared" si="44"/>
        <v>0</v>
      </c>
      <c r="AY61" s="136">
        <f t="shared" si="44"/>
        <v>0</v>
      </c>
      <c r="AZ61" s="137">
        <f t="shared" si="44"/>
        <v>0</v>
      </c>
      <c r="BA61" s="135">
        <f t="shared" si="44"/>
        <v>0</v>
      </c>
      <c r="BB61" s="136">
        <f t="shared" si="44"/>
        <v>0</v>
      </c>
      <c r="BC61" s="136">
        <f t="shared" si="44"/>
        <v>0</v>
      </c>
      <c r="BD61" s="136">
        <f t="shared" si="44"/>
        <v>0</v>
      </c>
      <c r="BE61" s="137">
        <f t="shared" si="44"/>
        <v>0</v>
      </c>
      <c r="BF61" s="138">
        <f t="shared" si="44"/>
        <v>0</v>
      </c>
      <c r="BG61" s="136">
        <f t="shared" si="44"/>
        <v>0</v>
      </c>
      <c r="BH61" s="136">
        <f t="shared" si="44"/>
        <v>0</v>
      </c>
      <c r="BI61" s="137">
        <f t="shared" si="44"/>
        <v>0</v>
      </c>
      <c r="BJ61" s="135">
        <f t="shared" si="44"/>
        <v>0</v>
      </c>
      <c r="BK61" s="136">
        <f t="shared" si="44"/>
        <v>0</v>
      </c>
      <c r="BL61" s="136">
        <f t="shared" si="45"/>
        <v>0</v>
      </c>
      <c r="BM61" s="137">
        <f t="shared" si="45"/>
        <v>0</v>
      </c>
      <c r="BN61" s="138">
        <f t="shared" si="45"/>
        <v>0</v>
      </c>
      <c r="BO61" s="136">
        <f t="shared" si="45"/>
        <v>0</v>
      </c>
      <c r="BP61" s="136">
        <f t="shared" si="45"/>
        <v>0</v>
      </c>
      <c r="BQ61" s="136">
        <f t="shared" si="45"/>
        <v>0</v>
      </c>
      <c r="BR61" s="137">
        <f t="shared" si="45"/>
        <v>0</v>
      </c>
      <c r="BS61" s="138">
        <f t="shared" si="45"/>
        <v>0</v>
      </c>
      <c r="BT61" s="136">
        <f t="shared" si="45"/>
        <v>0</v>
      </c>
      <c r="BU61" s="136">
        <f t="shared" si="45"/>
        <v>0</v>
      </c>
      <c r="BV61" s="137">
        <f t="shared" si="45"/>
        <v>0</v>
      </c>
      <c r="BW61" s="138">
        <f t="shared" si="45"/>
        <v>0</v>
      </c>
      <c r="BX61" s="136">
        <f t="shared" si="45"/>
        <v>0</v>
      </c>
      <c r="BY61" s="136">
        <f t="shared" si="45"/>
        <v>0</v>
      </c>
      <c r="BZ61" s="136">
        <f t="shared" si="45"/>
        <v>0</v>
      </c>
      <c r="CA61" s="137">
        <f t="shared" si="45"/>
        <v>0</v>
      </c>
      <c r="CB61" s="138">
        <f t="shared" si="45"/>
        <v>0</v>
      </c>
      <c r="CC61" s="136">
        <f t="shared" si="45"/>
        <v>0</v>
      </c>
      <c r="CD61" s="136">
        <f t="shared" si="45"/>
        <v>0</v>
      </c>
      <c r="CE61" s="137">
        <f t="shared" si="45"/>
        <v>0</v>
      </c>
      <c r="CF61" s="135">
        <f t="shared" si="45"/>
        <v>0</v>
      </c>
      <c r="CG61" s="136">
        <f t="shared" si="45"/>
        <v>0</v>
      </c>
      <c r="CH61" s="136">
        <f t="shared" si="45"/>
        <v>0</v>
      </c>
      <c r="CI61" s="137">
        <f t="shared" si="45"/>
        <v>0</v>
      </c>
    </row>
    <row r="62" spans="1:87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9"/>
        <v>1</v>
      </c>
      <c r="K62" s="101">
        <v>0</v>
      </c>
      <c r="L62" s="132">
        <f t="shared" si="40"/>
        <v>0.1</v>
      </c>
      <c r="M62" s="132">
        <f t="shared" si="41"/>
        <v>0</v>
      </c>
      <c r="N62" s="132">
        <f t="shared" si="5"/>
        <v>-0.1</v>
      </c>
      <c r="O62" s="133" t="str">
        <f t="shared" si="42"/>
        <v>지연</v>
      </c>
      <c r="P62" s="104"/>
      <c r="Q62" s="104"/>
      <c r="R62" s="104"/>
      <c r="S62" s="104"/>
      <c r="T62" s="104"/>
      <c r="U62" s="104"/>
      <c r="V62" s="94"/>
      <c r="W62" s="94"/>
      <c r="X62" s="134" t="str">
        <f t="shared" si="27"/>
        <v/>
      </c>
      <c r="Y62" s="253">
        <f>NETWORKDAYS(P62,Q62,진행현황_전체!C$59:C$77)</f>
        <v>0</v>
      </c>
      <c r="Z62" s="258"/>
      <c r="AA62" s="135">
        <f t="shared" si="43"/>
        <v>0</v>
      </c>
      <c r="AB62" s="136">
        <f t="shared" si="43"/>
        <v>0</v>
      </c>
      <c r="AC62" s="136">
        <f t="shared" si="43"/>
        <v>0</v>
      </c>
      <c r="AD62" s="136">
        <f t="shared" si="43"/>
        <v>0</v>
      </c>
      <c r="AE62" s="137">
        <f t="shared" si="43"/>
        <v>0</v>
      </c>
      <c r="AF62" s="138">
        <f t="shared" si="43"/>
        <v>0</v>
      </c>
      <c r="AG62" s="136">
        <f t="shared" si="43"/>
        <v>0</v>
      </c>
      <c r="AH62" s="136">
        <f t="shared" si="43"/>
        <v>0</v>
      </c>
      <c r="AI62" s="137">
        <f t="shared" si="43"/>
        <v>0</v>
      </c>
      <c r="AJ62" s="135">
        <f t="shared" si="43"/>
        <v>0</v>
      </c>
      <c r="AK62" s="136">
        <f t="shared" si="43"/>
        <v>0</v>
      </c>
      <c r="AL62" s="136">
        <f t="shared" si="43"/>
        <v>0</v>
      </c>
      <c r="AM62" s="137">
        <f t="shared" si="43"/>
        <v>0</v>
      </c>
      <c r="AN62" s="135">
        <f t="shared" si="43"/>
        <v>0</v>
      </c>
      <c r="AO62" s="138">
        <f t="shared" si="43"/>
        <v>0</v>
      </c>
      <c r="AP62" s="136">
        <f t="shared" si="43"/>
        <v>0</v>
      </c>
      <c r="AQ62" s="136">
        <f t="shared" si="43"/>
        <v>0</v>
      </c>
      <c r="AR62" s="194">
        <f t="shared" si="43"/>
        <v>0</v>
      </c>
      <c r="AS62" s="138">
        <f t="shared" si="43"/>
        <v>0</v>
      </c>
      <c r="AT62" s="136">
        <f t="shared" si="43"/>
        <v>0</v>
      </c>
      <c r="AU62" s="136">
        <f t="shared" si="43"/>
        <v>0</v>
      </c>
      <c r="AV62" s="137">
        <f t="shared" si="44"/>
        <v>0</v>
      </c>
      <c r="AW62" s="135">
        <f t="shared" si="44"/>
        <v>0</v>
      </c>
      <c r="AX62" s="136">
        <f t="shared" si="44"/>
        <v>0</v>
      </c>
      <c r="AY62" s="136">
        <f t="shared" si="44"/>
        <v>0</v>
      </c>
      <c r="AZ62" s="137">
        <f t="shared" si="44"/>
        <v>0</v>
      </c>
      <c r="BA62" s="135">
        <f t="shared" si="44"/>
        <v>0</v>
      </c>
      <c r="BB62" s="136">
        <f t="shared" si="44"/>
        <v>0</v>
      </c>
      <c r="BC62" s="136">
        <f t="shared" si="44"/>
        <v>0</v>
      </c>
      <c r="BD62" s="136">
        <f t="shared" si="44"/>
        <v>0</v>
      </c>
      <c r="BE62" s="137">
        <f t="shared" si="44"/>
        <v>0</v>
      </c>
      <c r="BF62" s="138">
        <f t="shared" si="44"/>
        <v>0</v>
      </c>
      <c r="BG62" s="136">
        <f t="shared" si="44"/>
        <v>0</v>
      </c>
      <c r="BH62" s="136">
        <f t="shared" si="44"/>
        <v>0</v>
      </c>
      <c r="BI62" s="137">
        <f t="shared" si="44"/>
        <v>0</v>
      </c>
      <c r="BJ62" s="135">
        <f t="shared" si="44"/>
        <v>0</v>
      </c>
      <c r="BK62" s="136">
        <f t="shared" si="44"/>
        <v>0</v>
      </c>
      <c r="BL62" s="136">
        <f t="shared" si="45"/>
        <v>0</v>
      </c>
      <c r="BM62" s="137">
        <f t="shared" si="45"/>
        <v>0</v>
      </c>
      <c r="BN62" s="138">
        <f t="shared" si="45"/>
        <v>0</v>
      </c>
      <c r="BO62" s="136">
        <f t="shared" si="45"/>
        <v>0</v>
      </c>
      <c r="BP62" s="136">
        <f t="shared" si="45"/>
        <v>0</v>
      </c>
      <c r="BQ62" s="136">
        <f t="shared" si="45"/>
        <v>0</v>
      </c>
      <c r="BR62" s="137">
        <f t="shared" si="45"/>
        <v>0</v>
      </c>
      <c r="BS62" s="138">
        <f t="shared" si="45"/>
        <v>0</v>
      </c>
      <c r="BT62" s="136">
        <f t="shared" si="45"/>
        <v>0</v>
      </c>
      <c r="BU62" s="136">
        <f t="shared" si="45"/>
        <v>0</v>
      </c>
      <c r="BV62" s="137">
        <f t="shared" si="45"/>
        <v>0</v>
      </c>
      <c r="BW62" s="138">
        <f t="shared" si="45"/>
        <v>0</v>
      </c>
      <c r="BX62" s="136">
        <f t="shared" si="45"/>
        <v>0</v>
      </c>
      <c r="BY62" s="136">
        <f t="shared" si="45"/>
        <v>0</v>
      </c>
      <c r="BZ62" s="136">
        <f t="shared" si="45"/>
        <v>0</v>
      </c>
      <c r="CA62" s="137">
        <f t="shared" si="45"/>
        <v>0</v>
      </c>
      <c r="CB62" s="138">
        <f t="shared" si="45"/>
        <v>0</v>
      </c>
      <c r="CC62" s="136">
        <f t="shared" si="45"/>
        <v>0</v>
      </c>
      <c r="CD62" s="136">
        <f t="shared" si="45"/>
        <v>0</v>
      </c>
      <c r="CE62" s="137">
        <f t="shared" si="45"/>
        <v>0</v>
      </c>
      <c r="CF62" s="135">
        <f t="shared" si="45"/>
        <v>0</v>
      </c>
      <c r="CG62" s="136">
        <f t="shared" si="45"/>
        <v>0</v>
      </c>
      <c r="CH62" s="136">
        <f t="shared" si="45"/>
        <v>0</v>
      </c>
      <c r="CI62" s="137">
        <f t="shared" si="45"/>
        <v>0</v>
      </c>
    </row>
    <row r="63" spans="1:87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9"/>
        <v>1</v>
      </c>
      <c r="K63" s="101">
        <v>0</v>
      </c>
      <c r="L63" s="132">
        <f t="shared" si="40"/>
        <v>0.1</v>
      </c>
      <c r="M63" s="132">
        <f t="shared" si="41"/>
        <v>0</v>
      </c>
      <c r="N63" s="132">
        <f t="shared" si="5"/>
        <v>-0.1</v>
      </c>
      <c r="O63" s="133" t="str">
        <f t="shared" si="42"/>
        <v>지연</v>
      </c>
      <c r="P63" s="104"/>
      <c r="Q63" s="104"/>
      <c r="R63" s="104"/>
      <c r="S63" s="104"/>
      <c r="T63" s="104"/>
      <c r="U63" s="104"/>
      <c r="V63" s="130"/>
      <c r="W63" s="130"/>
      <c r="X63" s="134" t="str">
        <f t="shared" si="27"/>
        <v/>
      </c>
      <c r="Y63" s="253">
        <f>NETWORKDAYS(P63,Q63,진행현황_전체!C$59:C$77)</f>
        <v>0</v>
      </c>
      <c r="Z63" s="258"/>
      <c r="AA63" s="135">
        <f t="shared" si="43"/>
        <v>0</v>
      </c>
      <c r="AB63" s="136">
        <f t="shared" si="43"/>
        <v>0</v>
      </c>
      <c r="AC63" s="136">
        <f t="shared" si="43"/>
        <v>0</v>
      </c>
      <c r="AD63" s="136">
        <f t="shared" si="43"/>
        <v>0</v>
      </c>
      <c r="AE63" s="137">
        <f t="shared" si="43"/>
        <v>0</v>
      </c>
      <c r="AF63" s="138">
        <f t="shared" si="43"/>
        <v>0</v>
      </c>
      <c r="AG63" s="136">
        <f t="shared" si="43"/>
        <v>0</v>
      </c>
      <c r="AH63" s="136">
        <f t="shared" si="43"/>
        <v>0</v>
      </c>
      <c r="AI63" s="137">
        <f t="shared" si="43"/>
        <v>0</v>
      </c>
      <c r="AJ63" s="135">
        <f t="shared" si="43"/>
        <v>0</v>
      </c>
      <c r="AK63" s="136">
        <f t="shared" si="43"/>
        <v>0</v>
      </c>
      <c r="AL63" s="136">
        <f t="shared" si="43"/>
        <v>0</v>
      </c>
      <c r="AM63" s="137">
        <f t="shared" si="43"/>
        <v>0</v>
      </c>
      <c r="AN63" s="135">
        <f t="shared" si="43"/>
        <v>0</v>
      </c>
      <c r="AO63" s="138">
        <f t="shared" si="43"/>
        <v>0</v>
      </c>
      <c r="AP63" s="136">
        <f t="shared" si="43"/>
        <v>0</v>
      </c>
      <c r="AQ63" s="136">
        <f t="shared" si="43"/>
        <v>0</v>
      </c>
      <c r="AR63" s="194">
        <f t="shared" si="43"/>
        <v>0</v>
      </c>
      <c r="AS63" s="138">
        <f t="shared" si="43"/>
        <v>0</v>
      </c>
      <c r="AT63" s="136">
        <f t="shared" si="43"/>
        <v>0</v>
      </c>
      <c r="AU63" s="136">
        <f t="shared" si="43"/>
        <v>0</v>
      </c>
      <c r="AV63" s="137">
        <f t="shared" si="44"/>
        <v>0</v>
      </c>
      <c r="AW63" s="135">
        <f t="shared" si="44"/>
        <v>0</v>
      </c>
      <c r="AX63" s="136">
        <f t="shared" si="44"/>
        <v>0</v>
      </c>
      <c r="AY63" s="136">
        <f t="shared" si="44"/>
        <v>0</v>
      </c>
      <c r="AZ63" s="137">
        <f t="shared" si="44"/>
        <v>0</v>
      </c>
      <c r="BA63" s="135">
        <f t="shared" si="44"/>
        <v>0</v>
      </c>
      <c r="BB63" s="136">
        <f t="shared" si="44"/>
        <v>0</v>
      </c>
      <c r="BC63" s="136">
        <f t="shared" si="44"/>
        <v>0</v>
      </c>
      <c r="BD63" s="136">
        <f t="shared" si="44"/>
        <v>0</v>
      </c>
      <c r="BE63" s="137">
        <f t="shared" si="44"/>
        <v>0</v>
      </c>
      <c r="BF63" s="138">
        <f t="shared" si="44"/>
        <v>0</v>
      </c>
      <c r="BG63" s="136">
        <f t="shared" si="44"/>
        <v>0</v>
      </c>
      <c r="BH63" s="136">
        <f t="shared" si="44"/>
        <v>0</v>
      </c>
      <c r="BI63" s="137">
        <f t="shared" si="44"/>
        <v>0</v>
      </c>
      <c r="BJ63" s="135">
        <f t="shared" si="44"/>
        <v>0</v>
      </c>
      <c r="BK63" s="136">
        <f t="shared" si="44"/>
        <v>0</v>
      </c>
      <c r="BL63" s="136">
        <f t="shared" si="45"/>
        <v>0</v>
      </c>
      <c r="BM63" s="137">
        <f t="shared" si="45"/>
        <v>0</v>
      </c>
      <c r="BN63" s="138">
        <f t="shared" si="45"/>
        <v>0</v>
      </c>
      <c r="BO63" s="136">
        <f t="shared" si="45"/>
        <v>0</v>
      </c>
      <c r="BP63" s="136">
        <f t="shared" si="45"/>
        <v>0</v>
      </c>
      <c r="BQ63" s="136">
        <f t="shared" si="45"/>
        <v>0</v>
      </c>
      <c r="BR63" s="137">
        <f t="shared" si="45"/>
        <v>0</v>
      </c>
      <c r="BS63" s="138">
        <f t="shared" si="45"/>
        <v>0</v>
      </c>
      <c r="BT63" s="136">
        <f t="shared" si="45"/>
        <v>0</v>
      </c>
      <c r="BU63" s="136">
        <f t="shared" si="45"/>
        <v>0</v>
      </c>
      <c r="BV63" s="137">
        <f t="shared" si="45"/>
        <v>0</v>
      </c>
      <c r="BW63" s="138">
        <f t="shared" si="45"/>
        <v>0</v>
      </c>
      <c r="BX63" s="136">
        <f t="shared" si="45"/>
        <v>0</v>
      </c>
      <c r="BY63" s="136">
        <f t="shared" si="45"/>
        <v>0</v>
      </c>
      <c r="BZ63" s="136">
        <f t="shared" si="45"/>
        <v>0</v>
      </c>
      <c r="CA63" s="137">
        <f t="shared" si="45"/>
        <v>0</v>
      </c>
      <c r="CB63" s="138">
        <f t="shared" si="45"/>
        <v>0</v>
      </c>
      <c r="CC63" s="136">
        <f t="shared" si="45"/>
        <v>0</v>
      </c>
      <c r="CD63" s="136">
        <f t="shared" si="45"/>
        <v>0</v>
      </c>
      <c r="CE63" s="137">
        <f t="shared" si="45"/>
        <v>0</v>
      </c>
      <c r="CF63" s="135">
        <f t="shared" si="45"/>
        <v>0</v>
      </c>
      <c r="CG63" s="136">
        <f t="shared" si="45"/>
        <v>0</v>
      </c>
      <c r="CH63" s="136">
        <f t="shared" si="45"/>
        <v>0</v>
      </c>
      <c r="CI63" s="137">
        <f t="shared" si="45"/>
        <v>0</v>
      </c>
    </row>
    <row r="64" spans="1:87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9"/>
        <v>1</v>
      </c>
      <c r="K64" s="101">
        <v>0</v>
      </c>
      <c r="L64" s="132">
        <f t="shared" si="40"/>
        <v>0.1</v>
      </c>
      <c r="M64" s="132">
        <f t="shared" si="41"/>
        <v>0</v>
      </c>
      <c r="N64" s="132">
        <f t="shared" si="5"/>
        <v>-0.1</v>
      </c>
      <c r="O64" s="133" t="str">
        <f t="shared" si="42"/>
        <v>지연</v>
      </c>
      <c r="P64" s="104"/>
      <c r="Q64" s="104"/>
      <c r="R64" s="104"/>
      <c r="S64" s="104"/>
      <c r="T64" s="104"/>
      <c r="U64" s="104"/>
      <c r="V64" s="94"/>
      <c r="W64" s="94"/>
      <c r="X64" s="134" t="str">
        <f t="shared" si="27"/>
        <v/>
      </c>
      <c r="Y64" s="253">
        <f>NETWORKDAYS(P64,Q64,진행현황_전체!C$59:C$77)</f>
        <v>0</v>
      </c>
      <c r="Z64" s="258"/>
      <c r="AA64" s="135">
        <f t="shared" si="43"/>
        <v>0</v>
      </c>
      <c r="AB64" s="136">
        <f t="shared" si="43"/>
        <v>0</v>
      </c>
      <c r="AC64" s="136">
        <f t="shared" si="43"/>
        <v>0</v>
      </c>
      <c r="AD64" s="136">
        <f t="shared" si="43"/>
        <v>0</v>
      </c>
      <c r="AE64" s="137">
        <f t="shared" si="43"/>
        <v>0</v>
      </c>
      <c r="AF64" s="138">
        <f t="shared" si="43"/>
        <v>0</v>
      </c>
      <c r="AG64" s="136">
        <f t="shared" si="43"/>
        <v>0</v>
      </c>
      <c r="AH64" s="136">
        <f t="shared" si="43"/>
        <v>0</v>
      </c>
      <c r="AI64" s="137">
        <f t="shared" si="43"/>
        <v>0</v>
      </c>
      <c r="AJ64" s="135">
        <f t="shared" si="43"/>
        <v>0</v>
      </c>
      <c r="AK64" s="136">
        <f t="shared" si="43"/>
        <v>0</v>
      </c>
      <c r="AL64" s="136">
        <f t="shared" si="43"/>
        <v>0</v>
      </c>
      <c r="AM64" s="137">
        <f t="shared" si="43"/>
        <v>0</v>
      </c>
      <c r="AN64" s="135">
        <f t="shared" si="43"/>
        <v>0</v>
      </c>
      <c r="AO64" s="138">
        <f t="shared" si="43"/>
        <v>0</v>
      </c>
      <c r="AP64" s="136">
        <f t="shared" si="43"/>
        <v>0</v>
      </c>
      <c r="AQ64" s="136">
        <f t="shared" si="43"/>
        <v>0</v>
      </c>
      <c r="AR64" s="194">
        <f t="shared" si="43"/>
        <v>0</v>
      </c>
      <c r="AS64" s="138">
        <f t="shared" si="43"/>
        <v>0</v>
      </c>
      <c r="AT64" s="136">
        <f t="shared" si="43"/>
        <v>0</v>
      </c>
      <c r="AU64" s="136">
        <f t="shared" si="43"/>
        <v>0</v>
      </c>
      <c r="AV64" s="137">
        <f t="shared" si="44"/>
        <v>0</v>
      </c>
      <c r="AW64" s="135">
        <f t="shared" si="44"/>
        <v>0</v>
      </c>
      <c r="AX64" s="136">
        <f t="shared" si="44"/>
        <v>0</v>
      </c>
      <c r="AY64" s="136">
        <f t="shared" si="44"/>
        <v>0</v>
      </c>
      <c r="AZ64" s="137">
        <f t="shared" si="44"/>
        <v>0</v>
      </c>
      <c r="BA64" s="135">
        <f t="shared" si="44"/>
        <v>0</v>
      </c>
      <c r="BB64" s="136">
        <f t="shared" si="44"/>
        <v>0</v>
      </c>
      <c r="BC64" s="136">
        <f t="shared" si="44"/>
        <v>0</v>
      </c>
      <c r="BD64" s="136">
        <f t="shared" si="44"/>
        <v>0</v>
      </c>
      <c r="BE64" s="137">
        <f t="shared" si="44"/>
        <v>0</v>
      </c>
      <c r="BF64" s="138">
        <f t="shared" si="44"/>
        <v>0</v>
      </c>
      <c r="BG64" s="136">
        <f t="shared" si="44"/>
        <v>0</v>
      </c>
      <c r="BH64" s="136">
        <f t="shared" si="44"/>
        <v>0</v>
      </c>
      <c r="BI64" s="137">
        <f t="shared" si="44"/>
        <v>0</v>
      </c>
      <c r="BJ64" s="135">
        <f t="shared" si="44"/>
        <v>0</v>
      </c>
      <c r="BK64" s="136">
        <f t="shared" si="44"/>
        <v>0</v>
      </c>
      <c r="BL64" s="136">
        <f t="shared" si="45"/>
        <v>0</v>
      </c>
      <c r="BM64" s="137">
        <f t="shared" si="45"/>
        <v>0</v>
      </c>
      <c r="BN64" s="138">
        <f t="shared" si="45"/>
        <v>0</v>
      </c>
      <c r="BO64" s="136">
        <f t="shared" si="45"/>
        <v>0</v>
      </c>
      <c r="BP64" s="136">
        <f t="shared" si="45"/>
        <v>0</v>
      </c>
      <c r="BQ64" s="136">
        <f t="shared" si="45"/>
        <v>0</v>
      </c>
      <c r="BR64" s="137">
        <f t="shared" si="45"/>
        <v>0</v>
      </c>
      <c r="BS64" s="138">
        <f t="shared" si="45"/>
        <v>0</v>
      </c>
      <c r="BT64" s="136">
        <f t="shared" si="45"/>
        <v>0</v>
      </c>
      <c r="BU64" s="136">
        <f t="shared" si="45"/>
        <v>0</v>
      </c>
      <c r="BV64" s="137">
        <f t="shared" si="45"/>
        <v>0</v>
      </c>
      <c r="BW64" s="138">
        <f t="shared" si="45"/>
        <v>0</v>
      </c>
      <c r="BX64" s="136">
        <f t="shared" si="45"/>
        <v>0</v>
      </c>
      <c r="BY64" s="136">
        <f t="shared" si="45"/>
        <v>0</v>
      </c>
      <c r="BZ64" s="136">
        <f t="shared" si="45"/>
        <v>0</v>
      </c>
      <c r="CA64" s="137">
        <f t="shared" si="45"/>
        <v>0</v>
      </c>
      <c r="CB64" s="138">
        <f t="shared" si="45"/>
        <v>0</v>
      </c>
      <c r="CC64" s="136">
        <f t="shared" si="45"/>
        <v>0</v>
      </c>
      <c r="CD64" s="136">
        <f t="shared" si="45"/>
        <v>0</v>
      </c>
      <c r="CE64" s="137">
        <f t="shared" si="45"/>
        <v>0</v>
      </c>
      <c r="CF64" s="135">
        <f t="shared" si="45"/>
        <v>0</v>
      </c>
      <c r="CG64" s="136">
        <f t="shared" si="45"/>
        <v>0</v>
      </c>
      <c r="CH64" s="136">
        <f t="shared" si="45"/>
        <v>0</v>
      </c>
      <c r="CI64" s="137">
        <f t="shared" si="45"/>
        <v>0</v>
      </c>
    </row>
    <row r="65" spans="1:87" ht="17.25" thickBot="1">
      <c r="A65" s="139" t="s">
        <v>79</v>
      </c>
      <c r="B65" s="114" t="str">
        <f>진행현황_01.범위명!G15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진행현황_01.범위명!G16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5"/>
        <v>-4.9999999999999991</v>
      </c>
      <c r="O65" s="121"/>
      <c r="P65" s="122">
        <f>MIN(P66:P75)</f>
        <v>0</v>
      </c>
      <c r="Q65" s="122">
        <f>MAX(Q66:Q75)</f>
        <v>0</v>
      </c>
      <c r="R65" s="122"/>
      <c r="S65" s="122">
        <f>MIN(S66:S75)</f>
        <v>0</v>
      </c>
      <c r="T65" s="122">
        <f>MAX(T66:T75)</f>
        <v>0</v>
      </c>
      <c r="U65" s="122"/>
      <c r="V65" s="113"/>
      <c r="W65" s="113"/>
      <c r="X65" s="123" t="str">
        <f t="shared" si="27"/>
        <v/>
      </c>
      <c r="Y65" s="124">
        <f>NETWORKDAYS(P65,Q65,진행현황_전체!C$59:C$77)</f>
        <v>0</v>
      </c>
      <c r="Z65" s="257"/>
      <c r="AA65" s="125"/>
      <c r="AB65" s="126"/>
      <c r="AC65" s="126"/>
      <c r="AD65" s="126"/>
      <c r="AE65" s="127"/>
      <c r="AF65" s="129"/>
      <c r="AG65" s="126"/>
      <c r="AH65" s="126"/>
      <c r="AI65" s="127"/>
      <c r="AJ65" s="128"/>
      <c r="AK65" s="126"/>
      <c r="AL65" s="126"/>
      <c r="AM65" s="127"/>
      <c r="AN65" s="128"/>
      <c r="AO65" s="129"/>
      <c r="AP65" s="126"/>
      <c r="AQ65" s="126"/>
      <c r="AR65" s="193"/>
      <c r="AS65" s="129"/>
      <c r="AT65" s="126"/>
      <c r="AU65" s="126"/>
      <c r="AV65" s="127"/>
      <c r="AW65" s="128"/>
      <c r="AX65" s="126"/>
      <c r="AY65" s="126"/>
      <c r="AZ65" s="127"/>
      <c r="BA65" s="125"/>
      <c r="BB65" s="126"/>
      <c r="BC65" s="126"/>
      <c r="BD65" s="126"/>
      <c r="BE65" s="127"/>
      <c r="BF65" s="129"/>
      <c r="BG65" s="126"/>
      <c r="BH65" s="126"/>
      <c r="BI65" s="127"/>
      <c r="BJ65" s="128"/>
      <c r="BK65" s="126"/>
      <c r="BL65" s="126"/>
      <c r="BM65" s="127"/>
      <c r="BN65" s="129"/>
      <c r="BO65" s="126"/>
      <c r="BP65" s="126"/>
      <c r="BQ65" s="126"/>
      <c r="BR65" s="127"/>
      <c r="BS65" s="129"/>
      <c r="BT65" s="126"/>
      <c r="BU65" s="126"/>
      <c r="BV65" s="127"/>
      <c r="BW65" s="129"/>
      <c r="BX65" s="126"/>
      <c r="BY65" s="126"/>
      <c r="BZ65" s="126"/>
      <c r="CA65" s="127"/>
      <c r="CB65" s="129"/>
      <c r="CC65" s="126"/>
      <c r="CD65" s="126"/>
      <c r="CE65" s="127"/>
      <c r="CF65" s="128"/>
      <c r="CG65" s="126"/>
      <c r="CH65" s="126"/>
      <c r="CI65" s="127"/>
    </row>
    <row r="66" spans="1:87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6">IF(CheckDay&gt;=Q66,1,IF(CheckDay&lt;P66, 0,DAYS360(P66,CheckDay+1)/Y66))</f>
        <v>1</v>
      </c>
      <c r="K66" s="101">
        <v>0</v>
      </c>
      <c r="L66" s="132">
        <f t="shared" ref="L66:L75" si="47">I66*J66/100</f>
        <v>0.1</v>
      </c>
      <c r="M66" s="132">
        <f t="shared" ref="M66:M75" si="48">I66*K66/100</f>
        <v>0</v>
      </c>
      <c r="N66" s="132">
        <f t="shared" si="5"/>
        <v>-0.1</v>
      </c>
      <c r="O66" s="133" t="str">
        <f t="shared" ref="O66:O75" si="49">IF(AND(K66=0%,N66=0),"",IF(N66&lt;0,"지연",IF(K66=100%,"종료","진행")))</f>
        <v>지연</v>
      </c>
      <c r="P66" s="104"/>
      <c r="Q66" s="104"/>
      <c r="R66" s="104"/>
      <c r="S66" s="104"/>
      <c r="T66" s="104"/>
      <c r="U66" s="104"/>
      <c r="V66" s="94"/>
      <c r="W66" s="94"/>
      <c r="X66" s="134" t="str">
        <f t="shared" si="27"/>
        <v/>
      </c>
      <c r="Y66" s="253">
        <f>NETWORKDAYS(P66,Q66,진행현황_전체!C$59:C$77)</f>
        <v>0</v>
      </c>
      <c r="Z66" s="258"/>
      <c r="AA66" s="135">
        <f t="shared" ref="AA66:AU75" si="50">IF(OR((AND($P66&lt;=AA$7,AND($Q66&lt;=AA$8, $Q66&gt;=AA$7))),(AND(AND($P66&gt;=AA$7, $P66&lt;=AA$8),$Q66&gt;=AA$8)), AND($P66&gt;=AA$7, $Q66&lt;=AA$8), AND($P66&lt;=AA$7,$Q66&gt;=AA$8)),1,0)</f>
        <v>0</v>
      </c>
      <c r="AB66" s="136">
        <f t="shared" si="50"/>
        <v>0</v>
      </c>
      <c r="AC66" s="136">
        <f t="shared" si="50"/>
        <v>0</v>
      </c>
      <c r="AD66" s="136">
        <f t="shared" si="50"/>
        <v>0</v>
      </c>
      <c r="AE66" s="137">
        <f t="shared" si="50"/>
        <v>0</v>
      </c>
      <c r="AF66" s="138">
        <f t="shared" si="50"/>
        <v>0</v>
      </c>
      <c r="AG66" s="136">
        <f t="shared" si="50"/>
        <v>0</v>
      </c>
      <c r="AH66" s="136">
        <f t="shared" si="50"/>
        <v>0</v>
      </c>
      <c r="AI66" s="137">
        <f t="shared" si="50"/>
        <v>0</v>
      </c>
      <c r="AJ66" s="135">
        <f t="shared" si="50"/>
        <v>0</v>
      </c>
      <c r="AK66" s="136">
        <f t="shared" si="50"/>
        <v>0</v>
      </c>
      <c r="AL66" s="136">
        <f t="shared" si="50"/>
        <v>0</v>
      </c>
      <c r="AM66" s="137">
        <f t="shared" si="50"/>
        <v>0</v>
      </c>
      <c r="AN66" s="135">
        <f t="shared" si="50"/>
        <v>0</v>
      </c>
      <c r="AO66" s="138">
        <f t="shared" si="50"/>
        <v>0</v>
      </c>
      <c r="AP66" s="136">
        <f t="shared" si="50"/>
        <v>0</v>
      </c>
      <c r="AQ66" s="136">
        <f t="shared" si="50"/>
        <v>0</v>
      </c>
      <c r="AR66" s="194">
        <f t="shared" si="50"/>
        <v>0</v>
      </c>
      <c r="AS66" s="138">
        <f t="shared" si="50"/>
        <v>0</v>
      </c>
      <c r="AT66" s="136">
        <f t="shared" si="50"/>
        <v>0</v>
      </c>
      <c r="AU66" s="136">
        <f t="shared" si="50"/>
        <v>0</v>
      </c>
      <c r="AV66" s="137">
        <f t="shared" ref="AV66:BK75" si="51">IF(OR((AND($P66&lt;=AV$7,AND($Q66&lt;=AV$8, $Q66&gt;=AV$7))),(AND(AND($P66&gt;=AV$7, $P66&lt;=AV$8),$Q66&gt;=AV$8)), AND($P66&gt;=AV$7, $Q66&lt;=AV$8), AND($P66&lt;=AV$7,$Q66&gt;=AV$8)),1,0)</f>
        <v>0</v>
      </c>
      <c r="AW66" s="135">
        <f t="shared" si="51"/>
        <v>0</v>
      </c>
      <c r="AX66" s="136">
        <f t="shared" si="51"/>
        <v>0</v>
      </c>
      <c r="AY66" s="136">
        <f t="shared" si="51"/>
        <v>0</v>
      </c>
      <c r="AZ66" s="137">
        <f t="shared" si="51"/>
        <v>0</v>
      </c>
      <c r="BA66" s="135">
        <f t="shared" si="51"/>
        <v>0</v>
      </c>
      <c r="BB66" s="136">
        <f t="shared" si="51"/>
        <v>0</v>
      </c>
      <c r="BC66" s="136">
        <f t="shared" si="51"/>
        <v>0</v>
      </c>
      <c r="BD66" s="136">
        <f t="shared" si="51"/>
        <v>0</v>
      </c>
      <c r="BE66" s="137">
        <f t="shared" si="51"/>
        <v>0</v>
      </c>
      <c r="BF66" s="138">
        <f t="shared" si="51"/>
        <v>0</v>
      </c>
      <c r="BG66" s="136">
        <f t="shared" si="51"/>
        <v>0</v>
      </c>
      <c r="BH66" s="136">
        <f t="shared" si="51"/>
        <v>0</v>
      </c>
      <c r="BI66" s="137">
        <f t="shared" si="51"/>
        <v>0</v>
      </c>
      <c r="BJ66" s="135">
        <f t="shared" si="51"/>
        <v>0</v>
      </c>
      <c r="BK66" s="136">
        <f t="shared" si="51"/>
        <v>0</v>
      </c>
      <c r="BL66" s="136">
        <f t="shared" ref="BL66:CI75" si="52">IF(OR((AND($P66&lt;=BL$7,AND($Q66&lt;=BL$8, $Q66&gt;=BL$7))),(AND(AND($P66&gt;=BL$7, $P66&lt;=BL$8),$Q66&gt;=BL$8)), AND($P66&gt;=BL$7, $Q66&lt;=BL$8), AND($P66&lt;=BL$7,$Q66&gt;=BL$8)),1,0)</f>
        <v>0</v>
      </c>
      <c r="BM66" s="137">
        <f t="shared" si="52"/>
        <v>0</v>
      </c>
      <c r="BN66" s="138">
        <f t="shared" si="52"/>
        <v>0</v>
      </c>
      <c r="BO66" s="136">
        <f t="shared" si="52"/>
        <v>0</v>
      </c>
      <c r="BP66" s="136">
        <f t="shared" si="52"/>
        <v>0</v>
      </c>
      <c r="BQ66" s="136">
        <f t="shared" si="52"/>
        <v>0</v>
      </c>
      <c r="BR66" s="137">
        <f t="shared" si="52"/>
        <v>0</v>
      </c>
      <c r="BS66" s="138">
        <f t="shared" si="52"/>
        <v>0</v>
      </c>
      <c r="BT66" s="136">
        <f t="shared" si="52"/>
        <v>0</v>
      </c>
      <c r="BU66" s="136">
        <f t="shared" si="52"/>
        <v>0</v>
      </c>
      <c r="BV66" s="137">
        <f t="shared" si="52"/>
        <v>0</v>
      </c>
      <c r="BW66" s="138">
        <f t="shared" si="52"/>
        <v>0</v>
      </c>
      <c r="BX66" s="136">
        <f t="shared" si="52"/>
        <v>0</v>
      </c>
      <c r="BY66" s="136">
        <f t="shared" si="52"/>
        <v>0</v>
      </c>
      <c r="BZ66" s="136">
        <f t="shared" si="52"/>
        <v>0</v>
      </c>
      <c r="CA66" s="137">
        <f t="shared" si="52"/>
        <v>0</v>
      </c>
      <c r="CB66" s="138">
        <f t="shared" si="52"/>
        <v>0</v>
      </c>
      <c r="CC66" s="136">
        <f t="shared" si="52"/>
        <v>0</v>
      </c>
      <c r="CD66" s="136">
        <f t="shared" si="52"/>
        <v>0</v>
      </c>
      <c r="CE66" s="137">
        <f t="shared" si="52"/>
        <v>0</v>
      </c>
      <c r="CF66" s="135">
        <f t="shared" si="52"/>
        <v>0</v>
      </c>
      <c r="CG66" s="136">
        <f t="shared" si="52"/>
        <v>0</v>
      </c>
      <c r="CH66" s="136">
        <f t="shared" si="52"/>
        <v>0</v>
      </c>
      <c r="CI66" s="137">
        <f t="shared" si="52"/>
        <v>0</v>
      </c>
    </row>
    <row r="67" spans="1:87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6"/>
        <v>1</v>
      </c>
      <c r="K67" s="101">
        <v>0</v>
      </c>
      <c r="L67" s="132">
        <f t="shared" si="47"/>
        <v>0.1</v>
      </c>
      <c r="M67" s="132">
        <f t="shared" si="48"/>
        <v>0</v>
      </c>
      <c r="N67" s="132">
        <f t="shared" si="5"/>
        <v>-0.1</v>
      </c>
      <c r="O67" s="133" t="str">
        <f t="shared" si="49"/>
        <v>지연</v>
      </c>
      <c r="P67" s="104"/>
      <c r="Q67" s="104"/>
      <c r="R67" s="104"/>
      <c r="S67" s="104"/>
      <c r="T67" s="104"/>
      <c r="U67" s="104"/>
      <c r="V67" s="94"/>
      <c r="W67" s="94"/>
      <c r="X67" s="134" t="str">
        <f t="shared" si="27"/>
        <v/>
      </c>
      <c r="Y67" s="253">
        <f>NETWORKDAYS(P67,Q67,진행현황_전체!C$59:C$77)</f>
        <v>0</v>
      </c>
      <c r="Z67" s="258"/>
      <c r="AA67" s="135">
        <f t="shared" si="50"/>
        <v>0</v>
      </c>
      <c r="AB67" s="136">
        <f t="shared" si="50"/>
        <v>0</v>
      </c>
      <c r="AC67" s="136">
        <f t="shared" si="50"/>
        <v>0</v>
      </c>
      <c r="AD67" s="136">
        <f t="shared" si="50"/>
        <v>0</v>
      </c>
      <c r="AE67" s="137">
        <f t="shared" si="50"/>
        <v>0</v>
      </c>
      <c r="AF67" s="138">
        <f t="shared" si="50"/>
        <v>0</v>
      </c>
      <c r="AG67" s="136">
        <f t="shared" si="50"/>
        <v>0</v>
      </c>
      <c r="AH67" s="136">
        <f t="shared" si="50"/>
        <v>0</v>
      </c>
      <c r="AI67" s="137">
        <f t="shared" si="50"/>
        <v>0</v>
      </c>
      <c r="AJ67" s="135">
        <f t="shared" si="50"/>
        <v>0</v>
      </c>
      <c r="AK67" s="136">
        <f t="shared" si="50"/>
        <v>0</v>
      </c>
      <c r="AL67" s="136">
        <f t="shared" si="50"/>
        <v>0</v>
      </c>
      <c r="AM67" s="137">
        <f t="shared" si="50"/>
        <v>0</v>
      </c>
      <c r="AN67" s="135">
        <f t="shared" si="50"/>
        <v>0</v>
      </c>
      <c r="AO67" s="138">
        <f t="shared" si="50"/>
        <v>0</v>
      </c>
      <c r="AP67" s="136">
        <f t="shared" si="50"/>
        <v>0</v>
      </c>
      <c r="AQ67" s="136">
        <f t="shared" si="50"/>
        <v>0</v>
      </c>
      <c r="AR67" s="194">
        <f t="shared" si="50"/>
        <v>0</v>
      </c>
      <c r="AS67" s="138">
        <f t="shared" si="50"/>
        <v>0</v>
      </c>
      <c r="AT67" s="136">
        <f t="shared" si="50"/>
        <v>0</v>
      </c>
      <c r="AU67" s="136">
        <f t="shared" si="50"/>
        <v>0</v>
      </c>
      <c r="AV67" s="137">
        <f t="shared" si="51"/>
        <v>0</v>
      </c>
      <c r="AW67" s="135">
        <f t="shared" si="51"/>
        <v>0</v>
      </c>
      <c r="AX67" s="136">
        <f t="shared" si="51"/>
        <v>0</v>
      </c>
      <c r="AY67" s="136">
        <f t="shared" si="51"/>
        <v>0</v>
      </c>
      <c r="AZ67" s="137">
        <f t="shared" si="51"/>
        <v>0</v>
      </c>
      <c r="BA67" s="135">
        <f t="shared" si="51"/>
        <v>0</v>
      </c>
      <c r="BB67" s="136">
        <f t="shared" si="51"/>
        <v>0</v>
      </c>
      <c r="BC67" s="136">
        <f t="shared" si="51"/>
        <v>0</v>
      </c>
      <c r="BD67" s="136">
        <f t="shared" si="51"/>
        <v>0</v>
      </c>
      <c r="BE67" s="137">
        <f t="shared" si="51"/>
        <v>0</v>
      </c>
      <c r="BF67" s="138">
        <f t="shared" si="51"/>
        <v>0</v>
      </c>
      <c r="BG67" s="136">
        <f t="shared" si="51"/>
        <v>0</v>
      </c>
      <c r="BH67" s="136">
        <f t="shared" si="51"/>
        <v>0</v>
      </c>
      <c r="BI67" s="137">
        <f t="shared" si="51"/>
        <v>0</v>
      </c>
      <c r="BJ67" s="135">
        <f t="shared" si="51"/>
        <v>0</v>
      </c>
      <c r="BK67" s="136">
        <f t="shared" si="51"/>
        <v>0</v>
      </c>
      <c r="BL67" s="136">
        <f t="shared" si="52"/>
        <v>0</v>
      </c>
      <c r="BM67" s="137">
        <f t="shared" si="52"/>
        <v>0</v>
      </c>
      <c r="BN67" s="138">
        <f t="shared" si="52"/>
        <v>0</v>
      </c>
      <c r="BO67" s="136">
        <f t="shared" si="52"/>
        <v>0</v>
      </c>
      <c r="BP67" s="136">
        <f t="shared" si="52"/>
        <v>0</v>
      </c>
      <c r="BQ67" s="136">
        <f t="shared" si="52"/>
        <v>0</v>
      </c>
      <c r="BR67" s="137">
        <f t="shared" si="52"/>
        <v>0</v>
      </c>
      <c r="BS67" s="138">
        <f t="shared" si="52"/>
        <v>0</v>
      </c>
      <c r="BT67" s="136">
        <f t="shared" si="52"/>
        <v>0</v>
      </c>
      <c r="BU67" s="136">
        <f t="shared" si="52"/>
        <v>0</v>
      </c>
      <c r="BV67" s="137">
        <f t="shared" si="52"/>
        <v>0</v>
      </c>
      <c r="BW67" s="138">
        <f t="shared" si="52"/>
        <v>0</v>
      </c>
      <c r="BX67" s="136">
        <f t="shared" si="52"/>
        <v>0</v>
      </c>
      <c r="BY67" s="136">
        <f t="shared" si="52"/>
        <v>0</v>
      </c>
      <c r="BZ67" s="136">
        <f t="shared" si="52"/>
        <v>0</v>
      </c>
      <c r="CA67" s="137">
        <f t="shared" si="52"/>
        <v>0</v>
      </c>
      <c r="CB67" s="138">
        <f t="shared" si="52"/>
        <v>0</v>
      </c>
      <c r="CC67" s="136">
        <f t="shared" si="52"/>
        <v>0</v>
      </c>
      <c r="CD67" s="136">
        <f t="shared" si="52"/>
        <v>0</v>
      </c>
      <c r="CE67" s="137">
        <f t="shared" si="52"/>
        <v>0</v>
      </c>
      <c r="CF67" s="135">
        <f t="shared" si="52"/>
        <v>0</v>
      </c>
      <c r="CG67" s="136">
        <f t="shared" si="52"/>
        <v>0</v>
      </c>
      <c r="CH67" s="136">
        <f t="shared" si="52"/>
        <v>0</v>
      </c>
      <c r="CI67" s="137">
        <f t="shared" si="52"/>
        <v>0</v>
      </c>
    </row>
    <row r="68" spans="1:87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6"/>
        <v>1</v>
      </c>
      <c r="K68" s="101">
        <v>0</v>
      </c>
      <c r="L68" s="132">
        <f t="shared" si="47"/>
        <v>0.1</v>
      </c>
      <c r="M68" s="132">
        <f t="shared" si="48"/>
        <v>0</v>
      </c>
      <c r="N68" s="132">
        <f t="shared" si="5"/>
        <v>-0.1</v>
      </c>
      <c r="O68" s="133" t="str">
        <f t="shared" si="49"/>
        <v>지연</v>
      </c>
      <c r="P68" s="104"/>
      <c r="Q68" s="104"/>
      <c r="R68" s="104"/>
      <c r="S68" s="104"/>
      <c r="T68" s="104"/>
      <c r="U68" s="104"/>
      <c r="V68" s="94"/>
      <c r="W68" s="94"/>
      <c r="X68" s="134" t="str">
        <f t="shared" si="27"/>
        <v/>
      </c>
      <c r="Y68" s="253">
        <f>NETWORKDAYS(P68,Q68,진행현황_전체!C$59:C$77)</f>
        <v>0</v>
      </c>
      <c r="Z68" s="258"/>
      <c r="AA68" s="135">
        <f t="shared" si="50"/>
        <v>0</v>
      </c>
      <c r="AB68" s="136">
        <f t="shared" si="50"/>
        <v>0</v>
      </c>
      <c r="AC68" s="136">
        <f t="shared" si="50"/>
        <v>0</v>
      </c>
      <c r="AD68" s="136">
        <f t="shared" si="50"/>
        <v>0</v>
      </c>
      <c r="AE68" s="137">
        <f t="shared" si="50"/>
        <v>0</v>
      </c>
      <c r="AF68" s="138">
        <f t="shared" si="50"/>
        <v>0</v>
      </c>
      <c r="AG68" s="136">
        <f t="shared" si="50"/>
        <v>0</v>
      </c>
      <c r="AH68" s="136">
        <f t="shared" si="50"/>
        <v>0</v>
      </c>
      <c r="AI68" s="137">
        <f t="shared" si="50"/>
        <v>0</v>
      </c>
      <c r="AJ68" s="135">
        <f t="shared" si="50"/>
        <v>0</v>
      </c>
      <c r="AK68" s="136">
        <f t="shared" si="50"/>
        <v>0</v>
      </c>
      <c r="AL68" s="136">
        <f t="shared" si="50"/>
        <v>0</v>
      </c>
      <c r="AM68" s="137">
        <f t="shared" si="50"/>
        <v>0</v>
      </c>
      <c r="AN68" s="135">
        <f t="shared" si="50"/>
        <v>0</v>
      </c>
      <c r="AO68" s="138">
        <f t="shared" si="50"/>
        <v>0</v>
      </c>
      <c r="AP68" s="136">
        <f t="shared" si="50"/>
        <v>0</v>
      </c>
      <c r="AQ68" s="136">
        <f t="shared" si="50"/>
        <v>0</v>
      </c>
      <c r="AR68" s="194">
        <f t="shared" si="50"/>
        <v>0</v>
      </c>
      <c r="AS68" s="138">
        <f t="shared" si="50"/>
        <v>0</v>
      </c>
      <c r="AT68" s="136">
        <f t="shared" si="50"/>
        <v>0</v>
      </c>
      <c r="AU68" s="136">
        <f t="shared" si="50"/>
        <v>0</v>
      </c>
      <c r="AV68" s="137">
        <f t="shared" si="51"/>
        <v>0</v>
      </c>
      <c r="AW68" s="135">
        <f t="shared" si="51"/>
        <v>0</v>
      </c>
      <c r="AX68" s="136">
        <f t="shared" si="51"/>
        <v>0</v>
      </c>
      <c r="AY68" s="136">
        <f t="shared" si="51"/>
        <v>0</v>
      </c>
      <c r="AZ68" s="137">
        <f t="shared" si="51"/>
        <v>0</v>
      </c>
      <c r="BA68" s="135">
        <f t="shared" si="51"/>
        <v>0</v>
      </c>
      <c r="BB68" s="136">
        <f t="shared" si="51"/>
        <v>0</v>
      </c>
      <c r="BC68" s="136">
        <f t="shared" si="51"/>
        <v>0</v>
      </c>
      <c r="BD68" s="136">
        <f t="shared" si="51"/>
        <v>0</v>
      </c>
      <c r="BE68" s="137">
        <f t="shared" si="51"/>
        <v>0</v>
      </c>
      <c r="BF68" s="138">
        <f t="shared" si="51"/>
        <v>0</v>
      </c>
      <c r="BG68" s="136">
        <f t="shared" si="51"/>
        <v>0</v>
      </c>
      <c r="BH68" s="136">
        <f t="shared" si="51"/>
        <v>0</v>
      </c>
      <c r="BI68" s="137">
        <f t="shared" si="51"/>
        <v>0</v>
      </c>
      <c r="BJ68" s="135">
        <f t="shared" si="51"/>
        <v>0</v>
      </c>
      <c r="BK68" s="136">
        <f t="shared" si="51"/>
        <v>0</v>
      </c>
      <c r="BL68" s="136">
        <f t="shared" si="52"/>
        <v>0</v>
      </c>
      <c r="BM68" s="137">
        <f t="shared" si="52"/>
        <v>0</v>
      </c>
      <c r="BN68" s="138">
        <f t="shared" si="52"/>
        <v>0</v>
      </c>
      <c r="BO68" s="136">
        <f t="shared" si="52"/>
        <v>0</v>
      </c>
      <c r="BP68" s="136">
        <f t="shared" si="52"/>
        <v>0</v>
      </c>
      <c r="BQ68" s="136">
        <f t="shared" si="52"/>
        <v>0</v>
      </c>
      <c r="BR68" s="137">
        <f t="shared" si="52"/>
        <v>0</v>
      </c>
      <c r="BS68" s="138">
        <f t="shared" si="52"/>
        <v>0</v>
      </c>
      <c r="BT68" s="136">
        <f t="shared" si="52"/>
        <v>0</v>
      </c>
      <c r="BU68" s="136">
        <f t="shared" si="52"/>
        <v>0</v>
      </c>
      <c r="BV68" s="137">
        <f t="shared" si="52"/>
        <v>0</v>
      </c>
      <c r="BW68" s="138">
        <f t="shared" si="52"/>
        <v>0</v>
      </c>
      <c r="BX68" s="136">
        <f t="shared" si="52"/>
        <v>0</v>
      </c>
      <c r="BY68" s="136">
        <f t="shared" si="52"/>
        <v>0</v>
      </c>
      <c r="BZ68" s="136">
        <f t="shared" si="52"/>
        <v>0</v>
      </c>
      <c r="CA68" s="137">
        <f t="shared" si="52"/>
        <v>0</v>
      </c>
      <c r="CB68" s="138">
        <f t="shared" si="52"/>
        <v>0</v>
      </c>
      <c r="CC68" s="136">
        <f t="shared" si="52"/>
        <v>0</v>
      </c>
      <c r="CD68" s="136">
        <f t="shared" si="52"/>
        <v>0</v>
      </c>
      <c r="CE68" s="137">
        <f t="shared" si="52"/>
        <v>0</v>
      </c>
      <c r="CF68" s="135">
        <f t="shared" si="52"/>
        <v>0</v>
      </c>
      <c r="CG68" s="136">
        <f t="shared" si="52"/>
        <v>0</v>
      </c>
      <c r="CH68" s="136">
        <f t="shared" si="52"/>
        <v>0</v>
      </c>
      <c r="CI68" s="137">
        <f t="shared" si="52"/>
        <v>0</v>
      </c>
    </row>
    <row r="69" spans="1:87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6"/>
        <v>1</v>
      </c>
      <c r="K69" s="101">
        <v>0</v>
      </c>
      <c r="L69" s="132">
        <f t="shared" si="47"/>
        <v>0.1</v>
      </c>
      <c r="M69" s="132">
        <f t="shared" si="48"/>
        <v>0</v>
      </c>
      <c r="N69" s="132">
        <f t="shared" si="5"/>
        <v>-0.1</v>
      </c>
      <c r="O69" s="133" t="str">
        <f t="shared" si="49"/>
        <v>지연</v>
      </c>
      <c r="P69" s="104"/>
      <c r="Q69" s="104"/>
      <c r="R69" s="104"/>
      <c r="S69" s="104"/>
      <c r="T69" s="104"/>
      <c r="U69" s="104"/>
      <c r="V69" s="94"/>
      <c r="W69" s="94"/>
      <c r="X69" s="134" t="str">
        <f t="shared" si="27"/>
        <v/>
      </c>
      <c r="Y69" s="253">
        <f>NETWORKDAYS(P69,Q69,진행현황_전체!C$59:C$77)</f>
        <v>0</v>
      </c>
      <c r="Z69" s="258"/>
      <c r="AA69" s="135">
        <f t="shared" si="50"/>
        <v>0</v>
      </c>
      <c r="AB69" s="136">
        <f t="shared" si="50"/>
        <v>0</v>
      </c>
      <c r="AC69" s="136">
        <f t="shared" si="50"/>
        <v>0</v>
      </c>
      <c r="AD69" s="136">
        <f t="shared" si="50"/>
        <v>0</v>
      </c>
      <c r="AE69" s="137">
        <f t="shared" si="50"/>
        <v>0</v>
      </c>
      <c r="AF69" s="138">
        <f t="shared" si="50"/>
        <v>0</v>
      </c>
      <c r="AG69" s="136">
        <f t="shared" si="50"/>
        <v>0</v>
      </c>
      <c r="AH69" s="136">
        <f t="shared" si="50"/>
        <v>0</v>
      </c>
      <c r="AI69" s="137">
        <f t="shared" si="50"/>
        <v>0</v>
      </c>
      <c r="AJ69" s="135">
        <f t="shared" si="50"/>
        <v>0</v>
      </c>
      <c r="AK69" s="136">
        <f t="shared" si="50"/>
        <v>0</v>
      </c>
      <c r="AL69" s="136">
        <f t="shared" si="50"/>
        <v>0</v>
      </c>
      <c r="AM69" s="137">
        <f t="shared" si="50"/>
        <v>0</v>
      </c>
      <c r="AN69" s="135">
        <f t="shared" si="50"/>
        <v>0</v>
      </c>
      <c r="AO69" s="138">
        <f t="shared" si="50"/>
        <v>0</v>
      </c>
      <c r="AP69" s="136">
        <f t="shared" si="50"/>
        <v>0</v>
      </c>
      <c r="AQ69" s="136">
        <f t="shared" si="50"/>
        <v>0</v>
      </c>
      <c r="AR69" s="194">
        <f t="shared" si="50"/>
        <v>0</v>
      </c>
      <c r="AS69" s="138">
        <f t="shared" si="50"/>
        <v>0</v>
      </c>
      <c r="AT69" s="136">
        <f t="shared" si="50"/>
        <v>0</v>
      </c>
      <c r="AU69" s="136">
        <f t="shared" si="50"/>
        <v>0</v>
      </c>
      <c r="AV69" s="137">
        <f t="shared" si="51"/>
        <v>0</v>
      </c>
      <c r="AW69" s="135">
        <f t="shared" si="51"/>
        <v>0</v>
      </c>
      <c r="AX69" s="136">
        <f t="shared" si="51"/>
        <v>0</v>
      </c>
      <c r="AY69" s="136">
        <f t="shared" si="51"/>
        <v>0</v>
      </c>
      <c r="AZ69" s="137">
        <f t="shared" si="51"/>
        <v>0</v>
      </c>
      <c r="BA69" s="135">
        <f t="shared" si="51"/>
        <v>0</v>
      </c>
      <c r="BB69" s="136">
        <f t="shared" si="51"/>
        <v>0</v>
      </c>
      <c r="BC69" s="136">
        <f t="shared" si="51"/>
        <v>0</v>
      </c>
      <c r="BD69" s="136">
        <f t="shared" si="51"/>
        <v>0</v>
      </c>
      <c r="BE69" s="137">
        <f t="shared" si="51"/>
        <v>0</v>
      </c>
      <c r="BF69" s="138">
        <f t="shared" si="51"/>
        <v>0</v>
      </c>
      <c r="BG69" s="136">
        <f t="shared" si="51"/>
        <v>0</v>
      </c>
      <c r="BH69" s="136">
        <f t="shared" si="51"/>
        <v>0</v>
      </c>
      <c r="BI69" s="137">
        <f t="shared" si="51"/>
        <v>0</v>
      </c>
      <c r="BJ69" s="135">
        <f t="shared" si="51"/>
        <v>0</v>
      </c>
      <c r="BK69" s="136">
        <f t="shared" si="51"/>
        <v>0</v>
      </c>
      <c r="BL69" s="136">
        <f t="shared" si="52"/>
        <v>0</v>
      </c>
      <c r="BM69" s="137">
        <f t="shared" si="52"/>
        <v>0</v>
      </c>
      <c r="BN69" s="138">
        <f t="shared" si="52"/>
        <v>0</v>
      </c>
      <c r="BO69" s="136">
        <f t="shared" si="52"/>
        <v>0</v>
      </c>
      <c r="BP69" s="136">
        <f t="shared" si="52"/>
        <v>0</v>
      </c>
      <c r="BQ69" s="136">
        <f t="shared" si="52"/>
        <v>0</v>
      </c>
      <c r="BR69" s="137">
        <f t="shared" si="52"/>
        <v>0</v>
      </c>
      <c r="BS69" s="138">
        <f t="shared" si="52"/>
        <v>0</v>
      </c>
      <c r="BT69" s="136">
        <f t="shared" si="52"/>
        <v>0</v>
      </c>
      <c r="BU69" s="136">
        <f t="shared" si="52"/>
        <v>0</v>
      </c>
      <c r="BV69" s="137">
        <f t="shared" si="52"/>
        <v>0</v>
      </c>
      <c r="BW69" s="138">
        <f t="shared" si="52"/>
        <v>0</v>
      </c>
      <c r="BX69" s="136">
        <f t="shared" si="52"/>
        <v>0</v>
      </c>
      <c r="BY69" s="136">
        <f t="shared" si="52"/>
        <v>0</v>
      </c>
      <c r="BZ69" s="136">
        <f t="shared" si="52"/>
        <v>0</v>
      </c>
      <c r="CA69" s="137">
        <f t="shared" si="52"/>
        <v>0</v>
      </c>
      <c r="CB69" s="138">
        <f t="shared" si="52"/>
        <v>0</v>
      </c>
      <c r="CC69" s="136">
        <f t="shared" si="52"/>
        <v>0</v>
      </c>
      <c r="CD69" s="136">
        <f t="shared" si="52"/>
        <v>0</v>
      </c>
      <c r="CE69" s="137">
        <f t="shared" si="52"/>
        <v>0</v>
      </c>
      <c r="CF69" s="135">
        <f t="shared" si="52"/>
        <v>0</v>
      </c>
      <c r="CG69" s="136">
        <f t="shared" si="52"/>
        <v>0</v>
      </c>
      <c r="CH69" s="136">
        <f t="shared" si="52"/>
        <v>0</v>
      </c>
      <c r="CI69" s="137">
        <f t="shared" si="52"/>
        <v>0</v>
      </c>
    </row>
    <row r="70" spans="1:87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6"/>
        <v>1</v>
      </c>
      <c r="K70" s="101">
        <v>0</v>
      </c>
      <c r="L70" s="132">
        <f t="shared" si="47"/>
        <v>0.1</v>
      </c>
      <c r="M70" s="132">
        <f t="shared" si="48"/>
        <v>0</v>
      </c>
      <c r="N70" s="132">
        <f t="shared" si="5"/>
        <v>-0.1</v>
      </c>
      <c r="O70" s="133" t="str">
        <f t="shared" si="49"/>
        <v>지연</v>
      </c>
      <c r="P70" s="104"/>
      <c r="Q70" s="104"/>
      <c r="R70" s="104"/>
      <c r="S70" s="104"/>
      <c r="T70" s="104"/>
      <c r="U70" s="104"/>
      <c r="V70" s="94"/>
      <c r="W70" s="94"/>
      <c r="X70" s="134" t="str">
        <f t="shared" si="27"/>
        <v/>
      </c>
      <c r="Y70" s="253">
        <f>NETWORKDAYS(P70,Q70,진행현황_전체!C$59:C$77)</f>
        <v>0</v>
      </c>
      <c r="Z70" s="258"/>
      <c r="AA70" s="135">
        <f t="shared" si="50"/>
        <v>0</v>
      </c>
      <c r="AB70" s="136">
        <f t="shared" si="50"/>
        <v>0</v>
      </c>
      <c r="AC70" s="136">
        <f t="shared" si="50"/>
        <v>0</v>
      </c>
      <c r="AD70" s="136">
        <f t="shared" si="50"/>
        <v>0</v>
      </c>
      <c r="AE70" s="137">
        <f t="shared" si="50"/>
        <v>0</v>
      </c>
      <c r="AF70" s="138">
        <f t="shared" si="50"/>
        <v>0</v>
      </c>
      <c r="AG70" s="136">
        <f t="shared" si="50"/>
        <v>0</v>
      </c>
      <c r="AH70" s="136">
        <f t="shared" si="50"/>
        <v>0</v>
      </c>
      <c r="AI70" s="137">
        <f t="shared" si="50"/>
        <v>0</v>
      </c>
      <c r="AJ70" s="135">
        <f t="shared" si="50"/>
        <v>0</v>
      </c>
      <c r="AK70" s="136">
        <f t="shared" si="50"/>
        <v>0</v>
      </c>
      <c r="AL70" s="136">
        <f t="shared" si="50"/>
        <v>0</v>
      </c>
      <c r="AM70" s="137">
        <f t="shared" si="50"/>
        <v>0</v>
      </c>
      <c r="AN70" s="135">
        <f t="shared" si="50"/>
        <v>0</v>
      </c>
      <c r="AO70" s="138">
        <f t="shared" si="50"/>
        <v>0</v>
      </c>
      <c r="AP70" s="136">
        <f t="shared" si="50"/>
        <v>0</v>
      </c>
      <c r="AQ70" s="136">
        <f t="shared" si="50"/>
        <v>0</v>
      </c>
      <c r="AR70" s="194">
        <f t="shared" si="50"/>
        <v>0</v>
      </c>
      <c r="AS70" s="138">
        <f t="shared" si="50"/>
        <v>0</v>
      </c>
      <c r="AT70" s="136">
        <f t="shared" si="50"/>
        <v>0</v>
      </c>
      <c r="AU70" s="136">
        <f t="shared" si="50"/>
        <v>0</v>
      </c>
      <c r="AV70" s="137">
        <f t="shared" si="51"/>
        <v>0</v>
      </c>
      <c r="AW70" s="135">
        <f t="shared" si="51"/>
        <v>0</v>
      </c>
      <c r="AX70" s="136">
        <f t="shared" si="51"/>
        <v>0</v>
      </c>
      <c r="AY70" s="136">
        <f t="shared" si="51"/>
        <v>0</v>
      </c>
      <c r="AZ70" s="137">
        <f t="shared" si="51"/>
        <v>0</v>
      </c>
      <c r="BA70" s="135">
        <f t="shared" si="51"/>
        <v>0</v>
      </c>
      <c r="BB70" s="136">
        <f t="shared" si="51"/>
        <v>0</v>
      </c>
      <c r="BC70" s="136">
        <f t="shared" si="51"/>
        <v>0</v>
      </c>
      <c r="BD70" s="136">
        <f t="shared" si="51"/>
        <v>0</v>
      </c>
      <c r="BE70" s="137">
        <f t="shared" si="51"/>
        <v>0</v>
      </c>
      <c r="BF70" s="138">
        <f t="shared" si="51"/>
        <v>0</v>
      </c>
      <c r="BG70" s="136">
        <f t="shared" si="51"/>
        <v>0</v>
      </c>
      <c r="BH70" s="136">
        <f t="shared" si="51"/>
        <v>0</v>
      </c>
      <c r="BI70" s="137">
        <f t="shared" si="51"/>
        <v>0</v>
      </c>
      <c r="BJ70" s="135">
        <f t="shared" si="51"/>
        <v>0</v>
      </c>
      <c r="BK70" s="136">
        <f t="shared" si="51"/>
        <v>0</v>
      </c>
      <c r="BL70" s="136">
        <f t="shared" si="52"/>
        <v>0</v>
      </c>
      <c r="BM70" s="137">
        <f t="shared" si="52"/>
        <v>0</v>
      </c>
      <c r="BN70" s="138">
        <f t="shared" si="52"/>
        <v>0</v>
      </c>
      <c r="BO70" s="136">
        <f t="shared" si="52"/>
        <v>0</v>
      </c>
      <c r="BP70" s="136">
        <f t="shared" si="52"/>
        <v>0</v>
      </c>
      <c r="BQ70" s="136">
        <f t="shared" si="52"/>
        <v>0</v>
      </c>
      <c r="BR70" s="137">
        <f t="shared" si="52"/>
        <v>0</v>
      </c>
      <c r="BS70" s="138">
        <f t="shared" si="52"/>
        <v>0</v>
      </c>
      <c r="BT70" s="136">
        <f t="shared" si="52"/>
        <v>0</v>
      </c>
      <c r="BU70" s="136">
        <f t="shared" si="52"/>
        <v>0</v>
      </c>
      <c r="BV70" s="137">
        <f t="shared" si="52"/>
        <v>0</v>
      </c>
      <c r="BW70" s="138">
        <f t="shared" si="52"/>
        <v>0</v>
      </c>
      <c r="BX70" s="136">
        <f t="shared" si="52"/>
        <v>0</v>
      </c>
      <c r="BY70" s="136">
        <f t="shared" si="52"/>
        <v>0</v>
      </c>
      <c r="BZ70" s="136">
        <f t="shared" si="52"/>
        <v>0</v>
      </c>
      <c r="CA70" s="137">
        <f t="shared" si="52"/>
        <v>0</v>
      </c>
      <c r="CB70" s="138">
        <f t="shared" si="52"/>
        <v>0</v>
      </c>
      <c r="CC70" s="136">
        <f t="shared" si="52"/>
        <v>0</v>
      </c>
      <c r="CD70" s="136">
        <f t="shared" si="52"/>
        <v>0</v>
      </c>
      <c r="CE70" s="137">
        <f t="shared" si="52"/>
        <v>0</v>
      </c>
      <c r="CF70" s="135">
        <f t="shared" si="52"/>
        <v>0</v>
      </c>
      <c r="CG70" s="136">
        <f t="shared" si="52"/>
        <v>0</v>
      </c>
      <c r="CH70" s="136">
        <f t="shared" si="52"/>
        <v>0</v>
      </c>
      <c r="CI70" s="137">
        <f t="shared" si="52"/>
        <v>0</v>
      </c>
    </row>
    <row r="71" spans="1:87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6"/>
        <v>1</v>
      </c>
      <c r="K71" s="101">
        <v>0</v>
      </c>
      <c r="L71" s="132">
        <f t="shared" si="47"/>
        <v>0.1</v>
      </c>
      <c r="M71" s="132">
        <f t="shared" si="48"/>
        <v>0</v>
      </c>
      <c r="N71" s="132">
        <f t="shared" si="5"/>
        <v>-0.1</v>
      </c>
      <c r="O71" s="133" t="str">
        <f t="shared" si="49"/>
        <v>지연</v>
      </c>
      <c r="P71" s="104"/>
      <c r="Q71" s="104"/>
      <c r="R71" s="104"/>
      <c r="S71" s="104"/>
      <c r="T71" s="104"/>
      <c r="U71" s="104"/>
      <c r="V71" s="130"/>
      <c r="W71" s="130"/>
      <c r="X71" s="134" t="str">
        <f t="shared" si="27"/>
        <v/>
      </c>
      <c r="Y71" s="253">
        <f>NETWORKDAYS(P71,Q71,진행현황_전체!C$59:C$77)</f>
        <v>0</v>
      </c>
      <c r="Z71" s="258"/>
      <c r="AA71" s="135">
        <f t="shared" si="50"/>
        <v>0</v>
      </c>
      <c r="AB71" s="136">
        <f t="shared" si="50"/>
        <v>0</v>
      </c>
      <c r="AC71" s="136">
        <f t="shared" si="50"/>
        <v>0</v>
      </c>
      <c r="AD71" s="136">
        <f t="shared" si="50"/>
        <v>0</v>
      </c>
      <c r="AE71" s="137">
        <f t="shared" si="50"/>
        <v>0</v>
      </c>
      <c r="AF71" s="138">
        <f t="shared" si="50"/>
        <v>0</v>
      </c>
      <c r="AG71" s="136">
        <f t="shared" si="50"/>
        <v>0</v>
      </c>
      <c r="AH71" s="136">
        <f t="shared" si="50"/>
        <v>0</v>
      </c>
      <c r="AI71" s="137">
        <f t="shared" si="50"/>
        <v>0</v>
      </c>
      <c r="AJ71" s="135">
        <f t="shared" si="50"/>
        <v>0</v>
      </c>
      <c r="AK71" s="136">
        <f t="shared" si="50"/>
        <v>0</v>
      </c>
      <c r="AL71" s="136">
        <f t="shared" si="50"/>
        <v>0</v>
      </c>
      <c r="AM71" s="137">
        <f t="shared" si="50"/>
        <v>0</v>
      </c>
      <c r="AN71" s="135">
        <f t="shared" si="50"/>
        <v>0</v>
      </c>
      <c r="AO71" s="138">
        <f t="shared" si="50"/>
        <v>0</v>
      </c>
      <c r="AP71" s="136">
        <f t="shared" si="50"/>
        <v>0</v>
      </c>
      <c r="AQ71" s="136">
        <f t="shared" si="50"/>
        <v>0</v>
      </c>
      <c r="AR71" s="194">
        <f t="shared" si="50"/>
        <v>0</v>
      </c>
      <c r="AS71" s="138">
        <f t="shared" si="50"/>
        <v>0</v>
      </c>
      <c r="AT71" s="136">
        <f t="shared" si="50"/>
        <v>0</v>
      </c>
      <c r="AU71" s="136">
        <f t="shared" si="50"/>
        <v>0</v>
      </c>
      <c r="AV71" s="137">
        <f t="shared" si="51"/>
        <v>0</v>
      </c>
      <c r="AW71" s="135">
        <f t="shared" si="51"/>
        <v>0</v>
      </c>
      <c r="AX71" s="136">
        <f t="shared" si="51"/>
        <v>0</v>
      </c>
      <c r="AY71" s="136">
        <f t="shared" si="51"/>
        <v>0</v>
      </c>
      <c r="AZ71" s="137">
        <f t="shared" si="51"/>
        <v>0</v>
      </c>
      <c r="BA71" s="135">
        <f t="shared" si="51"/>
        <v>0</v>
      </c>
      <c r="BB71" s="136">
        <f t="shared" si="51"/>
        <v>0</v>
      </c>
      <c r="BC71" s="136">
        <f t="shared" si="51"/>
        <v>0</v>
      </c>
      <c r="BD71" s="136">
        <f t="shared" si="51"/>
        <v>0</v>
      </c>
      <c r="BE71" s="137">
        <f t="shared" si="51"/>
        <v>0</v>
      </c>
      <c r="BF71" s="138">
        <f t="shared" si="51"/>
        <v>0</v>
      </c>
      <c r="BG71" s="136">
        <f t="shared" si="51"/>
        <v>0</v>
      </c>
      <c r="BH71" s="136">
        <f t="shared" si="51"/>
        <v>0</v>
      </c>
      <c r="BI71" s="137">
        <f t="shared" si="51"/>
        <v>0</v>
      </c>
      <c r="BJ71" s="135">
        <f t="shared" si="51"/>
        <v>0</v>
      </c>
      <c r="BK71" s="136">
        <f t="shared" si="51"/>
        <v>0</v>
      </c>
      <c r="BL71" s="136">
        <f t="shared" si="52"/>
        <v>0</v>
      </c>
      <c r="BM71" s="137">
        <f t="shared" si="52"/>
        <v>0</v>
      </c>
      <c r="BN71" s="138">
        <f t="shared" si="52"/>
        <v>0</v>
      </c>
      <c r="BO71" s="136">
        <f t="shared" si="52"/>
        <v>0</v>
      </c>
      <c r="BP71" s="136">
        <f t="shared" si="52"/>
        <v>0</v>
      </c>
      <c r="BQ71" s="136">
        <f t="shared" si="52"/>
        <v>0</v>
      </c>
      <c r="BR71" s="137">
        <f t="shared" si="52"/>
        <v>0</v>
      </c>
      <c r="BS71" s="138">
        <f t="shared" si="52"/>
        <v>0</v>
      </c>
      <c r="BT71" s="136">
        <f t="shared" si="52"/>
        <v>0</v>
      </c>
      <c r="BU71" s="136">
        <f t="shared" si="52"/>
        <v>0</v>
      </c>
      <c r="BV71" s="137">
        <f t="shared" si="52"/>
        <v>0</v>
      </c>
      <c r="BW71" s="138">
        <f t="shared" si="52"/>
        <v>0</v>
      </c>
      <c r="BX71" s="136">
        <f t="shared" si="52"/>
        <v>0</v>
      </c>
      <c r="BY71" s="136">
        <f t="shared" si="52"/>
        <v>0</v>
      </c>
      <c r="BZ71" s="136">
        <f t="shared" si="52"/>
        <v>0</v>
      </c>
      <c r="CA71" s="137">
        <f t="shared" si="52"/>
        <v>0</v>
      </c>
      <c r="CB71" s="138">
        <f t="shared" si="52"/>
        <v>0</v>
      </c>
      <c r="CC71" s="136">
        <f t="shared" si="52"/>
        <v>0</v>
      </c>
      <c r="CD71" s="136">
        <f t="shared" si="52"/>
        <v>0</v>
      </c>
      <c r="CE71" s="137">
        <f t="shared" si="52"/>
        <v>0</v>
      </c>
      <c r="CF71" s="135">
        <f t="shared" si="52"/>
        <v>0</v>
      </c>
      <c r="CG71" s="136">
        <f t="shared" si="52"/>
        <v>0</v>
      </c>
      <c r="CH71" s="136">
        <f t="shared" si="52"/>
        <v>0</v>
      </c>
      <c r="CI71" s="137">
        <f t="shared" si="52"/>
        <v>0</v>
      </c>
    </row>
    <row r="72" spans="1:87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6"/>
        <v>1</v>
      </c>
      <c r="K72" s="101">
        <v>0</v>
      </c>
      <c r="L72" s="132">
        <f t="shared" si="47"/>
        <v>0.1</v>
      </c>
      <c r="M72" s="132">
        <f t="shared" si="48"/>
        <v>0</v>
      </c>
      <c r="N72" s="132">
        <f t="shared" si="5"/>
        <v>-0.1</v>
      </c>
      <c r="O72" s="133" t="str">
        <f t="shared" si="49"/>
        <v>지연</v>
      </c>
      <c r="P72" s="104"/>
      <c r="Q72" s="104"/>
      <c r="R72" s="104"/>
      <c r="S72" s="104"/>
      <c r="T72" s="104"/>
      <c r="U72" s="104"/>
      <c r="V72" s="94"/>
      <c r="W72" s="94"/>
      <c r="X72" s="134" t="str">
        <f t="shared" si="27"/>
        <v/>
      </c>
      <c r="Y72" s="253">
        <f>NETWORKDAYS(P72,Q72,진행현황_전체!C$59:C$77)</f>
        <v>0</v>
      </c>
      <c r="Z72" s="258"/>
      <c r="AA72" s="135">
        <f t="shared" si="50"/>
        <v>0</v>
      </c>
      <c r="AB72" s="136">
        <f t="shared" si="50"/>
        <v>0</v>
      </c>
      <c r="AC72" s="136">
        <f t="shared" si="50"/>
        <v>0</v>
      </c>
      <c r="AD72" s="136">
        <f t="shared" si="50"/>
        <v>0</v>
      </c>
      <c r="AE72" s="137">
        <f t="shared" si="50"/>
        <v>0</v>
      </c>
      <c r="AF72" s="138">
        <f t="shared" si="50"/>
        <v>0</v>
      </c>
      <c r="AG72" s="136">
        <f t="shared" si="50"/>
        <v>0</v>
      </c>
      <c r="AH72" s="136">
        <f t="shared" si="50"/>
        <v>0</v>
      </c>
      <c r="AI72" s="137">
        <f t="shared" si="50"/>
        <v>0</v>
      </c>
      <c r="AJ72" s="135">
        <f t="shared" si="50"/>
        <v>0</v>
      </c>
      <c r="AK72" s="136">
        <f t="shared" si="50"/>
        <v>0</v>
      </c>
      <c r="AL72" s="136">
        <f t="shared" si="50"/>
        <v>0</v>
      </c>
      <c r="AM72" s="137">
        <f t="shared" si="50"/>
        <v>0</v>
      </c>
      <c r="AN72" s="135">
        <f t="shared" si="50"/>
        <v>0</v>
      </c>
      <c r="AO72" s="138">
        <f t="shared" si="50"/>
        <v>0</v>
      </c>
      <c r="AP72" s="136">
        <f t="shared" si="50"/>
        <v>0</v>
      </c>
      <c r="AQ72" s="136">
        <f t="shared" si="50"/>
        <v>0</v>
      </c>
      <c r="AR72" s="194">
        <f t="shared" si="50"/>
        <v>0</v>
      </c>
      <c r="AS72" s="138">
        <f t="shared" si="50"/>
        <v>0</v>
      </c>
      <c r="AT72" s="136">
        <f t="shared" si="50"/>
        <v>0</v>
      </c>
      <c r="AU72" s="136">
        <f t="shared" si="50"/>
        <v>0</v>
      </c>
      <c r="AV72" s="137">
        <f t="shared" si="51"/>
        <v>0</v>
      </c>
      <c r="AW72" s="135">
        <f t="shared" si="51"/>
        <v>0</v>
      </c>
      <c r="AX72" s="136">
        <f t="shared" si="51"/>
        <v>0</v>
      </c>
      <c r="AY72" s="136">
        <f t="shared" si="51"/>
        <v>0</v>
      </c>
      <c r="AZ72" s="137">
        <f t="shared" si="51"/>
        <v>0</v>
      </c>
      <c r="BA72" s="135">
        <f t="shared" si="51"/>
        <v>0</v>
      </c>
      <c r="BB72" s="136">
        <f t="shared" si="51"/>
        <v>0</v>
      </c>
      <c r="BC72" s="136">
        <f t="shared" si="51"/>
        <v>0</v>
      </c>
      <c r="BD72" s="136">
        <f t="shared" si="51"/>
        <v>0</v>
      </c>
      <c r="BE72" s="137">
        <f t="shared" si="51"/>
        <v>0</v>
      </c>
      <c r="BF72" s="138">
        <f t="shared" si="51"/>
        <v>0</v>
      </c>
      <c r="BG72" s="136">
        <f t="shared" si="51"/>
        <v>0</v>
      </c>
      <c r="BH72" s="136">
        <f t="shared" si="51"/>
        <v>0</v>
      </c>
      <c r="BI72" s="137">
        <f t="shared" si="51"/>
        <v>0</v>
      </c>
      <c r="BJ72" s="135">
        <f t="shared" si="51"/>
        <v>0</v>
      </c>
      <c r="BK72" s="136">
        <f t="shared" si="51"/>
        <v>0</v>
      </c>
      <c r="BL72" s="136">
        <f t="shared" si="52"/>
        <v>0</v>
      </c>
      <c r="BM72" s="137">
        <f t="shared" si="52"/>
        <v>0</v>
      </c>
      <c r="BN72" s="138">
        <f t="shared" si="52"/>
        <v>0</v>
      </c>
      <c r="BO72" s="136">
        <f t="shared" si="52"/>
        <v>0</v>
      </c>
      <c r="BP72" s="136">
        <f t="shared" si="52"/>
        <v>0</v>
      </c>
      <c r="BQ72" s="136">
        <f t="shared" si="52"/>
        <v>0</v>
      </c>
      <c r="BR72" s="137">
        <f t="shared" si="52"/>
        <v>0</v>
      </c>
      <c r="BS72" s="138">
        <f t="shared" si="52"/>
        <v>0</v>
      </c>
      <c r="BT72" s="136">
        <f t="shared" si="52"/>
        <v>0</v>
      </c>
      <c r="BU72" s="136">
        <f t="shared" si="52"/>
        <v>0</v>
      </c>
      <c r="BV72" s="137">
        <f t="shared" si="52"/>
        <v>0</v>
      </c>
      <c r="BW72" s="138">
        <f t="shared" si="52"/>
        <v>0</v>
      </c>
      <c r="BX72" s="136">
        <f t="shared" si="52"/>
        <v>0</v>
      </c>
      <c r="BY72" s="136">
        <f t="shared" si="52"/>
        <v>0</v>
      </c>
      <c r="BZ72" s="136">
        <f t="shared" si="52"/>
        <v>0</v>
      </c>
      <c r="CA72" s="137">
        <f t="shared" si="52"/>
        <v>0</v>
      </c>
      <c r="CB72" s="138">
        <f t="shared" si="52"/>
        <v>0</v>
      </c>
      <c r="CC72" s="136">
        <f t="shared" si="52"/>
        <v>0</v>
      </c>
      <c r="CD72" s="136">
        <f t="shared" si="52"/>
        <v>0</v>
      </c>
      <c r="CE72" s="137">
        <f t="shared" si="52"/>
        <v>0</v>
      </c>
      <c r="CF72" s="135">
        <f t="shared" si="52"/>
        <v>0</v>
      </c>
      <c r="CG72" s="136">
        <f t="shared" si="52"/>
        <v>0</v>
      </c>
      <c r="CH72" s="136">
        <f t="shared" si="52"/>
        <v>0</v>
      </c>
      <c r="CI72" s="137">
        <f t="shared" si="52"/>
        <v>0</v>
      </c>
    </row>
    <row r="73" spans="1:87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6"/>
        <v>1</v>
      </c>
      <c r="K73" s="101">
        <v>0</v>
      </c>
      <c r="L73" s="132">
        <f t="shared" si="47"/>
        <v>0.1</v>
      </c>
      <c r="M73" s="132">
        <f t="shared" si="48"/>
        <v>0</v>
      </c>
      <c r="N73" s="132">
        <f t="shared" si="5"/>
        <v>-0.1</v>
      </c>
      <c r="O73" s="133" t="str">
        <f t="shared" si="49"/>
        <v>지연</v>
      </c>
      <c r="P73" s="104"/>
      <c r="Q73" s="104"/>
      <c r="R73" s="104"/>
      <c r="S73" s="104"/>
      <c r="T73" s="104"/>
      <c r="U73" s="104"/>
      <c r="V73" s="130"/>
      <c r="W73" s="130"/>
      <c r="X73" s="134" t="str">
        <f t="shared" ref="X73:X97" si="53">IF(ISBLANK(V73),"",(DAYS360(VLOOKUP(V73,$A$9:$Q$97,15,FALSE),P73)-1))</f>
        <v/>
      </c>
      <c r="Y73" s="253">
        <f>NETWORKDAYS(P73,Q73,진행현황_전체!C$59:C$77)</f>
        <v>0</v>
      </c>
      <c r="Z73" s="258"/>
      <c r="AA73" s="135">
        <f t="shared" si="50"/>
        <v>0</v>
      </c>
      <c r="AB73" s="136">
        <f t="shared" si="50"/>
        <v>0</v>
      </c>
      <c r="AC73" s="136">
        <f t="shared" si="50"/>
        <v>0</v>
      </c>
      <c r="AD73" s="136">
        <f t="shared" si="50"/>
        <v>0</v>
      </c>
      <c r="AE73" s="137">
        <f t="shared" si="50"/>
        <v>0</v>
      </c>
      <c r="AF73" s="138">
        <f t="shared" si="50"/>
        <v>0</v>
      </c>
      <c r="AG73" s="136">
        <f t="shared" si="50"/>
        <v>0</v>
      </c>
      <c r="AH73" s="136">
        <f t="shared" si="50"/>
        <v>0</v>
      </c>
      <c r="AI73" s="137">
        <f t="shared" si="50"/>
        <v>0</v>
      </c>
      <c r="AJ73" s="135">
        <f t="shared" si="50"/>
        <v>0</v>
      </c>
      <c r="AK73" s="136">
        <f t="shared" si="50"/>
        <v>0</v>
      </c>
      <c r="AL73" s="136">
        <f t="shared" si="50"/>
        <v>0</v>
      </c>
      <c r="AM73" s="137">
        <f t="shared" si="50"/>
        <v>0</v>
      </c>
      <c r="AN73" s="135">
        <f t="shared" si="50"/>
        <v>0</v>
      </c>
      <c r="AO73" s="138">
        <f t="shared" si="50"/>
        <v>0</v>
      </c>
      <c r="AP73" s="136">
        <f t="shared" si="50"/>
        <v>0</v>
      </c>
      <c r="AQ73" s="136">
        <f t="shared" si="50"/>
        <v>0</v>
      </c>
      <c r="AR73" s="194">
        <f t="shared" si="50"/>
        <v>0</v>
      </c>
      <c r="AS73" s="138">
        <f t="shared" si="50"/>
        <v>0</v>
      </c>
      <c r="AT73" s="136">
        <f t="shared" si="50"/>
        <v>0</v>
      </c>
      <c r="AU73" s="136">
        <f t="shared" si="50"/>
        <v>0</v>
      </c>
      <c r="AV73" s="137">
        <f t="shared" si="51"/>
        <v>0</v>
      </c>
      <c r="AW73" s="135">
        <f t="shared" si="51"/>
        <v>0</v>
      </c>
      <c r="AX73" s="136">
        <f t="shared" si="51"/>
        <v>0</v>
      </c>
      <c r="AY73" s="136">
        <f t="shared" si="51"/>
        <v>0</v>
      </c>
      <c r="AZ73" s="137">
        <f t="shared" si="51"/>
        <v>0</v>
      </c>
      <c r="BA73" s="135">
        <f t="shared" si="51"/>
        <v>0</v>
      </c>
      <c r="BB73" s="136">
        <f t="shared" si="51"/>
        <v>0</v>
      </c>
      <c r="BC73" s="136">
        <f t="shared" si="51"/>
        <v>0</v>
      </c>
      <c r="BD73" s="136">
        <f t="shared" si="51"/>
        <v>0</v>
      </c>
      <c r="BE73" s="137">
        <f t="shared" si="51"/>
        <v>0</v>
      </c>
      <c r="BF73" s="138">
        <f t="shared" si="51"/>
        <v>0</v>
      </c>
      <c r="BG73" s="136">
        <f t="shared" si="51"/>
        <v>0</v>
      </c>
      <c r="BH73" s="136">
        <f t="shared" si="51"/>
        <v>0</v>
      </c>
      <c r="BI73" s="137">
        <f t="shared" si="51"/>
        <v>0</v>
      </c>
      <c r="BJ73" s="135">
        <f t="shared" si="51"/>
        <v>0</v>
      </c>
      <c r="BK73" s="136">
        <f t="shared" si="51"/>
        <v>0</v>
      </c>
      <c r="BL73" s="136">
        <f t="shared" si="52"/>
        <v>0</v>
      </c>
      <c r="BM73" s="137">
        <f t="shared" si="52"/>
        <v>0</v>
      </c>
      <c r="BN73" s="138">
        <f t="shared" si="52"/>
        <v>0</v>
      </c>
      <c r="BO73" s="136">
        <f t="shared" si="52"/>
        <v>0</v>
      </c>
      <c r="BP73" s="136">
        <f t="shared" si="52"/>
        <v>0</v>
      </c>
      <c r="BQ73" s="136">
        <f t="shared" si="52"/>
        <v>0</v>
      </c>
      <c r="BR73" s="137">
        <f t="shared" si="52"/>
        <v>0</v>
      </c>
      <c r="BS73" s="138">
        <f t="shared" si="52"/>
        <v>0</v>
      </c>
      <c r="BT73" s="136">
        <f t="shared" si="52"/>
        <v>0</v>
      </c>
      <c r="BU73" s="136">
        <f t="shared" si="52"/>
        <v>0</v>
      </c>
      <c r="BV73" s="137">
        <f t="shared" si="52"/>
        <v>0</v>
      </c>
      <c r="BW73" s="138">
        <f t="shared" si="52"/>
        <v>0</v>
      </c>
      <c r="BX73" s="136">
        <f t="shared" si="52"/>
        <v>0</v>
      </c>
      <c r="BY73" s="136">
        <f t="shared" si="52"/>
        <v>0</v>
      </c>
      <c r="BZ73" s="136">
        <f t="shared" si="52"/>
        <v>0</v>
      </c>
      <c r="CA73" s="137">
        <f t="shared" si="52"/>
        <v>0</v>
      </c>
      <c r="CB73" s="138">
        <f t="shared" si="52"/>
        <v>0</v>
      </c>
      <c r="CC73" s="136">
        <f t="shared" si="52"/>
        <v>0</v>
      </c>
      <c r="CD73" s="136">
        <f t="shared" si="52"/>
        <v>0</v>
      </c>
      <c r="CE73" s="137">
        <f t="shared" si="52"/>
        <v>0</v>
      </c>
      <c r="CF73" s="135">
        <f t="shared" si="52"/>
        <v>0</v>
      </c>
      <c r="CG73" s="136">
        <f t="shared" si="52"/>
        <v>0</v>
      </c>
      <c r="CH73" s="136">
        <f t="shared" si="52"/>
        <v>0</v>
      </c>
      <c r="CI73" s="137">
        <f t="shared" si="52"/>
        <v>0</v>
      </c>
    </row>
    <row r="74" spans="1:87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6"/>
        <v>1</v>
      </c>
      <c r="K74" s="101">
        <v>0</v>
      </c>
      <c r="L74" s="132">
        <f t="shared" si="47"/>
        <v>0.1</v>
      </c>
      <c r="M74" s="132">
        <f t="shared" si="48"/>
        <v>0</v>
      </c>
      <c r="N74" s="132">
        <f t="shared" si="5"/>
        <v>-0.1</v>
      </c>
      <c r="O74" s="133" t="str">
        <f t="shared" si="49"/>
        <v>지연</v>
      </c>
      <c r="P74" s="104"/>
      <c r="Q74" s="104"/>
      <c r="R74" s="104"/>
      <c r="S74" s="104"/>
      <c r="T74" s="104"/>
      <c r="U74" s="104"/>
      <c r="V74" s="94"/>
      <c r="W74" s="94"/>
      <c r="X74" s="134" t="str">
        <f t="shared" si="53"/>
        <v/>
      </c>
      <c r="Y74" s="253">
        <f>NETWORKDAYS(P74,Q74,진행현황_전체!C$59:C$77)</f>
        <v>0</v>
      </c>
      <c r="Z74" s="258"/>
      <c r="AA74" s="135">
        <f t="shared" si="50"/>
        <v>0</v>
      </c>
      <c r="AB74" s="136">
        <f t="shared" si="50"/>
        <v>0</v>
      </c>
      <c r="AC74" s="136">
        <f t="shared" si="50"/>
        <v>0</v>
      </c>
      <c r="AD74" s="136">
        <f t="shared" si="50"/>
        <v>0</v>
      </c>
      <c r="AE74" s="137">
        <f t="shared" si="50"/>
        <v>0</v>
      </c>
      <c r="AF74" s="138">
        <f t="shared" si="50"/>
        <v>0</v>
      </c>
      <c r="AG74" s="136">
        <f t="shared" si="50"/>
        <v>0</v>
      </c>
      <c r="AH74" s="136">
        <f t="shared" si="50"/>
        <v>0</v>
      </c>
      <c r="AI74" s="137">
        <f t="shared" si="50"/>
        <v>0</v>
      </c>
      <c r="AJ74" s="135">
        <f t="shared" si="50"/>
        <v>0</v>
      </c>
      <c r="AK74" s="136">
        <f t="shared" si="50"/>
        <v>0</v>
      </c>
      <c r="AL74" s="136">
        <f t="shared" si="50"/>
        <v>0</v>
      </c>
      <c r="AM74" s="137">
        <f t="shared" si="50"/>
        <v>0</v>
      </c>
      <c r="AN74" s="135">
        <f t="shared" si="50"/>
        <v>0</v>
      </c>
      <c r="AO74" s="138">
        <f t="shared" si="50"/>
        <v>0</v>
      </c>
      <c r="AP74" s="136">
        <f t="shared" si="50"/>
        <v>0</v>
      </c>
      <c r="AQ74" s="136">
        <f t="shared" si="50"/>
        <v>0</v>
      </c>
      <c r="AR74" s="194">
        <f t="shared" si="50"/>
        <v>0</v>
      </c>
      <c r="AS74" s="138">
        <f t="shared" si="50"/>
        <v>0</v>
      </c>
      <c r="AT74" s="136">
        <f t="shared" si="50"/>
        <v>0</v>
      </c>
      <c r="AU74" s="136">
        <f t="shared" si="50"/>
        <v>0</v>
      </c>
      <c r="AV74" s="137">
        <f t="shared" si="51"/>
        <v>0</v>
      </c>
      <c r="AW74" s="135">
        <f t="shared" si="51"/>
        <v>0</v>
      </c>
      <c r="AX74" s="136">
        <f t="shared" si="51"/>
        <v>0</v>
      </c>
      <c r="AY74" s="136">
        <f t="shared" si="51"/>
        <v>0</v>
      </c>
      <c r="AZ74" s="137">
        <f t="shared" si="51"/>
        <v>0</v>
      </c>
      <c r="BA74" s="135">
        <f t="shared" si="51"/>
        <v>0</v>
      </c>
      <c r="BB74" s="136">
        <f t="shared" si="51"/>
        <v>0</v>
      </c>
      <c r="BC74" s="136">
        <f t="shared" si="51"/>
        <v>0</v>
      </c>
      <c r="BD74" s="136">
        <f t="shared" si="51"/>
        <v>0</v>
      </c>
      <c r="BE74" s="137">
        <f t="shared" si="51"/>
        <v>0</v>
      </c>
      <c r="BF74" s="138">
        <f t="shared" si="51"/>
        <v>0</v>
      </c>
      <c r="BG74" s="136">
        <f t="shared" si="51"/>
        <v>0</v>
      </c>
      <c r="BH74" s="136">
        <f t="shared" si="51"/>
        <v>0</v>
      </c>
      <c r="BI74" s="137">
        <f t="shared" si="51"/>
        <v>0</v>
      </c>
      <c r="BJ74" s="135">
        <f t="shared" si="51"/>
        <v>0</v>
      </c>
      <c r="BK74" s="136">
        <f t="shared" si="51"/>
        <v>0</v>
      </c>
      <c r="BL74" s="136">
        <f t="shared" si="52"/>
        <v>0</v>
      </c>
      <c r="BM74" s="137">
        <f t="shared" si="52"/>
        <v>0</v>
      </c>
      <c r="BN74" s="138">
        <f t="shared" si="52"/>
        <v>0</v>
      </c>
      <c r="BO74" s="136">
        <f t="shared" si="52"/>
        <v>0</v>
      </c>
      <c r="BP74" s="136">
        <f t="shared" si="52"/>
        <v>0</v>
      </c>
      <c r="BQ74" s="136">
        <f t="shared" si="52"/>
        <v>0</v>
      </c>
      <c r="BR74" s="137">
        <f t="shared" si="52"/>
        <v>0</v>
      </c>
      <c r="BS74" s="138">
        <f t="shared" si="52"/>
        <v>0</v>
      </c>
      <c r="BT74" s="136">
        <f t="shared" si="52"/>
        <v>0</v>
      </c>
      <c r="BU74" s="136">
        <f t="shared" si="52"/>
        <v>0</v>
      </c>
      <c r="BV74" s="137">
        <f t="shared" si="52"/>
        <v>0</v>
      </c>
      <c r="BW74" s="138">
        <f t="shared" si="52"/>
        <v>0</v>
      </c>
      <c r="BX74" s="136">
        <f t="shared" si="52"/>
        <v>0</v>
      </c>
      <c r="BY74" s="136">
        <f t="shared" si="52"/>
        <v>0</v>
      </c>
      <c r="BZ74" s="136">
        <f t="shared" si="52"/>
        <v>0</v>
      </c>
      <c r="CA74" s="137">
        <f t="shared" si="52"/>
        <v>0</v>
      </c>
      <c r="CB74" s="138">
        <f t="shared" si="52"/>
        <v>0</v>
      </c>
      <c r="CC74" s="136">
        <f t="shared" si="52"/>
        <v>0</v>
      </c>
      <c r="CD74" s="136">
        <f t="shared" si="52"/>
        <v>0</v>
      </c>
      <c r="CE74" s="137">
        <f t="shared" si="52"/>
        <v>0</v>
      </c>
      <c r="CF74" s="135">
        <f t="shared" si="52"/>
        <v>0</v>
      </c>
      <c r="CG74" s="136">
        <f t="shared" si="52"/>
        <v>0</v>
      </c>
      <c r="CH74" s="136">
        <f t="shared" si="52"/>
        <v>0</v>
      </c>
      <c r="CI74" s="137">
        <f t="shared" si="52"/>
        <v>0</v>
      </c>
    </row>
    <row r="75" spans="1:87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6"/>
        <v>1</v>
      </c>
      <c r="K75" s="101">
        <v>0</v>
      </c>
      <c r="L75" s="132">
        <f t="shared" si="47"/>
        <v>0.1</v>
      </c>
      <c r="M75" s="132">
        <f t="shared" si="48"/>
        <v>0</v>
      </c>
      <c r="N75" s="132">
        <f t="shared" si="5"/>
        <v>-0.1</v>
      </c>
      <c r="O75" s="133" t="str">
        <f t="shared" si="49"/>
        <v>지연</v>
      </c>
      <c r="P75" s="104"/>
      <c r="Q75" s="104"/>
      <c r="R75" s="104"/>
      <c r="S75" s="104"/>
      <c r="T75" s="104"/>
      <c r="U75" s="104"/>
      <c r="V75" s="94"/>
      <c r="W75" s="94"/>
      <c r="X75" s="134" t="str">
        <f t="shared" si="53"/>
        <v/>
      </c>
      <c r="Y75" s="253">
        <f>NETWORKDAYS(P75,Q75,진행현황_전체!C$59:C$77)</f>
        <v>0</v>
      </c>
      <c r="Z75" s="258"/>
      <c r="AA75" s="135">
        <f t="shared" si="50"/>
        <v>0</v>
      </c>
      <c r="AB75" s="136">
        <f t="shared" si="50"/>
        <v>0</v>
      </c>
      <c r="AC75" s="136">
        <f t="shared" si="50"/>
        <v>0</v>
      </c>
      <c r="AD75" s="136">
        <f t="shared" si="50"/>
        <v>0</v>
      </c>
      <c r="AE75" s="137">
        <f t="shared" si="50"/>
        <v>0</v>
      </c>
      <c r="AF75" s="138">
        <f t="shared" si="50"/>
        <v>0</v>
      </c>
      <c r="AG75" s="136">
        <f t="shared" si="50"/>
        <v>0</v>
      </c>
      <c r="AH75" s="136">
        <f t="shared" si="50"/>
        <v>0</v>
      </c>
      <c r="AI75" s="137">
        <f t="shared" si="50"/>
        <v>0</v>
      </c>
      <c r="AJ75" s="135">
        <f t="shared" si="50"/>
        <v>0</v>
      </c>
      <c r="AK75" s="136">
        <f t="shared" si="50"/>
        <v>0</v>
      </c>
      <c r="AL75" s="136">
        <f t="shared" si="50"/>
        <v>0</v>
      </c>
      <c r="AM75" s="137">
        <f t="shared" si="50"/>
        <v>0</v>
      </c>
      <c r="AN75" s="135">
        <f t="shared" si="50"/>
        <v>0</v>
      </c>
      <c r="AO75" s="138">
        <f t="shared" si="50"/>
        <v>0</v>
      </c>
      <c r="AP75" s="136">
        <f t="shared" si="50"/>
        <v>0</v>
      </c>
      <c r="AQ75" s="136">
        <f t="shared" si="50"/>
        <v>0</v>
      </c>
      <c r="AR75" s="194">
        <f t="shared" si="50"/>
        <v>0</v>
      </c>
      <c r="AS75" s="138">
        <f t="shared" si="50"/>
        <v>0</v>
      </c>
      <c r="AT75" s="136">
        <f t="shared" si="50"/>
        <v>0</v>
      </c>
      <c r="AU75" s="136">
        <f t="shared" si="50"/>
        <v>0</v>
      </c>
      <c r="AV75" s="137">
        <f t="shared" si="51"/>
        <v>0</v>
      </c>
      <c r="AW75" s="135">
        <f t="shared" si="51"/>
        <v>0</v>
      </c>
      <c r="AX75" s="136">
        <f t="shared" si="51"/>
        <v>0</v>
      </c>
      <c r="AY75" s="136">
        <f t="shared" si="51"/>
        <v>0</v>
      </c>
      <c r="AZ75" s="137">
        <f t="shared" si="51"/>
        <v>0</v>
      </c>
      <c r="BA75" s="135">
        <f t="shared" si="51"/>
        <v>0</v>
      </c>
      <c r="BB75" s="136">
        <f t="shared" si="51"/>
        <v>0</v>
      </c>
      <c r="BC75" s="136">
        <f t="shared" si="51"/>
        <v>0</v>
      </c>
      <c r="BD75" s="136">
        <f t="shared" si="51"/>
        <v>0</v>
      </c>
      <c r="BE75" s="137">
        <f t="shared" si="51"/>
        <v>0</v>
      </c>
      <c r="BF75" s="138">
        <f t="shared" si="51"/>
        <v>0</v>
      </c>
      <c r="BG75" s="136">
        <f t="shared" si="51"/>
        <v>0</v>
      </c>
      <c r="BH75" s="136">
        <f t="shared" si="51"/>
        <v>0</v>
      </c>
      <c r="BI75" s="137">
        <f t="shared" si="51"/>
        <v>0</v>
      </c>
      <c r="BJ75" s="135">
        <f t="shared" si="51"/>
        <v>0</v>
      </c>
      <c r="BK75" s="136">
        <f t="shared" si="51"/>
        <v>0</v>
      </c>
      <c r="BL75" s="136">
        <f t="shared" si="52"/>
        <v>0</v>
      </c>
      <c r="BM75" s="137">
        <f t="shared" si="52"/>
        <v>0</v>
      </c>
      <c r="BN75" s="138">
        <f t="shared" si="52"/>
        <v>0</v>
      </c>
      <c r="BO75" s="136">
        <f t="shared" si="52"/>
        <v>0</v>
      </c>
      <c r="BP75" s="136">
        <f t="shared" si="52"/>
        <v>0</v>
      </c>
      <c r="BQ75" s="136">
        <f t="shared" si="52"/>
        <v>0</v>
      </c>
      <c r="BR75" s="137">
        <f t="shared" si="52"/>
        <v>0</v>
      </c>
      <c r="BS75" s="138">
        <f t="shared" si="52"/>
        <v>0</v>
      </c>
      <c r="BT75" s="136">
        <f t="shared" si="52"/>
        <v>0</v>
      </c>
      <c r="BU75" s="136">
        <f t="shared" si="52"/>
        <v>0</v>
      </c>
      <c r="BV75" s="137">
        <f t="shared" si="52"/>
        <v>0</v>
      </c>
      <c r="BW75" s="138">
        <f t="shared" si="52"/>
        <v>0</v>
      </c>
      <c r="BX75" s="136">
        <f t="shared" si="52"/>
        <v>0</v>
      </c>
      <c r="BY75" s="136">
        <f t="shared" si="52"/>
        <v>0</v>
      </c>
      <c r="BZ75" s="136">
        <f t="shared" si="52"/>
        <v>0</v>
      </c>
      <c r="CA75" s="137">
        <f t="shared" si="52"/>
        <v>0</v>
      </c>
      <c r="CB75" s="138">
        <f t="shared" si="52"/>
        <v>0</v>
      </c>
      <c r="CC75" s="136">
        <f t="shared" si="52"/>
        <v>0</v>
      </c>
      <c r="CD75" s="136">
        <f t="shared" si="52"/>
        <v>0</v>
      </c>
      <c r="CE75" s="137">
        <f t="shared" si="52"/>
        <v>0</v>
      </c>
      <c r="CF75" s="135">
        <f t="shared" si="52"/>
        <v>0</v>
      </c>
      <c r="CG75" s="136">
        <f t="shared" si="52"/>
        <v>0</v>
      </c>
      <c r="CH75" s="136">
        <f t="shared" si="52"/>
        <v>0</v>
      </c>
      <c r="CI75" s="137">
        <f t="shared" si="52"/>
        <v>0</v>
      </c>
    </row>
    <row r="76" spans="1:87" ht="17.25" thickBot="1">
      <c r="A76" s="139" t="s">
        <v>80</v>
      </c>
      <c r="B76" s="114" t="str">
        <f>진행현황_01.범위명!H15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진행현황_01.범위명!H16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54">M76-L76</f>
        <v>-4.9999999999999991</v>
      </c>
      <c r="O76" s="121"/>
      <c r="P76" s="122">
        <f>MIN(P77:P86)</f>
        <v>0</v>
      </c>
      <c r="Q76" s="122">
        <f>MAX(Q77:Q86)</f>
        <v>0</v>
      </c>
      <c r="R76" s="122"/>
      <c r="S76" s="122">
        <f>MIN(S77:S86)</f>
        <v>0</v>
      </c>
      <c r="T76" s="122">
        <f>MAX(T77:T86)</f>
        <v>0</v>
      </c>
      <c r="U76" s="122"/>
      <c r="V76" s="113"/>
      <c r="W76" s="113"/>
      <c r="X76" s="123" t="str">
        <f t="shared" si="53"/>
        <v/>
      </c>
      <c r="Y76" s="124">
        <f>NETWORKDAYS(P76,Q76,진행현황_전체!C$59:C$77)</f>
        <v>0</v>
      </c>
      <c r="Z76" s="257"/>
      <c r="AA76" s="125"/>
      <c r="AB76" s="126"/>
      <c r="AC76" s="126"/>
      <c r="AD76" s="126"/>
      <c r="AE76" s="127"/>
      <c r="AF76" s="129"/>
      <c r="AG76" s="126"/>
      <c r="AH76" s="126"/>
      <c r="AI76" s="127"/>
      <c r="AJ76" s="128"/>
      <c r="AK76" s="126"/>
      <c r="AL76" s="126"/>
      <c r="AM76" s="127"/>
      <c r="AN76" s="128"/>
      <c r="AO76" s="129"/>
      <c r="AP76" s="126"/>
      <c r="AQ76" s="126"/>
      <c r="AR76" s="193"/>
      <c r="AS76" s="129"/>
      <c r="AT76" s="126"/>
      <c r="AU76" s="126"/>
      <c r="AV76" s="127"/>
      <c r="AW76" s="128"/>
      <c r="AX76" s="126"/>
      <c r="AY76" s="126"/>
      <c r="AZ76" s="127"/>
      <c r="BA76" s="125"/>
      <c r="BB76" s="126"/>
      <c r="BC76" s="126"/>
      <c r="BD76" s="126"/>
      <c r="BE76" s="127"/>
      <c r="BF76" s="129"/>
      <c r="BG76" s="126"/>
      <c r="BH76" s="126"/>
      <c r="BI76" s="127"/>
      <c r="BJ76" s="128"/>
      <c r="BK76" s="126"/>
      <c r="BL76" s="126"/>
      <c r="BM76" s="127"/>
      <c r="BN76" s="129"/>
      <c r="BO76" s="126"/>
      <c r="BP76" s="126"/>
      <c r="BQ76" s="126"/>
      <c r="BR76" s="127"/>
      <c r="BS76" s="129"/>
      <c r="BT76" s="126"/>
      <c r="BU76" s="126"/>
      <c r="BV76" s="127"/>
      <c r="BW76" s="129"/>
      <c r="BX76" s="126"/>
      <c r="BY76" s="126"/>
      <c r="BZ76" s="126"/>
      <c r="CA76" s="127"/>
      <c r="CB76" s="129"/>
      <c r="CC76" s="126"/>
      <c r="CD76" s="126"/>
      <c r="CE76" s="127"/>
      <c r="CF76" s="128"/>
      <c r="CG76" s="126"/>
      <c r="CH76" s="126"/>
      <c r="CI76" s="127"/>
    </row>
    <row r="77" spans="1:87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5">IF(CheckDay&gt;=Q77,1,IF(CheckDay&lt;P77, 0,DAYS360(P77,CheckDay+1)/Y77))</f>
        <v>1</v>
      </c>
      <c r="K77" s="101">
        <v>0</v>
      </c>
      <c r="L77" s="132">
        <f t="shared" ref="L77:L86" si="56">I77*J77/100</f>
        <v>0.1</v>
      </c>
      <c r="M77" s="132">
        <f t="shared" ref="M77:M86" si="57">I77*K77/100</f>
        <v>0</v>
      </c>
      <c r="N77" s="132">
        <f t="shared" si="54"/>
        <v>-0.1</v>
      </c>
      <c r="O77" s="133" t="str">
        <f t="shared" ref="O77:O86" si="58">IF(AND(K77=0%,N77=0),"",IF(N77&lt;0,"지연",IF(K77=100%,"종료","진행")))</f>
        <v>지연</v>
      </c>
      <c r="P77" s="104"/>
      <c r="Q77" s="104"/>
      <c r="R77" s="104"/>
      <c r="S77" s="104"/>
      <c r="T77" s="104"/>
      <c r="U77" s="104"/>
      <c r="V77" s="94"/>
      <c r="W77" s="94"/>
      <c r="X77" s="134" t="str">
        <f t="shared" si="53"/>
        <v/>
      </c>
      <c r="Y77" s="253">
        <f>NETWORKDAYS(P77,Q77,진행현황_전체!C$59:C$77)</f>
        <v>0</v>
      </c>
      <c r="Z77" s="258"/>
      <c r="AA77" s="135">
        <f t="shared" ref="AA77:AU86" si="59">IF(OR((AND($P77&lt;=AA$7,AND($Q77&lt;=AA$8, $Q77&gt;=AA$7))),(AND(AND($P77&gt;=AA$7, $P77&lt;=AA$8),$Q77&gt;=AA$8)), AND($P77&gt;=AA$7, $Q77&lt;=AA$8), AND($P77&lt;=AA$7,$Q77&gt;=AA$8)),1,0)</f>
        <v>0</v>
      </c>
      <c r="AB77" s="136">
        <f t="shared" si="59"/>
        <v>0</v>
      </c>
      <c r="AC77" s="136">
        <f t="shared" si="59"/>
        <v>0</v>
      </c>
      <c r="AD77" s="136">
        <f t="shared" si="59"/>
        <v>0</v>
      </c>
      <c r="AE77" s="137">
        <f t="shared" si="59"/>
        <v>0</v>
      </c>
      <c r="AF77" s="138">
        <f t="shared" si="59"/>
        <v>0</v>
      </c>
      <c r="AG77" s="136">
        <f t="shared" si="59"/>
        <v>0</v>
      </c>
      <c r="AH77" s="136">
        <f t="shared" si="59"/>
        <v>0</v>
      </c>
      <c r="AI77" s="137">
        <f t="shared" si="59"/>
        <v>0</v>
      </c>
      <c r="AJ77" s="135">
        <f t="shared" si="59"/>
        <v>0</v>
      </c>
      <c r="AK77" s="136">
        <f t="shared" si="59"/>
        <v>0</v>
      </c>
      <c r="AL77" s="136">
        <f t="shared" si="59"/>
        <v>0</v>
      </c>
      <c r="AM77" s="137">
        <f t="shared" si="59"/>
        <v>0</v>
      </c>
      <c r="AN77" s="135">
        <f t="shared" si="59"/>
        <v>0</v>
      </c>
      <c r="AO77" s="138">
        <f t="shared" si="59"/>
        <v>0</v>
      </c>
      <c r="AP77" s="136">
        <f t="shared" si="59"/>
        <v>0</v>
      </c>
      <c r="AQ77" s="136">
        <f t="shared" si="59"/>
        <v>0</v>
      </c>
      <c r="AR77" s="194">
        <f t="shared" si="59"/>
        <v>0</v>
      </c>
      <c r="AS77" s="138">
        <f t="shared" si="59"/>
        <v>0</v>
      </c>
      <c r="AT77" s="136">
        <f t="shared" si="59"/>
        <v>0</v>
      </c>
      <c r="AU77" s="136">
        <f t="shared" si="59"/>
        <v>0</v>
      </c>
      <c r="AV77" s="137">
        <f t="shared" ref="AV77:BK86" si="60">IF(OR((AND($P77&lt;=AV$7,AND($Q77&lt;=AV$8, $Q77&gt;=AV$7))),(AND(AND($P77&gt;=AV$7, $P77&lt;=AV$8),$Q77&gt;=AV$8)), AND($P77&gt;=AV$7, $Q77&lt;=AV$8), AND($P77&lt;=AV$7,$Q77&gt;=AV$8)),1,0)</f>
        <v>0</v>
      </c>
      <c r="AW77" s="135">
        <f t="shared" si="60"/>
        <v>0</v>
      </c>
      <c r="AX77" s="136">
        <f t="shared" si="60"/>
        <v>0</v>
      </c>
      <c r="AY77" s="136">
        <f t="shared" si="60"/>
        <v>0</v>
      </c>
      <c r="AZ77" s="137">
        <f t="shared" si="60"/>
        <v>0</v>
      </c>
      <c r="BA77" s="135">
        <f t="shared" si="60"/>
        <v>0</v>
      </c>
      <c r="BB77" s="136">
        <f t="shared" si="60"/>
        <v>0</v>
      </c>
      <c r="BC77" s="136">
        <f t="shared" si="60"/>
        <v>0</v>
      </c>
      <c r="BD77" s="136">
        <f t="shared" si="60"/>
        <v>0</v>
      </c>
      <c r="BE77" s="137">
        <f t="shared" si="60"/>
        <v>0</v>
      </c>
      <c r="BF77" s="138">
        <f t="shared" si="60"/>
        <v>0</v>
      </c>
      <c r="BG77" s="136">
        <f t="shared" si="60"/>
        <v>0</v>
      </c>
      <c r="BH77" s="136">
        <f t="shared" si="60"/>
        <v>0</v>
      </c>
      <c r="BI77" s="137">
        <f t="shared" si="60"/>
        <v>0</v>
      </c>
      <c r="BJ77" s="135">
        <f t="shared" si="60"/>
        <v>0</v>
      </c>
      <c r="BK77" s="136">
        <f t="shared" si="60"/>
        <v>0</v>
      </c>
      <c r="BL77" s="136">
        <f t="shared" ref="BL77:CI86" si="61">IF(OR((AND($P77&lt;=BL$7,AND($Q77&lt;=BL$8, $Q77&gt;=BL$7))),(AND(AND($P77&gt;=BL$7, $P77&lt;=BL$8),$Q77&gt;=BL$8)), AND($P77&gt;=BL$7, $Q77&lt;=BL$8), AND($P77&lt;=BL$7,$Q77&gt;=BL$8)),1,0)</f>
        <v>0</v>
      </c>
      <c r="BM77" s="137">
        <f t="shared" si="61"/>
        <v>0</v>
      </c>
      <c r="BN77" s="138">
        <f t="shared" si="61"/>
        <v>0</v>
      </c>
      <c r="BO77" s="136">
        <f t="shared" si="61"/>
        <v>0</v>
      </c>
      <c r="BP77" s="136">
        <f t="shared" si="61"/>
        <v>0</v>
      </c>
      <c r="BQ77" s="136">
        <f t="shared" si="61"/>
        <v>0</v>
      </c>
      <c r="BR77" s="137">
        <f t="shared" si="61"/>
        <v>0</v>
      </c>
      <c r="BS77" s="138">
        <f t="shared" si="61"/>
        <v>0</v>
      </c>
      <c r="BT77" s="136">
        <f t="shared" si="61"/>
        <v>0</v>
      </c>
      <c r="BU77" s="136">
        <f t="shared" si="61"/>
        <v>0</v>
      </c>
      <c r="BV77" s="137">
        <f t="shared" si="61"/>
        <v>0</v>
      </c>
      <c r="BW77" s="138">
        <f t="shared" si="61"/>
        <v>0</v>
      </c>
      <c r="BX77" s="136">
        <f t="shared" si="61"/>
        <v>0</v>
      </c>
      <c r="BY77" s="136">
        <f t="shared" si="61"/>
        <v>0</v>
      </c>
      <c r="BZ77" s="136">
        <f t="shared" si="61"/>
        <v>0</v>
      </c>
      <c r="CA77" s="137">
        <f t="shared" si="61"/>
        <v>0</v>
      </c>
      <c r="CB77" s="138">
        <f t="shared" si="61"/>
        <v>0</v>
      </c>
      <c r="CC77" s="136">
        <f t="shared" si="61"/>
        <v>0</v>
      </c>
      <c r="CD77" s="136">
        <f t="shared" si="61"/>
        <v>0</v>
      </c>
      <c r="CE77" s="137">
        <f t="shared" si="61"/>
        <v>0</v>
      </c>
      <c r="CF77" s="135">
        <f t="shared" si="61"/>
        <v>0</v>
      </c>
      <c r="CG77" s="136">
        <f t="shared" si="61"/>
        <v>0</v>
      </c>
      <c r="CH77" s="136">
        <f t="shared" si="61"/>
        <v>0</v>
      </c>
      <c r="CI77" s="137">
        <f t="shared" si="61"/>
        <v>0</v>
      </c>
    </row>
    <row r="78" spans="1:87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5"/>
        <v>1</v>
      </c>
      <c r="K78" s="101">
        <v>0</v>
      </c>
      <c r="L78" s="132">
        <f t="shared" si="56"/>
        <v>0.1</v>
      </c>
      <c r="M78" s="132">
        <f t="shared" si="57"/>
        <v>0</v>
      </c>
      <c r="N78" s="132">
        <f t="shared" si="54"/>
        <v>-0.1</v>
      </c>
      <c r="O78" s="133" t="str">
        <f t="shared" si="58"/>
        <v>지연</v>
      </c>
      <c r="P78" s="104"/>
      <c r="Q78" s="104"/>
      <c r="R78" s="104"/>
      <c r="S78" s="104"/>
      <c r="T78" s="104"/>
      <c r="U78" s="104"/>
      <c r="V78" s="94"/>
      <c r="W78" s="94"/>
      <c r="X78" s="134" t="str">
        <f t="shared" si="53"/>
        <v/>
      </c>
      <c r="Y78" s="253">
        <f>NETWORKDAYS(P78,Q78,진행현황_전체!C$59:C$77)</f>
        <v>0</v>
      </c>
      <c r="Z78" s="258"/>
      <c r="AA78" s="135">
        <f t="shared" si="59"/>
        <v>0</v>
      </c>
      <c r="AB78" s="136">
        <f t="shared" si="59"/>
        <v>0</v>
      </c>
      <c r="AC78" s="136">
        <f t="shared" si="59"/>
        <v>0</v>
      </c>
      <c r="AD78" s="136">
        <f t="shared" si="59"/>
        <v>0</v>
      </c>
      <c r="AE78" s="137">
        <f t="shared" si="59"/>
        <v>0</v>
      </c>
      <c r="AF78" s="138">
        <f t="shared" si="59"/>
        <v>0</v>
      </c>
      <c r="AG78" s="136">
        <f t="shared" si="59"/>
        <v>0</v>
      </c>
      <c r="AH78" s="136">
        <f t="shared" si="59"/>
        <v>0</v>
      </c>
      <c r="AI78" s="137">
        <f t="shared" si="59"/>
        <v>0</v>
      </c>
      <c r="AJ78" s="135">
        <f t="shared" si="59"/>
        <v>0</v>
      </c>
      <c r="AK78" s="136">
        <f t="shared" si="59"/>
        <v>0</v>
      </c>
      <c r="AL78" s="136">
        <f t="shared" si="59"/>
        <v>0</v>
      </c>
      <c r="AM78" s="137">
        <f t="shared" si="59"/>
        <v>0</v>
      </c>
      <c r="AN78" s="135">
        <f t="shared" si="59"/>
        <v>0</v>
      </c>
      <c r="AO78" s="138">
        <f t="shared" si="59"/>
        <v>0</v>
      </c>
      <c r="AP78" s="136">
        <f t="shared" si="59"/>
        <v>0</v>
      </c>
      <c r="AQ78" s="136">
        <f t="shared" si="59"/>
        <v>0</v>
      </c>
      <c r="AR78" s="194">
        <f t="shared" si="59"/>
        <v>0</v>
      </c>
      <c r="AS78" s="138">
        <f t="shared" si="59"/>
        <v>0</v>
      </c>
      <c r="AT78" s="136">
        <f t="shared" si="59"/>
        <v>0</v>
      </c>
      <c r="AU78" s="136">
        <f t="shared" si="59"/>
        <v>0</v>
      </c>
      <c r="AV78" s="137">
        <f t="shared" si="60"/>
        <v>0</v>
      </c>
      <c r="AW78" s="135">
        <f t="shared" si="60"/>
        <v>0</v>
      </c>
      <c r="AX78" s="136">
        <f t="shared" si="60"/>
        <v>0</v>
      </c>
      <c r="AY78" s="136">
        <f t="shared" si="60"/>
        <v>0</v>
      </c>
      <c r="AZ78" s="137">
        <f t="shared" si="60"/>
        <v>0</v>
      </c>
      <c r="BA78" s="135">
        <f t="shared" si="60"/>
        <v>0</v>
      </c>
      <c r="BB78" s="136">
        <f t="shared" si="60"/>
        <v>0</v>
      </c>
      <c r="BC78" s="136">
        <f t="shared" si="60"/>
        <v>0</v>
      </c>
      <c r="BD78" s="136">
        <f t="shared" si="60"/>
        <v>0</v>
      </c>
      <c r="BE78" s="137">
        <f t="shared" si="60"/>
        <v>0</v>
      </c>
      <c r="BF78" s="138">
        <f t="shared" si="60"/>
        <v>0</v>
      </c>
      <c r="BG78" s="136">
        <f t="shared" si="60"/>
        <v>0</v>
      </c>
      <c r="BH78" s="136">
        <f t="shared" si="60"/>
        <v>0</v>
      </c>
      <c r="BI78" s="137">
        <f t="shared" si="60"/>
        <v>0</v>
      </c>
      <c r="BJ78" s="135">
        <f t="shared" si="60"/>
        <v>0</v>
      </c>
      <c r="BK78" s="136">
        <f t="shared" si="60"/>
        <v>0</v>
      </c>
      <c r="BL78" s="136">
        <f t="shared" si="61"/>
        <v>0</v>
      </c>
      <c r="BM78" s="137">
        <f t="shared" si="61"/>
        <v>0</v>
      </c>
      <c r="BN78" s="138">
        <f t="shared" si="61"/>
        <v>0</v>
      </c>
      <c r="BO78" s="136">
        <f t="shared" si="61"/>
        <v>0</v>
      </c>
      <c r="BP78" s="136">
        <f t="shared" si="61"/>
        <v>0</v>
      </c>
      <c r="BQ78" s="136">
        <f t="shared" si="61"/>
        <v>0</v>
      </c>
      <c r="BR78" s="137">
        <f t="shared" si="61"/>
        <v>0</v>
      </c>
      <c r="BS78" s="138">
        <f t="shared" si="61"/>
        <v>0</v>
      </c>
      <c r="BT78" s="136">
        <f t="shared" si="61"/>
        <v>0</v>
      </c>
      <c r="BU78" s="136">
        <f t="shared" si="61"/>
        <v>0</v>
      </c>
      <c r="BV78" s="137">
        <f t="shared" si="61"/>
        <v>0</v>
      </c>
      <c r="BW78" s="138">
        <f t="shared" si="61"/>
        <v>0</v>
      </c>
      <c r="BX78" s="136">
        <f t="shared" si="61"/>
        <v>0</v>
      </c>
      <c r="BY78" s="136">
        <f t="shared" si="61"/>
        <v>0</v>
      </c>
      <c r="BZ78" s="136">
        <f t="shared" si="61"/>
        <v>0</v>
      </c>
      <c r="CA78" s="137">
        <f t="shared" si="61"/>
        <v>0</v>
      </c>
      <c r="CB78" s="138">
        <f t="shared" si="61"/>
        <v>0</v>
      </c>
      <c r="CC78" s="136">
        <f t="shared" si="61"/>
        <v>0</v>
      </c>
      <c r="CD78" s="136">
        <f t="shared" si="61"/>
        <v>0</v>
      </c>
      <c r="CE78" s="137">
        <f t="shared" si="61"/>
        <v>0</v>
      </c>
      <c r="CF78" s="135">
        <f t="shared" si="61"/>
        <v>0</v>
      </c>
      <c r="CG78" s="136">
        <f t="shared" si="61"/>
        <v>0</v>
      </c>
      <c r="CH78" s="136">
        <f t="shared" si="61"/>
        <v>0</v>
      </c>
      <c r="CI78" s="137">
        <f t="shared" si="61"/>
        <v>0</v>
      </c>
    </row>
    <row r="79" spans="1:87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5"/>
        <v>1</v>
      </c>
      <c r="K79" s="101">
        <v>0</v>
      </c>
      <c r="L79" s="132">
        <f t="shared" si="56"/>
        <v>0.1</v>
      </c>
      <c r="M79" s="132">
        <f t="shared" si="57"/>
        <v>0</v>
      </c>
      <c r="N79" s="132">
        <f t="shared" si="54"/>
        <v>-0.1</v>
      </c>
      <c r="O79" s="133" t="str">
        <f t="shared" si="58"/>
        <v>지연</v>
      </c>
      <c r="P79" s="104"/>
      <c r="Q79" s="104"/>
      <c r="R79" s="104"/>
      <c r="S79" s="104"/>
      <c r="T79" s="104"/>
      <c r="U79" s="104"/>
      <c r="V79" s="94"/>
      <c r="W79" s="94"/>
      <c r="X79" s="134" t="str">
        <f t="shared" si="53"/>
        <v/>
      </c>
      <c r="Y79" s="253">
        <f>NETWORKDAYS(P79,Q79,진행현황_전체!C$59:C$77)</f>
        <v>0</v>
      </c>
      <c r="Z79" s="258"/>
      <c r="AA79" s="135">
        <f t="shared" si="59"/>
        <v>0</v>
      </c>
      <c r="AB79" s="136">
        <f t="shared" si="59"/>
        <v>0</v>
      </c>
      <c r="AC79" s="136">
        <f t="shared" si="59"/>
        <v>0</v>
      </c>
      <c r="AD79" s="136">
        <f t="shared" si="59"/>
        <v>0</v>
      </c>
      <c r="AE79" s="137">
        <f t="shared" si="59"/>
        <v>0</v>
      </c>
      <c r="AF79" s="138">
        <f t="shared" si="59"/>
        <v>0</v>
      </c>
      <c r="AG79" s="136">
        <f t="shared" si="59"/>
        <v>0</v>
      </c>
      <c r="AH79" s="136">
        <f t="shared" si="59"/>
        <v>0</v>
      </c>
      <c r="AI79" s="137">
        <f t="shared" si="59"/>
        <v>0</v>
      </c>
      <c r="AJ79" s="135">
        <f t="shared" si="59"/>
        <v>0</v>
      </c>
      <c r="AK79" s="136">
        <f t="shared" si="59"/>
        <v>0</v>
      </c>
      <c r="AL79" s="136">
        <f t="shared" si="59"/>
        <v>0</v>
      </c>
      <c r="AM79" s="137">
        <f t="shared" si="59"/>
        <v>0</v>
      </c>
      <c r="AN79" s="135">
        <f t="shared" si="59"/>
        <v>0</v>
      </c>
      <c r="AO79" s="138">
        <f t="shared" si="59"/>
        <v>0</v>
      </c>
      <c r="AP79" s="136">
        <f t="shared" si="59"/>
        <v>0</v>
      </c>
      <c r="AQ79" s="136">
        <f t="shared" si="59"/>
        <v>0</v>
      </c>
      <c r="AR79" s="194">
        <f t="shared" si="59"/>
        <v>0</v>
      </c>
      <c r="AS79" s="138">
        <f t="shared" si="59"/>
        <v>0</v>
      </c>
      <c r="AT79" s="136">
        <f t="shared" si="59"/>
        <v>0</v>
      </c>
      <c r="AU79" s="136">
        <f t="shared" si="59"/>
        <v>0</v>
      </c>
      <c r="AV79" s="137">
        <f t="shared" si="60"/>
        <v>0</v>
      </c>
      <c r="AW79" s="135">
        <f t="shared" si="60"/>
        <v>0</v>
      </c>
      <c r="AX79" s="136">
        <f t="shared" si="60"/>
        <v>0</v>
      </c>
      <c r="AY79" s="136">
        <f t="shared" si="60"/>
        <v>0</v>
      </c>
      <c r="AZ79" s="137">
        <f t="shared" si="60"/>
        <v>0</v>
      </c>
      <c r="BA79" s="135">
        <f t="shared" si="60"/>
        <v>0</v>
      </c>
      <c r="BB79" s="136">
        <f t="shared" si="60"/>
        <v>0</v>
      </c>
      <c r="BC79" s="136">
        <f t="shared" si="60"/>
        <v>0</v>
      </c>
      <c r="BD79" s="136">
        <f t="shared" si="60"/>
        <v>0</v>
      </c>
      <c r="BE79" s="137">
        <f t="shared" si="60"/>
        <v>0</v>
      </c>
      <c r="BF79" s="138">
        <f t="shared" si="60"/>
        <v>0</v>
      </c>
      <c r="BG79" s="136">
        <f t="shared" si="60"/>
        <v>0</v>
      </c>
      <c r="BH79" s="136">
        <f t="shared" si="60"/>
        <v>0</v>
      </c>
      <c r="BI79" s="137">
        <f t="shared" si="60"/>
        <v>0</v>
      </c>
      <c r="BJ79" s="135">
        <f t="shared" si="60"/>
        <v>0</v>
      </c>
      <c r="BK79" s="136">
        <f t="shared" si="60"/>
        <v>0</v>
      </c>
      <c r="BL79" s="136">
        <f t="shared" si="61"/>
        <v>0</v>
      </c>
      <c r="BM79" s="137">
        <f t="shared" si="61"/>
        <v>0</v>
      </c>
      <c r="BN79" s="138">
        <f t="shared" si="61"/>
        <v>0</v>
      </c>
      <c r="BO79" s="136">
        <f t="shared" si="61"/>
        <v>0</v>
      </c>
      <c r="BP79" s="136">
        <f t="shared" si="61"/>
        <v>0</v>
      </c>
      <c r="BQ79" s="136">
        <f t="shared" si="61"/>
        <v>0</v>
      </c>
      <c r="BR79" s="137">
        <f t="shared" si="61"/>
        <v>0</v>
      </c>
      <c r="BS79" s="138">
        <f t="shared" si="61"/>
        <v>0</v>
      </c>
      <c r="BT79" s="136">
        <f t="shared" si="61"/>
        <v>0</v>
      </c>
      <c r="BU79" s="136">
        <f t="shared" si="61"/>
        <v>0</v>
      </c>
      <c r="BV79" s="137">
        <f t="shared" si="61"/>
        <v>0</v>
      </c>
      <c r="BW79" s="138">
        <f t="shared" si="61"/>
        <v>0</v>
      </c>
      <c r="BX79" s="136">
        <f t="shared" si="61"/>
        <v>0</v>
      </c>
      <c r="BY79" s="136">
        <f t="shared" si="61"/>
        <v>0</v>
      </c>
      <c r="BZ79" s="136">
        <f t="shared" si="61"/>
        <v>0</v>
      </c>
      <c r="CA79" s="137">
        <f t="shared" si="61"/>
        <v>0</v>
      </c>
      <c r="CB79" s="138">
        <f t="shared" si="61"/>
        <v>0</v>
      </c>
      <c r="CC79" s="136">
        <f t="shared" si="61"/>
        <v>0</v>
      </c>
      <c r="CD79" s="136">
        <f t="shared" si="61"/>
        <v>0</v>
      </c>
      <c r="CE79" s="137">
        <f t="shared" si="61"/>
        <v>0</v>
      </c>
      <c r="CF79" s="135">
        <f t="shared" si="61"/>
        <v>0</v>
      </c>
      <c r="CG79" s="136">
        <f t="shared" si="61"/>
        <v>0</v>
      </c>
      <c r="CH79" s="136">
        <f t="shared" si="61"/>
        <v>0</v>
      </c>
      <c r="CI79" s="137">
        <f t="shared" si="61"/>
        <v>0</v>
      </c>
    </row>
    <row r="80" spans="1:87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5"/>
        <v>1</v>
      </c>
      <c r="K80" s="101">
        <v>0</v>
      </c>
      <c r="L80" s="132">
        <f t="shared" si="56"/>
        <v>0.1</v>
      </c>
      <c r="M80" s="132">
        <f t="shared" si="57"/>
        <v>0</v>
      </c>
      <c r="N80" s="132">
        <f t="shared" si="54"/>
        <v>-0.1</v>
      </c>
      <c r="O80" s="133" t="str">
        <f t="shared" si="58"/>
        <v>지연</v>
      </c>
      <c r="P80" s="104"/>
      <c r="Q80" s="104"/>
      <c r="R80" s="104"/>
      <c r="S80" s="104"/>
      <c r="T80" s="104"/>
      <c r="U80" s="104"/>
      <c r="V80" s="94"/>
      <c r="W80" s="94"/>
      <c r="X80" s="134" t="str">
        <f t="shared" si="53"/>
        <v/>
      </c>
      <c r="Y80" s="253">
        <f>NETWORKDAYS(P80,Q80,진행현황_전체!C$59:C$77)</f>
        <v>0</v>
      </c>
      <c r="Z80" s="258"/>
      <c r="AA80" s="135">
        <f t="shared" si="59"/>
        <v>0</v>
      </c>
      <c r="AB80" s="136">
        <f t="shared" si="59"/>
        <v>0</v>
      </c>
      <c r="AC80" s="136">
        <f t="shared" si="59"/>
        <v>0</v>
      </c>
      <c r="AD80" s="136">
        <f t="shared" si="59"/>
        <v>0</v>
      </c>
      <c r="AE80" s="137">
        <f t="shared" si="59"/>
        <v>0</v>
      </c>
      <c r="AF80" s="138">
        <f t="shared" si="59"/>
        <v>0</v>
      </c>
      <c r="AG80" s="136">
        <f t="shared" si="59"/>
        <v>0</v>
      </c>
      <c r="AH80" s="136">
        <f t="shared" si="59"/>
        <v>0</v>
      </c>
      <c r="AI80" s="137">
        <f t="shared" si="59"/>
        <v>0</v>
      </c>
      <c r="AJ80" s="135">
        <f t="shared" si="59"/>
        <v>0</v>
      </c>
      <c r="AK80" s="136">
        <f t="shared" si="59"/>
        <v>0</v>
      </c>
      <c r="AL80" s="136">
        <f t="shared" si="59"/>
        <v>0</v>
      </c>
      <c r="AM80" s="137">
        <f t="shared" si="59"/>
        <v>0</v>
      </c>
      <c r="AN80" s="135">
        <f t="shared" si="59"/>
        <v>0</v>
      </c>
      <c r="AO80" s="138">
        <f t="shared" si="59"/>
        <v>0</v>
      </c>
      <c r="AP80" s="136">
        <f t="shared" si="59"/>
        <v>0</v>
      </c>
      <c r="AQ80" s="136">
        <f t="shared" si="59"/>
        <v>0</v>
      </c>
      <c r="AR80" s="194">
        <f t="shared" si="59"/>
        <v>0</v>
      </c>
      <c r="AS80" s="138">
        <f t="shared" si="59"/>
        <v>0</v>
      </c>
      <c r="AT80" s="136">
        <f t="shared" si="59"/>
        <v>0</v>
      </c>
      <c r="AU80" s="136">
        <f t="shared" si="59"/>
        <v>0</v>
      </c>
      <c r="AV80" s="137">
        <f t="shared" si="60"/>
        <v>0</v>
      </c>
      <c r="AW80" s="135">
        <f t="shared" si="60"/>
        <v>0</v>
      </c>
      <c r="AX80" s="136">
        <f t="shared" si="60"/>
        <v>0</v>
      </c>
      <c r="AY80" s="136">
        <f t="shared" si="60"/>
        <v>0</v>
      </c>
      <c r="AZ80" s="137">
        <f t="shared" si="60"/>
        <v>0</v>
      </c>
      <c r="BA80" s="135">
        <f t="shared" si="60"/>
        <v>0</v>
      </c>
      <c r="BB80" s="136">
        <f t="shared" si="60"/>
        <v>0</v>
      </c>
      <c r="BC80" s="136">
        <f t="shared" si="60"/>
        <v>0</v>
      </c>
      <c r="BD80" s="136">
        <f t="shared" si="60"/>
        <v>0</v>
      </c>
      <c r="BE80" s="137">
        <f t="shared" si="60"/>
        <v>0</v>
      </c>
      <c r="BF80" s="138">
        <f t="shared" si="60"/>
        <v>0</v>
      </c>
      <c r="BG80" s="136">
        <f t="shared" si="60"/>
        <v>0</v>
      </c>
      <c r="BH80" s="136">
        <f t="shared" si="60"/>
        <v>0</v>
      </c>
      <c r="BI80" s="137">
        <f t="shared" si="60"/>
        <v>0</v>
      </c>
      <c r="BJ80" s="135">
        <f t="shared" si="60"/>
        <v>0</v>
      </c>
      <c r="BK80" s="136">
        <f t="shared" si="60"/>
        <v>0</v>
      </c>
      <c r="BL80" s="136">
        <f t="shared" si="61"/>
        <v>0</v>
      </c>
      <c r="BM80" s="137">
        <f t="shared" si="61"/>
        <v>0</v>
      </c>
      <c r="BN80" s="138">
        <f t="shared" si="61"/>
        <v>0</v>
      </c>
      <c r="BO80" s="136">
        <f t="shared" si="61"/>
        <v>0</v>
      </c>
      <c r="BP80" s="136">
        <f t="shared" si="61"/>
        <v>0</v>
      </c>
      <c r="BQ80" s="136">
        <f t="shared" si="61"/>
        <v>0</v>
      </c>
      <c r="BR80" s="137">
        <f t="shared" si="61"/>
        <v>0</v>
      </c>
      <c r="BS80" s="138">
        <f t="shared" si="61"/>
        <v>0</v>
      </c>
      <c r="BT80" s="136">
        <f t="shared" si="61"/>
        <v>0</v>
      </c>
      <c r="BU80" s="136">
        <f t="shared" si="61"/>
        <v>0</v>
      </c>
      <c r="BV80" s="137">
        <f t="shared" si="61"/>
        <v>0</v>
      </c>
      <c r="BW80" s="138">
        <f t="shared" si="61"/>
        <v>0</v>
      </c>
      <c r="BX80" s="136">
        <f t="shared" si="61"/>
        <v>0</v>
      </c>
      <c r="BY80" s="136">
        <f t="shared" si="61"/>
        <v>0</v>
      </c>
      <c r="BZ80" s="136">
        <f t="shared" si="61"/>
        <v>0</v>
      </c>
      <c r="CA80" s="137">
        <f t="shared" si="61"/>
        <v>0</v>
      </c>
      <c r="CB80" s="138">
        <f t="shared" si="61"/>
        <v>0</v>
      </c>
      <c r="CC80" s="136">
        <f t="shared" si="61"/>
        <v>0</v>
      </c>
      <c r="CD80" s="136">
        <f t="shared" si="61"/>
        <v>0</v>
      </c>
      <c r="CE80" s="137">
        <f t="shared" si="61"/>
        <v>0</v>
      </c>
      <c r="CF80" s="135">
        <f t="shared" si="61"/>
        <v>0</v>
      </c>
      <c r="CG80" s="136">
        <f t="shared" si="61"/>
        <v>0</v>
      </c>
      <c r="CH80" s="136">
        <f t="shared" si="61"/>
        <v>0</v>
      </c>
      <c r="CI80" s="137">
        <f t="shared" si="61"/>
        <v>0</v>
      </c>
    </row>
    <row r="81" spans="1:87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5"/>
        <v>1</v>
      </c>
      <c r="K81" s="101">
        <v>0</v>
      </c>
      <c r="L81" s="132">
        <f t="shared" si="56"/>
        <v>0.1</v>
      </c>
      <c r="M81" s="132">
        <f t="shared" si="57"/>
        <v>0</v>
      </c>
      <c r="N81" s="132">
        <f t="shared" si="54"/>
        <v>-0.1</v>
      </c>
      <c r="O81" s="133" t="str">
        <f t="shared" si="58"/>
        <v>지연</v>
      </c>
      <c r="P81" s="104"/>
      <c r="Q81" s="104"/>
      <c r="R81" s="104"/>
      <c r="S81" s="104"/>
      <c r="T81" s="104"/>
      <c r="U81" s="104"/>
      <c r="V81" s="94"/>
      <c r="W81" s="94"/>
      <c r="X81" s="134" t="str">
        <f t="shared" si="53"/>
        <v/>
      </c>
      <c r="Y81" s="253">
        <f>NETWORKDAYS(P81,Q81,진행현황_전체!C$59:C$77)</f>
        <v>0</v>
      </c>
      <c r="Z81" s="258"/>
      <c r="AA81" s="135">
        <f t="shared" si="59"/>
        <v>0</v>
      </c>
      <c r="AB81" s="136">
        <f t="shared" si="59"/>
        <v>0</v>
      </c>
      <c r="AC81" s="136">
        <f t="shared" si="59"/>
        <v>0</v>
      </c>
      <c r="AD81" s="136">
        <f t="shared" si="59"/>
        <v>0</v>
      </c>
      <c r="AE81" s="137">
        <f t="shared" si="59"/>
        <v>0</v>
      </c>
      <c r="AF81" s="138">
        <f t="shared" si="59"/>
        <v>0</v>
      </c>
      <c r="AG81" s="136">
        <f t="shared" si="59"/>
        <v>0</v>
      </c>
      <c r="AH81" s="136">
        <f t="shared" si="59"/>
        <v>0</v>
      </c>
      <c r="AI81" s="137">
        <f t="shared" si="59"/>
        <v>0</v>
      </c>
      <c r="AJ81" s="135">
        <f t="shared" si="59"/>
        <v>0</v>
      </c>
      <c r="AK81" s="136">
        <f t="shared" si="59"/>
        <v>0</v>
      </c>
      <c r="AL81" s="136">
        <f t="shared" si="59"/>
        <v>0</v>
      </c>
      <c r="AM81" s="137">
        <f t="shared" si="59"/>
        <v>0</v>
      </c>
      <c r="AN81" s="135">
        <f t="shared" si="59"/>
        <v>0</v>
      </c>
      <c r="AO81" s="138">
        <f t="shared" si="59"/>
        <v>0</v>
      </c>
      <c r="AP81" s="136">
        <f t="shared" si="59"/>
        <v>0</v>
      </c>
      <c r="AQ81" s="136">
        <f t="shared" si="59"/>
        <v>0</v>
      </c>
      <c r="AR81" s="194">
        <f t="shared" si="59"/>
        <v>0</v>
      </c>
      <c r="AS81" s="138">
        <f t="shared" si="59"/>
        <v>0</v>
      </c>
      <c r="AT81" s="136">
        <f t="shared" si="59"/>
        <v>0</v>
      </c>
      <c r="AU81" s="136">
        <f t="shared" si="59"/>
        <v>0</v>
      </c>
      <c r="AV81" s="137">
        <f t="shared" si="60"/>
        <v>0</v>
      </c>
      <c r="AW81" s="135">
        <f t="shared" si="60"/>
        <v>0</v>
      </c>
      <c r="AX81" s="136">
        <f t="shared" si="60"/>
        <v>0</v>
      </c>
      <c r="AY81" s="136">
        <f t="shared" si="60"/>
        <v>0</v>
      </c>
      <c r="AZ81" s="137">
        <f t="shared" si="60"/>
        <v>0</v>
      </c>
      <c r="BA81" s="135">
        <f t="shared" si="60"/>
        <v>0</v>
      </c>
      <c r="BB81" s="136">
        <f t="shared" si="60"/>
        <v>0</v>
      </c>
      <c r="BC81" s="136">
        <f t="shared" si="60"/>
        <v>0</v>
      </c>
      <c r="BD81" s="136">
        <f t="shared" si="60"/>
        <v>0</v>
      </c>
      <c r="BE81" s="137">
        <f t="shared" si="60"/>
        <v>0</v>
      </c>
      <c r="BF81" s="138">
        <f t="shared" si="60"/>
        <v>0</v>
      </c>
      <c r="BG81" s="136">
        <f t="shared" si="60"/>
        <v>0</v>
      </c>
      <c r="BH81" s="136">
        <f t="shared" si="60"/>
        <v>0</v>
      </c>
      <c r="BI81" s="137">
        <f t="shared" si="60"/>
        <v>0</v>
      </c>
      <c r="BJ81" s="135">
        <f t="shared" si="60"/>
        <v>0</v>
      </c>
      <c r="BK81" s="136">
        <f t="shared" si="60"/>
        <v>0</v>
      </c>
      <c r="BL81" s="136">
        <f t="shared" si="61"/>
        <v>0</v>
      </c>
      <c r="BM81" s="137">
        <f t="shared" si="61"/>
        <v>0</v>
      </c>
      <c r="BN81" s="138">
        <f t="shared" si="61"/>
        <v>0</v>
      </c>
      <c r="BO81" s="136">
        <f t="shared" si="61"/>
        <v>0</v>
      </c>
      <c r="BP81" s="136">
        <f t="shared" si="61"/>
        <v>0</v>
      </c>
      <c r="BQ81" s="136">
        <f t="shared" si="61"/>
        <v>0</v>
      </c>
      <c r="BR81" s="137">
        <f t="shared" si="61"/>
        <v>0</v>
      </c>
      <c r="BS81" s="138">
        <f t="shared" si="61"/>
        <v>0</v>
      </c>
      <c r="BT81" s="136">
        <f t="shared" si="61"/>
        <v>0</v>
      </c>
      <c r="BU81" s="136">
        <f t="shared" si="61"/>
        <v>0</v>
      </c>
      <c r="BV81" s="137">
        <f t="shared" si="61"/>
        <v>0</v>
      </c>
      <c r="BW81" s="138">
        <f t="shared" si="61"/>
        <v>0</v>
      </c>
      <c r="BX81" s="136">
        <f t="shared" si="61"/>
        <v>0</v>
      </c>
      <c r="BY81" s="136">
        <f t="shared" si="61"/>
        <v>0</v>
      </c>
      <c r="BZ81" s="136">
        <f t="shared" si="61"/>
        <v>0</v>
      </c>
      <c r="CA81" s="137">
        <f t="shared" si="61"/>
        <v>0</v>
      </c>
      <c r="CB81" s="138">
        <f t="shared" si="61"/>
        <v>0</v>
      </c>
      <c r="CC81" s="136">
        <f t="shared" si="61"/>
        <v>0</v>
      </c>
      <c r="CD81" s="136">
        <f t="shared" si="61"/>
        <v>0</v>
      </c>
      <c r="CE81" s="137">
        <f t="shared" si="61"/>
        <v>0</v>
      </c>
      <c r="CF81" s="135">
        <f t="shared" si="61"/>
        <v>0</v>
      </c>
      <c r="CG81" s="136">
        <f t="shared" si="61"/>
        <v>0</v>
      </c>
      <c r="CH81" s="136">
        <f t="shared" si="61"/>
        <v>0</v>
      </c>
      <c r="CI81" s="137">
        <f t="shared" si="61"/>
        <v>0</v>
      </c>
    </row>
    <row r="82" spans="1:87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5"/>
        <v>1</v>
      </c>
      <c r="K82" s="101">
        <v>0</v>
      </c>
      <c r="L82" s="132">
        <f t="shared" si="56"/>
        <v>0.1</v>
      </c>
      <c r="M82" s="132">
        <f t="shared" si="57"/>
        <v>0</v>
      </c>
      <c r="N82" s="132">
        <f t="shared" si="54"/>
        <v>-0.1</v>
      </c>
      <c r="O82" s="133" t="str">
        <f t="shared" si="58"/>
        <v>지연</v>
      </c>
      <c r="P82" s="104"/>
      <c r="Q82" s="104"/>
      <c r="R82" s="104"/>
      <c r="S82" s="104"/>
      <c r="T82" s="104"/>
      <c r="U82" s="104"/>
      <c r="V82" s="94"/>
      <c r="W82" s="94"/>
      <c r="X82" s="134" t="str">
        <f t="shared" si="53"/>
        <v/>
      </c>
      <c r="Y82" s="253">
        <f>NETWORKDAYS(P82,Q82,진행현황_전체!C$59:C$77)</f>
        <v>0</v>
      </c>
      <c r="Z82" s="258"/>
      <c r="AA82" s="135">
        <f t="shared" si="59"/>
        <v>0</v>
      </c>
      <c r="AB82" s="136">
        <f t="shared" si="59"/>
        <v>0</v>
      </c>
      <c r="AC82" s="136">
        <f t="shared" si="59"/>
        <v>0</v>
      </c>
      <c r="AD82" s="136">
        <f t="shared" si="59"/>
        <v>0</v>
      </c>
      <c r="AE82" s="137">
        <f t="shared" si="59"/>
        <v>0</v>
      </c>
      <c r="AF82" s="138">
        <f t="shared" si="59"/>
        <v>0</v>
      </c>
      <c r="AG82" s="136">
        <f t="shared" si="59"/>
        <v>0</v>
      </c>
      <c r="AH82" s="136">
        <f t="shared" si="59"/>
        <v>0</v>
      </c>
      <c r="AI82" s="137">
        <f t="shared" si="59"/>
        <v>0</v>
      </c>
      <c r="AJ82" s="135">
        <f t="shared" si="59"/>
        <v>0</v>
      </c>
      <c r="AK82" s="136">
        <f t="shared" si="59"/>
        <v>0</v>
      </c>
      <c r="AL82" s="136">
        <f t="shared" si="59"/>
        <v>0</v>
      </c>
      <c r="AM82" s="137">
        <f t="shared" si="59"/>
        <v>0</v>
      </c>
      <c r="AN82" s="135">
        <f t="shared" si="59"/>
        <v>0</v>
      </c>
      <c r="AO82" s="138">
        <f t="shared" si="59"/>
        <v>0</v>
      </c>
      <c r="AP82" s="136">
        <f t="shared" si="59"/>
        <v>0</v>
      </c>
      <c r="AQ82" s="136">
        <f t="shared" si="59"/>
        <v>0</v>
      </c>
      <c r="AR82" s="194">
        <f t="shared" si="59"/>
        <v>0</v>
      </c>
      <c r="AS82" s="138">
        <f t="shared" si="59"/>
        <v>0</v>
      </c>
      <c r="AT82" s="136">
        <f t="shared" si="59"/>
        <v>0</v>
      </c>
      <c r="AU82" s="136">
        <f t="shared" si="59"/>
        <v>0</v>
      </c>
      <c r="AV82" s="137">
        <f t="shared" si="60"/>
        <v>0</v>
      </c>
      <c r="AW82" s="135">
        <f t="shared" si="60"/>
        <v>0</v>
      </c>
      <c r="AX82" s="136">
        <f t="shared" si="60"/>
        <v>0</v>
      </c>
      <c r="AY82" s="136">
        <f t="shared" si="60"/>
        <v>0</v>
      </c>
      <c r="AZ82" s="137">
        <f t="shared" si="60"/>
        <v>0</v>
      </c>
      <c r="BA82" s="135">
        <f t="shared" si="60"/>
        <v>0</v>
      </c>
      <c r="BB82" s="136">
        <f t="shared" si="60"/>
        <v>0</v>
      </c>
      <c r="BC82" s="136">
        <f t="shared" si="60"/>
        <v>0</v>
      </c>
      <c r="BD82" s="136">
        <f t="shared" si="60"/>
        <v>0</v>
      </c>
      <c r="BE82" s="137">
        <f t="shared" si="60"/>
        <v>0</v>
      </c>
      <c r="BF82" s="138">
        <f t="shared" si="60"/>
        <v>0</v>
      </c>
      <c r="BG82" s="136">
        <f t="shared" si="60"/>
        <v>0</v>
      </c>
      <c r="BH82" s="136">
        <f t="shared" si="60"/>
        <v>0</v>
      </c>
      <c r="BI82" s="137">
        <f t="shared" si="60"/>
        <v>0</v>
      </c>
      <c r="BJ82" s="135">
        <f t="shared" si="60"/>
        <v>0</v>
      </c>
      <c r="BK82" s="136">
        <f t="shared" si="60"/>
        <v>0</v>
      </c>
      <c r="BL82" s="136">
        <f t="shared" si="61"/>
        <v>0</v>
      </c>
      <c r="BM82" s="137">
        <f t="shared" si="61"/>
        <v>0</v>
      </c>
      <c r="BN82" s="138">
        <f t="shared" si="61"/>
        <v>0</v>
      </c>
      <c r="BO82" s="136">
        <f t="shared" si="61"/>
        <v>0</v>
      </c>
      <c r="BP82" s="136">
        <f t="shared" si="61"/>
        <v>0</v>
      </c>
      <c r="BQ82" s="136">
        <f t="shared" si="61"/>
        <v>0</v>
      </c>
      <c r="BR82" s="137">
        <f t="shared" si="61"/>
        <v>0</v>
      </c>
      <c r="BS82" s="138">
        <f t="shared" si="61"/>
        <v>0</v>
      </c>
      <c r="BT82" s="136">
        <f t="shared" si="61"/>
        <v>0</v>
      </c>
      <c r="BU82" s="136">
        <f t="shared" si="61"/>
        <v>0</v>
      </c>
      <c r="BV82" s="137">
        <f t="shared" si="61"/>
        <v>0</v>
      </c>
      <c r="BW82" s="138">
        <f t="shared" si="61"/>
        <v>0</v>
      </c>
      <c r="BX82" s="136">
        <f t="shared" si="61"/>
        <v>0</v>
      </c>
      <c r="BY82" s="136">
        <f t="shared" si="61"/>
        <v>0</v>
      </c>
      <c r="BZ82" s="136">
        <f t="shared" si="61"/>
        <v>0</v>
      </c>
      <c r="CA82" s="137">
        <f t="shared" si="61"/>
        <v>0</v>
      </c>
      <c r="CB82" s="138">
        <f t="shared" si="61"/>
        <v>0</v>
      </c>
      <c r="CC82" s="136">
        <f t="shared" si="61"/>
        <v>0</v>
      </c>
      <c r="CD82" s="136">
        <f t="shared" si="61"/>
        <v>0</v>
      </c>
      <c r="CE82" s="137">
        <f t="shared" si="61"/>
        <v>0</v>
      </c>
      <c r="CF82" s="135">
        <f t="shared" si="61"/>
        <v>0</v>
      </c>
      <c r="CG82" s="136">
        <f t="shared" si="61"/>
        <v>0</v>
      </c>
      <c r="CH82" s="136">
        <f t="shared" si="61"/>
        <v>0</v>
      </c>
      <c r="CI82" s="137">
        <f t="shared" si="61"/>
        <v>0</v>
      </c>
    </row>
    <row r="83" spans="1:87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5"/>
        <v>1</v>
      </c>
      <c r="K83" s="101">
        <v>0</v>
      </c>
      <c r="L83" s="132">
        <f t="shared" si="56"/>
        <v>0.1</v>
      </c>
      <c r="M83" s="132">
        <f t="shared" si="57"/>
        <v>0</v>
      </c>
      <c r="N83" s="132">
        <f t="shared" si="54"/>
        <v>-0.1</v>
      </c>
      <c r="O83" s="133" t="str">
        <f t="shared" si="58"/>
        <v>지연</v>
      </c>
      <c r="P83" s="104"/>
      <c r="Q83" s="104"/>
      <c r="R83" s="104"/>
      <c r="S83" s="104"/>
      <c r="T83" s="104"/>
      <c r="U83" s="104"/>
      <c r="V83" s="94"/>
      <c r="W83" s="94"/>
      <c r="X83" s="134" t="str">
        <f t="shared" si="53"/>
        <v/>
      </c>
      <c r="Y83" s="253">
        <f>NETWORKDAYS(P83,Q83,진행현황_전체!C$59:C$77)</f>
        <v>0</v>
      </c>
      <c r="Z83" s="258"/>
      <c r="AA83" s="135">
        <f t="shared" si="59"/>
        <v>0</v>
      </c>
      <c r="AB83" s="136">
        <f t="shared" si="59"/>
        <v>0</v>
      </c>
      <c r="AC83" s="136">
        <f t="shared" si="59"/>
        <v>0</v>
      </c>
      <c r="AD83" s="136">
        <f t="shared" si="59"/>
        <v>0</v>
      </c>
      <c r="AE83" s="137">
        <f t="shared" si="59"/>
        <v>0</v>
      </c>
      <c r="AF83" s="138">
        <f t="shared" si="59"/>
        <v>0</v>
      </c>
      <c r="AG83" s="136">
        <f t="shared" si="59"/>
        <v>0</v>
      </c>
      <c r="AH83" s="136">
        <f t="shared" si="59"/>
        <v>0</v>
      </c>
      <c r="AI83" s="137">
        <f t="shared" si="59"/>
        <v>0</v>
      </c>
      <c r="AJ83" s="135">
        <f t="shared" si="59"/>
        <v>0</v>
      </c>
      <c r="AK83" s="136">
        <f t="shared" si="59"/>
        <v>0</v>
      </c>
      <c r="AL83" s="136">
        <f t="shared" si="59"/>
        <v>0</v>
      </c>
      <c r="AM83" s="137">
        <f t="shared" si="59"/>
        <v>0</v>
      </c>
      <c r="AN83" s="135">
        <f t="shared" si="59"/>
        <v>0</v>
      </c>
      <c r="AO83" s="138">
        <f t="shared" si="59"/>
        <v>0</v>
      </c>
      <c r="AP83" s="136">
        <f t="shared" si="59"/>
        <v>0</v>
      </c>
      <c r="AQ83" s="136">
        <f t="shared" si="59"/>
        <v>0</v>
      </c>
      <c r="AR83" s="194">
        <f t="shared" si="59"/>
        <v>0</v>
      </c>
      <c r="AS83" s="138">
        <f t="shared" si="59"/>
        <v>0</v>
      </c>
      <c r="AT83" s="136">
        <f t="shared" si="59"/>
        <v>0</v>
      </c>
      <c r="AU83" s="136">
        <f t="shared" si="59"/>
        <v>0</v>
      </c>
      <c r="AV83" s="137">
        <f t="shared" si="60"/>
        <v>0</v>
      </c>
      <c r="AW83" s="135">
        <f t="shared" si="60"/>
        <v>0</v>
      </c>
      <c r="AX83" s="136">
        <f t="shared" si="60"/>
        <v>0</v>
      </c>
      <c r="AY83" s="136">
        <f t="shared" si="60"/>
        <v>0</v>
      </c>
      <c r="AZ83" s="137">
        <f t="shared" si="60"/>
        <v>0</v>
      </c>
      <c r="BA83" s="135">
        <f t="shared" si="60"/>
        <v>0</v>
      </c>
      <c r="BB83" s="136">
        <f t="shared" si="60"/>
        <v>0</v>
      </c>
      <c r="BC83" s="136">
        <f t="shared" si="60"/>
        <v>0</v>
      </c>
      <c r="BD83" s="136">
        <f t="shared" si="60"/>
        <v>0</v>
      </c>
      <c r="BE83" s="137">
        <f t="shared" si="60"/>
        <v>0</v>
      </c>
      <c r="BF83" s="138">
        <f t="shared" si="60"/>
        <v>0</v>
      </c>
      <c r="BG83" s="136">
        <f t="shared" si="60"/>
        <v>0</v>
      </c>
      <c r="BH83" s="136">
        <f t="shared" si="60"/>
        <v>0</v>
      </c>
      <c r="BI83" s="137">
        <f t="shared" si="60"/>
        <v>0</v>
      </c>
      <c r="BJ83" s="135">
        <f t="shared" si="60"/>
        <v>0</v>
      </c>
      <c r="BK83" s="136">
        <f t="shared" si="60"/>
        <v>0</v>
      </c>
      <c r="BL83" s="136">
        <f t="shared" si="61"/>
        <v>0</v>
      </c>
      <c r="BM83" s="137">
        <f t="shared" si="61"/>
        <v>0</v>
      </c>
      <c r="BN83" s="138">
        <f t="shared" si="61"/>
        <v>0</v>
      </c>
      <c r="BO83" s="136">
        <f t="shared" si="61"/>
        <v>0</v>
      </c>
      <c r="BP83" s="136">
        <f t="shared" si="61"/>
        <v>0</v>
      </c>
      <c r="BQ83" s="136">
        <f t="shared" si="61"/>
        <v>0</v>
      </c>
      <c r="BR83" s="137">
        <f t="shared" si="61"/>
        <v>0</v>
      </c>
      <c r="BS83" s="138">
        <f t="shared" si="61"/>
        <v>0</v>
      </c>
      <c r="BT83" s="136">
        <f t="shared" si="61"/>
        <v>0</v>
      </c>
      <c r="BU83" s="136">
        <f t="shared" si="61"/>
        <v>0</v>
      </c>
      <c r="BV83" s="137">
        <f t="shared" si="61"/>
        <v>0</v>
      </c>
      <c r="BW83" s="138">
        <f t="shared" si="61"/>
        <v>0</v>
      </c>
      <c r="BX83" s="136">
        <f t="shared" si="61"/>
        <v>0</v>
      </c>
      <c r="BY83" s="136">
        <f t="shared" si="61"/>
        <v>0</v>
      </c>
      <c r="BZ83" s="136">
        <f t="shared" si="61"/>
        <v>0</v>
      </c>
      <c r="CA83" s="137">
        <f t="shared" si="61"/>
        <v>0</v>
      </c>
      <c r="CB83" s="138">
        <f t="shared" si="61"/>
        <v>0</v>
      </c>
      <c r="CC83" s="136">
        <f t="shared" si="61"/>
        <v>0</v>
      </c>
      <c r="CD83" s="136">
        <f t="shared" si="61"/>
        <v>0</v>
      </c>
      <c r="CE83" s="137">
        <f t="shared" si="61"/>
        <v>0</v>
      </c>
      <c r="CF83" s="135">
        <f t="shared" si="61"/>
        <v>0</v>
      </c>
      <c r="CG83" s="136">
        <f t="shared" si="61"/>
        <v>0</v>
      </c>
      <c r="CH83" s="136">
        <f t="shared" si="61"/>
        <v>0</v>
      </c>
      <c r="CI83" s="137">
        <f t="shared" si="61"/>
        <v>0</v>
      </c>
    </row>
    <row r="84" spans="1:87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5"/>
        <v>1</v>
      </c>
      <c r="K84" s="101">
        <v>0</v>
      </c>
      <c r="L84" s="132">
        <f t="shared" si="56"/>
        <v>0.1</v>
      </c>
      <c r="M84" s="132">
        <f t="shared" si="57"/>
        <v>0</v>
      </c>
      <c r="N84" s="132">
        <f t="shared" si="54"/>
        <v>-0.1</v>
      </c>
      <c r="O84" s="133" t="str">
        <f t="shared" si="58"/>
        <v>지연</v>
      </c>
      <c r="P84" s="104"/>
      <c r="Q84" s="104"/>
      <c r="R84" s="104"/>
      <c r="S84" s="104"/>
      <c r="T84" s="104"/>
      <c r="U84" s="104"/>
      <c r="V84" s="94"/>
      <c r="W84" s="94"/>
      <c r="X84" s="134" t="str">
        <f t="shared" si="53"/>
        <v/>
      </c>
      <c r="Y84" s="253">
        <f>NETWORKDAYS(P84,Q84,진행현황_전체!C$59:C$77)</f>
        <v>0</v>
      </c>
      <c r="Z84" s="258"/>
      <c r="AA84" s="135">
        <f t="shared" si="59"/>
        <v>0</v>
      </c>
      <c r="AB84" s="136">
        <f t="shared" si="59"/>
        <v>0</v>
      </c>
      <c r="AC84" s="136">
        <f t="shared" si="59"/>
        <v>0</v>
      </c>
      <c r="AD84" s="136">
        <f t="shared" si="59"/>
        <v>0</v>
      </c>
      <c r="AE84" s="137">
        <f t="shared" si="59"/>
        <v>0</v>
      </c>
      <c r="AF84" s="138">
        <f t="shared" si="59"/>
        <v>0</v>
      </c>
      <c r="AG84" s="136">
        <f t="shared" si="59"/>
        <v>0</v>
      </c>
      <c r="AH84" s="136">
        <f t="shared" si="59"/>
        <v>0</v>
      </c>
      <c r="AI84" s="137">
        <f t="shared" si="59"/>
        <v>0</v>
      </c>
      <c r="AJ84" s="135">
        <f t="shared" si="59"/>
        <v>0</v>
      </c>
      <c r="AK84" s="136">
        <f t="shared" si="59"/>
        <v>0</v>
      </c>
      <c r="AL84" s="136">
        <f t="shared" si="59"/>
        <v>0</v>
      </c>
      <c r="AM84" s="137">
        <f t="shared" si="59"/>
        <v>0</v>
      </c>
      <c r="AN84" s="135">
        <f t="shared" si="59"/>
        <v>0</v>
      </c>
      <c r="AO84" s="138">
        <f t="shared" si="59"/>
        <v>0</v>
      </c>
      <c r="AP84" s="136">
        <f t="shared" si="59"/>
        <v>0</v>
      </c>
      <c r="AQ84" s="136">
        <f t="shared" si="59"/>
        <v>0</v>
      </c>
      <c r="AR84" s="194">
        <f t="shared" si="59"/>
        <v>0</v>
      </c>
      <c r="AS84" s="138">
        <f t="shared" si="59"/>
        <v>0</v>
      </c>
      <c r="AT84" s="136">
        <f t="shared" si="59"/>
        <v>0</v>
      </c>
      <c r="AU84" s="136">
        <f t="shared" si="59"/>
        <v>0</v>
      </c>
      <c r="AV84" s="137">
        <f t="shared" si="60"/>
        <v>0</v>
      </c>
      <c r="AW84" s="135">
        <f t="shared" si="60"/>
        <v>0</v>
      </c>
      <c r="AX84" s="136">
        <f t="shared" si="60"/>
        <v>0</v>
      </c>
      <c r="AY84" s="136">
        <f t="shared" si="60"/>
        <v>0</v>
      </c>
      <c r="AZ84" s="137">
        <f t="shared" si="60"/>
        <v>0</v>
      </c>
      <c r="BA84" s="135">
        <f t="shared" si="60"/>
        <v>0</v>
      </c>
      <c r="BB84" s="136">
        <f t="shared" si="60"/>
        <v>0</v>
      </c>
      <c r="BC84" s="136">
        <f t="shared" si="60"/>
        <v>0</v>
      </c>
      <c r="BD84" s="136">
        <f t="shared" si="60"/>
        <v>0</v>
      </c>
      <c r="BE84" s="137">
        <f t="shared" si="60"/>
        <v>0</v>
      </c>
      <c r="BF84" s="138">
        <f t="shared" si="60"/>
        <v>0</v>
      </c>
      <c r="BG84" s="136">
        <f t="shared" si="60"/>
        <v>0</v>
      </c>
      <c r="BH84" s="136">
        <f t="shared" si="60"/>
        <v>0</v>
      </c>
      <c r="BI84" s="137">
        <f t="shared" si="60"/>
        <v>0</v>
      </c>
      <c r="BJ84" s="135">
        <f t="shared" si="60"/>
        <v>0</v>
      </c>
      <c r="BK84" s="136">
        <f t="shared" si="60"/>
        <v>0</v>
      </c>
      <c r="BL84" s="136">
        <f t="shared" si="61"/>
        <v>0</v>
      </c>
      <c r="BM84" s="137">
        <f t="shared" si="61"/>
        <v>0</v>
      </c>
      <c r="BN84" s="138">
        <f t="shared" si="61"/>
        <v>0</v>
      </c>
      <c r="BO84" s="136">
        <f t="shared" si="61"/>
        <v>0</v>
      </c>
      <c r="BP84" s="136">
        <f t="shared" si="61"/>
        <v>0</v>
      </c>
      <c r="BQ84" s="136">
        <f t="shared" si="61"/>
        <v>0</v>
      </c>
      <c r="BR84" s="137">
        <f t="shared" si="61"/>
        <v>0</v>
      </c>
      <c r="BS84" s="138">
        <f t="shared" si="61"/>
        <v>0</v>
      </c>
      <c r="BT84" s="136">
        <f t="shared" si="61"/>
        <v>0</v>
      </c>
      <c r="BU84" s="136">
        <f t="shared" si="61"/>
        <v>0</v>
      </c>
      <c r="BV84" s="137">
        <f t="shared" si="61"/>
        <v>0</v>
      </c>
      <c r="BW84" s="138">
        <f t="shared" si="61"/>
        <v>0</v>
      </c>
      <c r="BX84" s="136">
        <f t="shared" si="61"/>
        <v>0</v>
      </c>
      <c r="BY84" s="136">
        <f t="shared" si="61"/>
        <v>0</v>
      </c>
      <c r="BZ84" s="136">
        <f t="shared" si="61"/>
        <v>0</v>
      </c>
      <c r="CA84" s="137">
        <f t="shared" si="61"/>
        <v>0</v>
      </c>
      <c r="CB84" s="138">
        <f t="shared" si="61"/>
        <v>0</v>
      </c>
      <c r="CC84" s="136">
        <f t="shared" si="61"/>
        <v>0</v>
      </c>
      <c r="CD84" s="136">
        <f t="shared" si="61"/>
        <v>0</v>
      </c>
      <c r="CE84" s="137">
        <f t="shared" si="61"/>
        <v>0</v>
      </c>
      <c r="CF84" s="135">
        <f t="shared" si="61"/>
        <v>0</v>
      </c>
      <c r="CG84" s="136">
        <f t="shared" si="61"/>
        <v>0</v>
      </c>
      <c r="CH84" s="136">
        <f t="shared" si="61"/>
        <v>0</v>
      </c>
      <c r="CI84" s="137">
        <f t="shared" si="61"/>
        <v>0</v>
      </c>
    </row>
    <row r="85" spans="1:87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5"/>
        <v>1</v>
      </c>
      <c r="K85" s="101">
        <v>0</v>
      </c>
      <c r="L85" s="132">
        <f t="shared" si="56"/>
        <v>0.1</v>
      </c>
      <c r="M85" s="132">
        <f t="shared" si="57"/>
        <v>0</v>
      </c>
      <c r="N85" s="132">
        <f t="shared" si="54"/>
        <v>-0.1</v>
      </c>
      <c r="O85" s="133" t="str">
        <f t="shared" si="58"/>
        <v>지연</v>
      </c>
      <c r="P85" s="104"/>
      <c r="Q85" s="104"/>
      <c r="R85" s="104"/>
      <c r="S85" s="104"/>
      <c r="T85" s="104"/>
      <c r="U85" s="104"/>
      <c r="V85" s="94"/>
      <c r="W85" s="94"/>
      <c r="X85" s="134" t="str">
        <f t="shared" si="53"/>
        <v/>
      </c>
      <c r="Y85" s="253">
        <f>NETWORKDAYS(P85,Q85,진행현황_전체!C$59:C$77)</f>
        <v>0</v>
      </c>
      <c r="Z85" s="258"/>
      <c r="AA85" s="135">
        <f t="shared" si="59"/>
        <v>0</v>
      </c>
      <c r="AB85" s="136">
        <f t="shared" si="59"/>
        <v>0</v>
      </c>
      <c r="AC85" s="136">
        <f t="shared" si="59"/>
        <v>0</v>
      </c>
      <c r="AD85" s="136">
        <f t="shared" si="59"/>
        <v>0</v>
      </c>
      <c r="AE85" s="137">
        <f t="shared" si="59"/>
        <v>0</v>
      </c>
      <c r="AF85" s="138">
        <f t="shared" si="59"/>
        <v>0</v>
      </c>
      <c r="AG85" s="136">
        <f t="shared" si="59"/>
        <v>0</v>
      </c>
      <c r="AH85" s="136">
        <f t="shared" si="59"/>
        <v>0</v>
      </c>
      <c r="AI85" s="137">
        <f t="shared" si="59"/>
        <v>0</v>
      </c>
      <c r="AJ85" s="135">
        <f t="shared" si="59"/>
        <v>0</v>
      </c>
      <c r="AK85" s="136">
        <f t="shared" si="59"/>
        <v>0</v>
      </c>
      <c r="AL85" s="136">
        <f t="shared" si="59"/>
        <v>0</v>
      </c>
      <c r="AM85" s="137">
        <f t="shared" si="59"/>
        <v>0</v>
      </c>
      <c r="AN85" s="135">
        <f t="shared" si="59"/>
        <v>0</v>
      </c>
      <c r="AO85" s="138">
        <f t="shared" si="59"/>
        <v>0</v>
      </c>
      <c r="AP85" s="136">
        <f t="shared" si="59"/>
        <v>0</v>
      </c>
      <c r="AQ85" s="136">
        <f t="shared" si="59"/>
        <v>0</v>
      </c>
      <c r="AR85" s="194">
        <f t="shared" si="59"/>
        <v>0</v>
      </c>
      <c r="AS85" s="138">
        <f t="shared" si="59"/>
        <v>0</v>
      </c>
      <c r="AT85" s="136">
        <f t="shared" si="59"/>
        <v>0</v>
      </c>
      <c r="AU85" s="136">
        <f t="shared" si="59"/>
        <v>0</v>
      </c>
      <c r="AV85" s="137">
        <f t="shared" si="60"/>
        <v>0</v>
      </c>
      <c r="AW85" s="135">
        <f t="shared" si="60"/>
        <v>0</v>
      </c>
      <c r="AX85" s="136">
        <f t="shared" si="60"/>
        <v>0</v>
      </c>
      <c r="AY85" s="136">
        <f t="shared" si="60"/>
        <v>0</v>
      </c>
      <c r="AZ85" s="137">
        <f t="shared" si="60"/>
        <v>0</v>
      </c>
      <c r="BA85" s="135">
        <f t="shared" si="60"/>
        <v>0</v>
      </c>
      <c r="BB85" s="136">
        <f t="shared" si="60"/>
        <v>0</v>
      </c>
      <c r="BC85" s="136">
        <f t="shared" si="60"/>
        <v>0</v>
      </c>
      <c r="BD85" s="136">
        <f t="shared" si="60"/>
        <v>0</v>
      </c>
      <c r="BE85" s="137">
        <f t="shared" si="60"/>
        <v>0</v>
      </c>
      <c r="BF85" s="138">
        <f t="shared" si="60"/>
        <v>0</v>
      </c>
      <c r="BG85" s="136">
        <f t="shared" si="60"/>
        <v>0</v>
      </c>
      <c r="BH85" s="136">
        <f t="shared" si="60"/>
        <v>0</v>
      </c>
      <c r="BI85" s="137">
        <f t="shared" si="60"/>
        <v>0</v>
      </c>
      <c r="BJ85" s="135">
        <f t="shared" si="60"/>
        <v>0</v>
      </c>
      <c r="BK85" s="136">
        <f t="shared" si="60"/>
        <v>0</v>
      </c>
      <c r="BL85" s="136">
        <f t="shared" si="61"/>
        <v>0</v>
      </c>
      <c r="BM85" s="137">
        <f t="shared" si="61"/>
        <v>0</v>
      </c>
      <c r="BN85" s="138">
        <f t="shared" si="61"/>
        <v>0</v>
      </c>
      <c r="BO85" s="136">
        <f t="shared" si="61"/>
        <v>0</v>
      </c>
      <c r="BP85" s="136">
        <f t="shared" si="61"/>
        <v>0</v>
      </c>
      <c r="BQ85" s="136">
        <f t="shared" si="61"/>
        <v>0</v>
      </c>
      <c r="BR85" s="137">
        <f t="shared" si="61"/>
        <v>0</v>
      </c>
      <c r="BS85" s="138">
        <f t="shared" si="61"/>
        <v>0</v>
      </c>
      <c r="BT85" s="136">
        <f t="shared" si="61"/>
        <v>0</v>
      </c>
      <c r="BU85" s="136">
        <f t="shared" si="61"/>
        <v>0</v>
      </c>
      <c r="BV85" s="137">
        <f t="shared" si="61"/>
        <v>0</v>
      </c>
      <c r="BW85" s="138">
        <f t="shared" si="61"/>
        <v>0</v>
      </c>
      <c r="BX85" s="136">
        <f t="shared" si="61"/>
        <v>0</v>
      </c>
      <c r="BY85" s="136">
        <f t="shared" si="61"/>
        <v>0</v>
      </c>
      <c r="BZ85" s="136">
        <f t="shared" si="61"/>
        <v>0</v>
      </c>
      <c r="CA85" s="137">
        <f t="shared" si="61"/>
        <v>0</v>
      </c>
      <c r="CB85" s="138">
        <f t="shared" si="61"/>
        <v>0</v>
      </c>
      <c r="CC85" s="136">
        <f t="shared" si="61"/>
        <v>0</v>
      </c>
      <c r="CD85" s="136">
        <f t="shared" si="61"/>
        <v>0</v>
      </c>
      <c r="CE85" s="137">
        <f t="shared" si="61"/>
        <v>0</v>
      </c>
      <c r="CF85" s="135">
        <f t="shared" si="61"/>
        <v>0</v>
      </c>
      <c r="CG85" s="136">
        <f t="shared" si="61"/>
        <v>0</v>
      </c>
      <c r="CH85" s="136">
        <f t="shared" si="61"/>
        <v>0</v>
      </c>
      <c r="CI85" s="137">
        <f t="shared" si="61"/>
        <v>0</v>
      </c>
    </row>
    <row r="86" spans="1:87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5"/>
        <v>1</v>
      </c>
      <c r="K86" s="101">
        <v>0</v>
      </c>
      <c r="L86" s="132">
        <f t="shared" si="56"/>
        <v>0.1</v>
      </c>
      <c r="M86" s="132">
        <f t="shared" si="57"/>
        <v>0</v>
      </c>
      <c r="N86" s="132">
        <f t="shared" si="54"/>
        <v>-0.1</v>
      </c>
      <c r="O86" s="133" t="str">
        <f t="shared" si="58"/>
        <v>지연</v>
      </c>
      <c r="P86" s="104"/>
      <c r="Q86" s="104"/>
      <c r="R86" s="104"/>
      <c r="S86" s="104"/>
      <c r="T86" s="104"/>
      <c r="U86" s="104"/>
      <c r="V86" s="94"/>
      <c r="W86" s="94"/>
      <c r="X86" s="134" t="str">
        <f t="shared" si="53"/>
        <v/>
      </c>
      <c r="Y86" s="253">
        <f>NETWORKDAYS(P86,Q86,진행현황_전체!C$59:C$77)</f>
        <v>0</v>
      </c>
      <c r="Z86" s="258"/>
      <c r="AA86" s="135">
        <f t="shared" si="59"/>
        <v>0</v>
      </c>
      <c r="AB86" s="136">
        <f t="shared" si="59"/>
        <v>0</v>
      </c>
      <c r="AC86" s="136">
        <f t="shared" si="59"/>
        <v>0</v>
      </c>
      <c r="AD86" s="136">
        <f t="shared" si="59"/>
        <v>0</v>
      </c>
      <c r="AE86" s="137">
        <f t="shared" si="59"/>
        <v>0</v>
      </c>
      <c r="AF86" s="138">
        <f t="shared" si="59"/>
        <v>0</v>
      </c>
      <c r="AG86" s="136">
        <f t="shared" si="59"/>
        <v>0</v>
      </c>
      <c r="AH86" s="136">
        <f t="shared" si="59"/>
        <v>0</v>
      </c>
      <c r="AI86" s="137">
        <f t="shared" si="59"/>
        <v>0</v>
      </c>
      <c r="AJ86" s="135">
        <f t="shared" si="59"/>
        <v>0</v>
      </c>
      <c r="AK86" s="136">
        <f t="shared" si="59"/>
        <v>0</v>
      </c>
      <c r="AL86" s="136">
        <f t="shared" si="59"/>
        <v>0</v>
      </c>
      <c r="AM86" s="137">
        <f t="shared" si="59"/>
        <v>0</v>
      </c>
      <c r="AN86" s="135">
        <f t="shared" si="59"/>
        <v>0</v>
      </c>
      <c r="AO86" s="138">
        <f t="shared" si="59"/>
        <v>0</v>
      </c>
      <c r="AP86" s="136">
        <f t="shared" si="59"/>
        <v>0</v>
      </c>
      <c r="AQ86" s="136">
        <f t="shared" si="59"/>
        <v>0</v>
      </c>
      <c r="AR86" s="194">
        <f t="shared" si="59"/>
        <v>0</v>
      </c>
      <c r="AS86" s="138">
        <f t="shared" si="59"/>
        <v>0</v>
      </c>
      <c r="AT86" s="136">
        <f t="shared" si="59"/>
        <v>0</v>
      </c>
      <c r="AU86" s="136">
        <f t="shared" si="59"/>
        <v>0</v>
      </c>
      <c r="AV86" s="137">
        <f t="shared" si="60"/>
        <v>0</v>
      </c>
      <c r="AW86" s="135">
        <f t="shared" si="60"/>
        <v>0</v>
      </c>
      <c r="AX86" s="136">
        <f t="shared" si="60"/>
        <v>0</v>
      </c>
      <c r="AY86" s="136">
        <f t="shared" si="60"/>
        <v>0</v>
      </c>
      <c r="AZ86" s="137">
        <f t="shared" si="60"/>
        <v>0</v>
      </c>
      <c r="BA86" s="135">
        <f t="shared" si="60"/>
        <v>0</v>
      </c>
      <c r="BB86" s="136">
        <f t="shared" si="60"/>
        <v>0</v>
      </c>
      <c r="BC86" s="136">
        <f t="shared" si="60"/>
        <v>0</v>
      </c>
      <c r="BD86" s="136">
        <f t="shared" si="60"/>
        <v>0</v>
      </c>
      <c r="BE86" s="137">
        <f t="shared" si="60"/>
        <v>0</v>
      </c>
      <c r="BF86" s="138">
        <f t="shared" si="60"/>
        <v>0</v>
      </c>
      <c r="BG86" s="136">
        <f t="shared" si="60"/>
        <v>0</v>
      </c>
      <c r="BH86" s="136">
        <f t="shared" si="60"/>
        <v>0</v>
      </c>
      <c r="BI86" s="137">
        <f t="shared" si="60"/>
        <v>0</v>
      </c>
      <c r="BJ86" s="135">
        <f t="shared" si="60"/>
        <v>0</v>
      </c>
      <c r="BK86" s="136">
        <f t="shared" si="60"/>
        <v>0</v>
      </c>
      <c r="BL86" s="136">
        <f t="shared" si="61"/>
        <v>0</v>
      </c>
      <c r="BM86" s="137">
        <f t="shared" si="61"/>
        <v>0</v>
      </c>
      <c r="BN86" s="138">
        <f t="shared" si="61"/>
        <v>0</v>
      </c>
      <c r="BO86" s="136">
        <f t="shared" si="61"/>
        <v>0</v>
      </c>
      <c r="BP86" s="136">
        <f t="shared" si="61"/>
        <v>0</v>
      </c>
      <c r="BQ86" s="136">
        <f t="shared" si="61"/>
        <v>0</v>
      </c>
      <c r="BR86" s="137">
        <f t="shared" si="61"/>
        <v>0</v>
      </c>
      <c r="BS86" s="138">
        <f t="shared" si="61"/>
        <v>0</v>
      </c>
      <c r="BT86" s="136">
        <f t="shared" si="61"/>
        <v>0</v>
      </c>
      <c r="BU86" s="136">
        <f t="shared" si="61"/>
        <v>0</v>
      </c>
      <c r="BV86" s="137">
        <f t="shared" si="61"/>
        <v>0</v>
      </c>
      <c r="BW86" s="138">
        <f t="shared" si="61"/>
        <v>0</v>
      </c>
      <c r="BX86" s="136">
        <f t="shared" si="61"/>
        <v>0</v>
      </c>
      <c r="BY86" s="136">
        <f t="shared" si="61"/>
        <v>0</v>
      </c>
      <c r="BZ86" s="136">
        <f t="shared" si="61"/>
        <v>0</v>
      </c>
      <c r="CA86" s="137">
        <f t="shared" si="61"/>
        <v>0</v>
      </c>
      <c r="CB86" s="138">
        <f t="shared" si="61"/>
        <v>0</v>
      </c>
      <c r="CC86" s="136">
        <f t="shared" si="61"/>
        <v>0</v>
      </c>
      <c r="CD86" s="136">
        <f t="shared" si="61"/>
        <v>0</v>
      </c>
      <c r="CE86" s="137">
        <f t="shared" si="61"/>
        <v>0</v>
      </c>
      <c r="CF86" s="135">
        <f t="shared" si="61"/>
        <v>0</v>
      </c>
      <c r="CG86" s="136">
        <f t="shared" si="61"/>
        <v>0</v>
      </c>
      <c r="CH86" s="136">
        <f t="shared" si="61"/>
        <v>0</v>
      </c>
      <c r="CI86" s="137">
        <f t="shared" si="61"/>
        <v>0</v>
      </c>
    </row>
    <row r="87" spans="1:87" ht="17.25" thickBot="1">
      <c r="A87" s="139" t="s">
        <v>55</v>
      </c>
      <c r="B87" s="114" t="str">
        <f>진행현황_01.범위명!I15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진행현황_01.범위명!I16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/>
      <c r="S87" s="122">
        <f>MIN(S88:S97)</f>
        <v>0</v>
      </c>
      <c r="T87" s="122">
        <f>MAX(T88:T97)</f>
        <v>0</v>
      </c>
      <c r="U87" s="122"/>
      <c r="V87" s="113"/>
      <c r="W87" s="113"/>
      <c r="X87" s="123" t="str">
        <f t="shared" si="53"/>
        <v/>
      </c>
      <c r="Y87" s="124">
        <f>NETWORKDAYS(P87,Q87,진행현황_전체!C$59:C$77)</f>
        <v>0</v>
      </c>
      <c r="Z87" s="257"/>
      <c r="AA87" s="125"/>
      <c r="AB87" s="126"/>
      <c r="AC87" s="126"/>
      <c r="AD87" s="126"/>
      <c r="AE87" s="127"/>
      <c r="AF87" s="129"/>
      <c r="AG87" s="126"/>
      <c r="AH87" s="126"/>
      <c r="AI87" s="127"/>
      <c r="AJ87" s="128"/>
      <c r="AK87" s="126"/>
      <c r="AL87" s="126"/>
      <c r="AM87" s="127"/>
      <c r="AN87" s="128"/>
      <c r="AO87" s="129"/>
      <c r="AP87" s="126"/>
      <c r="AQ87" s="126"/>
      <c r="AR87" s="193"/>
      <c r="AS87" s="129"/>
      <c r="AT87" s="126"/>
      <c r="AU87" s="126"/>
      <c r="AV87" s="127"/>
      <c r="AW87" s="128"/>
      <c r="AX87" s="126"/>
      <c r="AY87" s="126"/>
      <c r="AZ87" s="127"/>
      <c r="BA87" s="125"/>
      <c r="BB87" s="126"/>
      <c r="BC87" s="126"/>
      <c r="BD87" s="126"/>
      <c r="BE87" s="127"/>
      <c r="BF87" s="129"/>
      <c r="BG87" s="126"/>
      <c r="BH87" s="126"/>
      <c r="BI87" s="127"/>
      <c r="BJ87" s="128"/>
      <c r="BK87" s="126"/>
      <c r="BL87" s="126"/>
      <c r="BM87" s="127"/>
      <c r="BN87" s="129"/>
      <c r="BO87" s="126"/>
      <c r="BP87" s="126"/>
      <c r="BQ87" s="126"/>
      <c r="BR87" s="127"/>
      <c r="BS87" s="129"/>
      <c r="BT87" s="126"/>
      <c r="BU87" s="126"/>
      <c r="BV87" s="127"/>
      <c r="BW87" s="129"/>
      <c r="BX87" s="126"/>
      <c r="BY87" s="126"/>
      <c r="BZ87" s="126"/>
      <c r="CA87" s="127"/>
      <c r="CB87" s="129"/>
      <c r="CC87" s="126"/>
      <c r="CD87" s="126"/>
      <c r="CE87" s="127"/>
      <c r="CF87" s="128"/>
      <c r="CG87" s="126"/>
      <c r="CH87" s="126"/>
      <c r="CI87" s="127"/>
    </row>
    <row r="88" spans="1:87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62">IF(CheckDay&gt;=Q88,1,IF(CheckDay&lt;P88, 0,DAYS360(P88,CheckDay+1)/Y88))</f>
        <v>1</v>
      </c>
      <c r="K88" s="101">
        <v>0</v>
      </c>
      <c r="L88" s="132">
        <f t="shared" ref="L88:L97" si="63">I88*J88/100</f>
        <v>0.1</v>
      </c>
      <c r="M88" s="132">
        <f t="shared" ref="M88:M97" si="64">I88*K88/100</f>
        <v>0</v>
      </c>
      <c r="N88" s="132">
        <f t="shared" si="54"/>
        <v>-0.1</v>
      </c>
      <c r="O88" s="133" t="str">
        <f t="shared" ref="O88:O97" si="65">IF(AND(K88=0%,N88=0),"",IF(N88&lt;0,"지연",IF(K88=100%,"종료","진행")))</f>
        <v>지연</v>
      </c>
      <c r="P88" s="104"/>
      <c r="Q88" s="104"/>
      <c r="R88" s="104"/>
      <c r="S88" s="104"/>
      <c r="T88" s="104"/>
      <c r="U88" s="104"/>
      <c r="V88" s="94"/>
      <c r="W88" s="94"/>
      <c r="X88" s="134" t="str">
        <f t="shared" si="53"/>
        <v/>
      </c>
      <c r="Y88" s="253">
        <f>NETWORKDAYS(P88,Q88,진행현황_전체!C$59:C$77)</f>
        <v>0</v>
      </c>
      <c r="Z88" s="258"/>
      <c r="AA88" s="135">
        <f t="shared" ref="AA88:AZ97" si="66">IF(OR((AND($P88&lt;=AA$7,AND($Q88&lt;=AA$8, $Q88&gt;=AA$7))),(AND(AND($P88&gt;=AA$7, $P88&lt;=AA$8),$Q88&gt;=AA$8)), AND($P88&gt;=AA$7, $Q88&lt;=AA$8), AND($P88&lt;=AA$7,$Q88&gt;=AA$8)),1,0)</f>
        <v>0</v>
      </c>
      <c r="AB88" s="136">
        <f t="shared" si="66"/>
        <v>0</v>
      </c>
      <c r="AC88" s="136">
        <f t="shared" si="66"/>
        <v>0</v>
      </c>
      <c r="AD88" s="136">
        <f t="shared" si="66"/>
        <v>0</v>
      </c>
      <c r="AE88" s="137">
        <f t="shared" si="66"/>
        <v>0</v>
      </c>
      <c r="AF88" s="138">
        <f t="shared" si="66"/>
        <v>0</v>
      </c>
      <c r="AG88" s="136">
        <f t="shared" si="66"/>
        <v>0</v>
      </c>
      <c r="AH88" s="136">
        <f t="shared" si="66"/>
        <v>0</v>
      </c>
      <c r="AI88" s="137">
        <f t="shared" si="66"/>
        <v>0</v>
      </c>
      <c r="AJ88" s="135">
        <f t="shared" si="66"/>
        <v>0</v>
      </c>
      <c r="AK88" s="136">
        <f t="shared" si="66"/>
        <v>0</v>
      </c>
      <c r="AL88" s="136">
        <f t="shared" si="66"/>
        <v>0</v>
      </c>
      <c r="AM88" s="137">
        <f t="shared" si="66"/>
        <v>0</v>
      </c>
      <c r="AN88" s="135">
        <f t="shared" si="66"/>
        <v>0</v>
      </c>
      <c r="AO88" s="138">
        <f t="shared" si="66"/>
        <v>0</v>
      </c>
      <c r="AP88" s="136">
        <f t="shared" si="66"/>
        <v>0</v>
      </c>
      <c r="AQ88" s="136">
        <f t="shared" ref="AQ88:AQ97" si="67">IF(OR((AND($P88&lt;=AQ$7,AND($Q88&lt;=AQ$8, $Q88&gt;=AQ$7))),(AND(AND($P88&gt;=AQ$7, $P88&lt;=AQ$8),$Q88&gt;=AQ$8)), AND($P88&gt;=AQ$7, $Q88&lt;=AQ$8), AND($P88&lt;=AQ$7,$Q88&gt;=AQ$8)),1,0)</f>
        <v>0</v>
      </c>
      <c r="AR88" s="194">
        <f t="shared" si="66"/>
        <v>0</v>
      </c>
      <c r="AS88" s="138">
        <f t="shared" si="66"/>
        <v>0</v>
      </c>
      <c r="AT88" s="136">
        <f t="shared" si="66"/>
        <v>0</v>
      </c>
      <c r="AU88" s="136">
        <f t="shared" si="66"/>
        <v>0</v>
      </c>
      <c r="AV88" s="137">
        <f t="shared" si="66"/>
        <v>0</v>
      </c>
      <c r="AW88" s="135">
        <f t="shared" si="66"/>
        <v>0</v>
      </c>
      <c r="AX88" s="136">
        <f t="shared" si="66"/>
        <v>0</v>
      </c>
      <c r="AY88" s="136">
        <f t="shared" si="66"/>
        <v>0</v>
      </c>
      <c r="AZ88" s="137">
        <f t="shared" si="66"/>
        <v>0</v>
      </c>
      <c r="BA88" s="135">
        <f t="shared" ref="BA88:CI95" si="68">IF(OR((AND($P88&lt;=BA$7,AND($Q88&lt;=BA$8, $Q88&gt;=BA$7))),(AND(AND($P88&gt;=BA$7, $P88&lt;=BA$8),$Q88&gt;=BA$8)), AND($P88&gt;=BA$7, $Q88&lt;=BA$8), AND($P88&lt;=BA$7,$Q88&gt;=BA$8)),1,0)</f>
        <v>0</v>
      </c>
      <c r="BB88" s="136">
        <f t="shared" si="68"/>
        <v>0</v>
      </c>
      <c r="BC88" s="136">
        <f t="shared" si="68"/>
        <v>0</v>
      </c>
      <c r="BD88" s="136">
        <f t="shared" si="68"/>
        <v>0</v>
      </c>
      <c r="BE88" s="137">
        <f t="shared" si="68"/>
        <v>0</v>
      </c>
      <c r="BF88" s="138">
        <f t="shared" si="68"/>
        <v>0</v>
      </c>
      <c r="BG88" s="136">
        <f t="shared" si="68"/>
        <v>0</v>
      </c>
      <c r="BH88" s="136">
        <f t="shared" si="68"/>
        <v>0</v>
      </c>
      <c r="BI88" s="137">
        <f t="shared" si="68"/>
        <v>0</v>
      </c>
      <c r="BJ88" s="135">
        <f t="shared" si="68"/>
        <v>0</v>
      </c>
      <c r="BK88" s="136">
        <f t="shared" si="68"/>
        <v>0</v>
      </c>
      <c r="BL88" s="136">
        <f t="shared" si="68"/>
        <v>0</v>
      </c>
      <c r="BM88" s="137">
        <f t="shared" si="68"/>
        <v>0</v>
      </c>
      <c r="BN88" s="138">
        <f t="shared" si="68"/>
        <v>0</v>
      </c>
      <c r="BO88" s="136">
        <f t="shared" si="68"/>
        <v>0</v>
      </c>
      <c r="BP88" s="136">
        <f t="shared" si="68"/>
        <v>0</v>
      </c>
      <c r="BQ88" s="136">
        <f t="shared" si="68"/>
        <v>0</v>
      </c>
      <c r="BR88" s="137">
        <f t="shared" si="68"/>
        <v>0</v>
      </c>
      <c r="BS88" s="138">
        <f t="shared" si="68"/>
        <v>0</v>
      </c>
      <c r="BT88" s="136">
        <f t="shared" si="68"/>
        <v>0</v>
      </c>
      <c r="BU88" s="136">
        <f t="shared" si="68"/>
        <v>0</v>
      </c>
      <c r="BV88" s="137">
        <f t="shared" si="68"/>
        <v>0</v>
      </c>
      <c r="BW88" s="138">
        <f t="shared" si="68"/>
        <v>0</v>
      </c>
      <c r="BX88" s="136">
        <f t="shared" si="68"/>
        <v>0</v>
      </c>
      <c r="BY88" s="136">
        <f t="shared" si="68"/>
        <v>0</v>
      </c>
      <c r="BZ88" s="136">
        <f t="shared" ref="BZ88:BZ94" si="69">IF(OR((AND($P88&lt;=BZ$7,AND($Q88&lt;=BZ$8, $Q88&gt;=BZ$7))),(AND(AND($P88&gt;=BZ$7, $P88&lt;=BZ$8),$Q88&gt;=BZ$8)), AND($P88&gt;=BZ$7, $Q88&lt;=BZ$8), AND($P88&lt;=BZ$7,$Q88&gt;=BZ$8)),1,0)</f>
        <v>0</v>
      </c>
      <c r="CA88" s="137">
        <f t="shared" si="68"/>
        <v>0</v>
      </c>
      <c r="CB88" s="138">
        <f t="shared" si="68"/>
        <v>0</v>
      </c>
      <c r="CC88" s="136">
        <f t="shared" si="68"/>
        <v>0</v>
      </c>
      <c r="CD88" s="136">
        <f t="shared" si="68"/>
        <v>0</v>
      </c>
      <c r="CE88" s="137">
        <f t="shared" si="68"/>
        <v>0</v>
      </c>
      <c r="CF88" s="135">
        <f t="shared" si="68"/>
        <v>0</v>
      </c>
      <c r="CG88" s="136">
        <f t="shared" si="68"/>
        <v>0</v>
      </c>
      <c r="CH88" s="136">
        <f t="shared" si="68"/>
        <v>0</v>
      </c>
      <c r="CI88" s="137">
        <f t="shared" si="68"/>
        <v>0</v>
      </c>
    </row>
    <row r="89" spans="1:87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62"/>
        <v>1</v>
      </c>
      <c r="K89" s="101">
        <v>0</v>
      </c>
      <c r="L89" s="132">
        <f t="shared" si="63"/>
        <v>0.1</v>
      </c>
      <c r="M89" s="132">
        <f t="shared" si="64"/>
        <v>0</v>
      </c>
      <c r="N89" s="132">
        <f t="shared" si="54"/>
        <v>-0.1</v>
      </c>
      <c r="O89" s="133" t="str">
        <f t="shared" si="65"/>
        <v>지연</v>
      </c>
      <c r="P89" s="104"/>
      <c r="Q89" s="104"/>
      <c r="R89" s="104"/>
      <c r="S89" s="104"/>
      <c r="T89" s="104"/>
      <c r="U89" s="104"/>
      <c r="V89" s="94"/>
      <c r="W89" s="94"/>
      <c r="X89" s="134" t="str">
        <f t="shared" si="53"/>
        <v/>
      </c>
      <c r="Y89" s="253">
        <f>NETWORKDAYS(P89,Q89,진행현황_전체!C$59:C$77)</f>
        <v>0</v>
      </c>
      <c r="Z89" s="258"/>
      <c r="AA89" s="135">
        <f t="shared" si="66"/>
        <v>0</v>
      </c>
      <c r="AB89" s="136">
        <f t="shared" si="66"/>
        <v>0</v>
      </c>
      <c r="AC89" s="136">
        <f t="shared" si="66"/>
        <v>0</v>
      </c>
      <c r="AD89" s="136">
        <f t="shared" si="66"/>
        <v>0</v>
      </c>
      <c r="AE89" s="137">
        <f t="shared" si="66"/>
        <v>0</v>
      </c>
      <c r="AF89" s="138">
        <f t="shared" si="66"/>
        <v>0</v>
      </c>
      <c r="AG89" s="136">
        <f t="shared" si="66"/>
        <v>0</v>
      </c>
      <c r="AH89" s="136">
        <f t="shared" si="66"/>
        <v>0</v>
      </c>
      <c r="AI89" s="137">
        <f t="shared" si="66"/>
        <v>0</v>
      </c>
      <c r="AJ89" s="135">
        <f t="shared" si="66"/>
        <v>0</v>
      </c>
      <c r="AK89" s="136">
        <f t="shared" si="66"/>
        <v>0</v>
      </c>
      <c r="AL89" s="136">
        <f t="shared" si="66"/>
        <v>0</v>
      </c>
      <c r="AM89" s="137">
        <f t="shared" si="66"/>
        <v>0</v>
      </c>
      <c r="AN89" s="135">
        <f t="shared" si="66"/>
        <v>0</v>
      </c>
      <c r="AO89" s="138">
        <f t="shared" si="66"/>
        <v>0</v>
      </c>
      <c r="AP89" s="136">
        <f t="shared" si="66"/>
        <v>0</v>
      </c>
      <c r="AQ89" s="136">
        <f t="shared" si="67"/>
        <v>0</v>
      </c>
      <c r="AR89" s="194">
        <f t="shared" si="66"/>
        <v>0</v>
      </c>
      <c r="AS89" s="138">
        <f t="shared" si="66"/>
        <v>0</v>
      </c>
      <c r="AT89" s="136">
        <f t="shared" si="66"/>
        <v>0</v>
      </c>
      <c r="AU89" s="136">
        <f t="shared" si="66"/>
        <v>0</v>
      </c>
      <c r="AV89" s="137">
        <f t="shared" si="66"/>
        <v>0</v>
      </c>
      <c r="AW89" s="135">
        <f t="shared" si="66"/>
        <v>0</v>
      </c>
      <c r="AX89" s="136">
        <f t="shared" si="66"/>
        <v>0</v>
      </c>
      <c r="AY89" s="136">
        <f t="shared" si="66"/>
        <v>0</v>
      </c>
      <c r="AZ89" s="137">
        <f t="shared" si="66"/>
        <v>0</v>
      </c>
      <c r="BA89" s="135">
        <f t="shared" si="68"/>
        <v>0</v>
      </c>
      <c r="BB89" s="136">
        <f t="shared" si="68"/>
        <v>0</v>
      </c>
      <c r="BC89" s="136">
        <f t="shared" si="68"/>
        <v>0</v>
      </c>
      <c r="BD89" s="136">
        <f t="shared" si="68"/>
        <v>0</v>
      </c>
      <c r="BE89" s="137">
        <f t="shared" si="68"/>
        <v>0</v>
      </c>
      <c r="BF89" s="138">
        <f t="shared" si="68"/>
        <v>0</v>
      </c>
      <c r="BG89" s="136">
        <f t="shared" si="68"/>
        <v>0</v>
      </c>
      <c r="BH89" s="136">
        <f t="shared" si="68"/>
        <v>0</v>
      </c>
      <c r="BI89" s="137">
        <f t="shared" si="68"/>
        <v>0</v>
      </c>
      <c r="BJ89" s="135">
        <f t="shared" si="68"/>
        <v>0</v>
      </c>
      <c r="BK89" s="136">
        <f t="shared" si="68"/>
        <v>0</v>
      </c>
      <c r="BL89" s="136">
        <f t="shared" si="68"/>
        <v>0</v>
      </c>
      <c r="BM89" s="137">
        <f t="shared" si="68"/>
        <v>0</v>
      </c>
      <c r="BN89" s="138">
        <f t="shared" si="68"/>
        <v>0</v>
      </c>
      <c r="BO89" s="136">
        <f t="shared" si="68"/>
        <v>0</v>
      </c>
      <c r="BP89" s="136">
        <f t="shared" si="68"/>
        <v>0</v>
      </c>
      <c r="BQ89" s="136">
        <f t="shared" si="68"/>
        <v>0</v>
      </c>
      <c r="BR89" s="137">
        <f t="shared" si="68"/>
        <v>0</v>
      </c>
      <c r="BS89" s="138">
        <f t="shared" si="68"/>
        <v>0</v>
      </c>
      <c r="BT89" s="136">
        <f t="shared" si="68"/>
        <v>0</v>
      </c>
      <c r="BU89" s="136">
        <f t="shared" si="68"/>
        <v>0</v>
      </c>
      <c r="BV89" s="137">
        <f t="shared" si="68"/>
        <v>0</v>
      </c>
      <c r="BW89" s="138">
        <f t="shared" si="68"/>
        <v>0</v>
      </c>
      <c r="BX89" s="136">
        <f t="shared" si="68"/>
        <v>0</v>
      </c>
      <c r="BY89" s="136">
        <f t="shared" si="68"/>
        <v>0</v>
      </c>
      <c r="BZ89" s="136">
        <f t="shared" si="69"/>
        <v>0</v>
      </c>
      <c r="CA89" s="137">
        <f t="shared" si="68"/>
        <v>0</v>
      </c>
      <c r="CB89" s="138">
        <f t="shared" si="68"/>
        <v>0</v>
      </c>
      <c r="CC89" s="136">
        <f t="shared" si="68"/>
        <v>0</v>
      </c>
      <c r="CD89" s="136">
        <f t="shared" si="68"/>
        <v>0</v>
      </c>
      <c r="CE89" s="137">
        <f t="shared" si="68"/>
        <v>0</v>
      </c>
      <c r="CF89" s="135">
        <f t="shared" si="68"/>
        <v>0</v>
      </c>
      <c r="CG89" s="136">
        <f t="shared" si="68"/>
        <v>0</v>
      </c>
      <c r="CH89" s="136">
        <f t="shared" si="68"/>
        <v>0</v>
      </c>
      <c r="CI89" s="137">
        <f t="shared" si="68"/>
        <v>0</v>
      </c>
    </row>
    <row r="90" spans="1:87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62"/>
        <v>1</v>
      </c>
      <c r="K90" s="101">
        <v>0</v>
      </c>
      <c r="L90" s="132">
        <f t="shared" si="63"/>
        <v>0.1</v>
      </c>
      <c r="M90" s="132">
        <f t="shared" si="64"/>
        <v>0</v>
      </c>
      <c r="N90" s="132">
        <f t="shared" si="54"/>
        <v>-0.1</v>
      </c>
      <c r="O90" s="133" t="str">
        <f t="shared" si="65"/>
        <v>지연</v>
      </c>
      <c r="P90" s="104"/>
      <c r="Q90" s="104"/>
      <c r="R90" s="104"/>
      <c r="S90" s="104"/>
      <c r="T90" s="104"/>
      <c r="U90" s="104"/>
      <c r="V90" s="94"/>
      <c r="W90" s="94"/>
      <c r="X90" s="134" t="str">
        <f t="shared" si="53"/>
        <v/>
      </c>
      <c r="Y90" s="253">
        <f>NETWORKDAYS(P90,Q90,진행현황_전체!C$59:C$77)</f>
        <v>0</v>
      </c>
      <c r="Z90" s="258"/>
      <c r="AA90" s="135">
        <f t="shared" si="66"/>
        <v>0</v>
      </c>
      <c r="AB90" s="136">
        <f t="shared" si="66"/>
        <v>0</v>
      </c>
      <c r="AC90" s="136">
        <f t="shared" si="66"/>
        <v>0</v>
      </c>
      <c r="AD90" s="136">
        <f t="shared" si="66"/>
        <v>0</v>
      </c>
      <c r="AE90" s="137">
        <f t="shared" si="66"/>
        <v>0</v>
      </c>
      <c r="AF90" s="138">
        <f t="shared" si="66"/>
        <v>0</v>
      </c>
      <c r="AG90" s="136">
        <f t="shared" si="66"/>
        <v>0</v>
      </c>
      <c r="AH90" s="136">
        <f t="shared" si="66"/>
        <v>0</v>
      </c>
      <c r="AI90" s="137">
        <f t="shared" si="66"/>
        <v>0</v>
      </c>
      <c r="AJ90" s="135">
        <f t="shared" si="66"/>
        <v>0</v>
      </c>
      <c r="AK90" s="136">
        <f t="shared" si="66"/>
        <v>0</v>
      </c>
      <c r="AL90" s="136">
        <f t="shared" si="66"/>
        <v>0</v>
      </c>
      <c r="AM90" s="137">
        <f t="shared" si="66"/>
        <v>0</v>
      </c>
      <c r="AN90" s="135">
        <f t="shared" si="66"/>
        <v>0</v>
      </c>
      <c r="AO90" s="138">
        <f t="shared" si="66"/>
        <v>0</v>
      </c>
      <c r="AP90" s="136">
        <f t="shared" si="66"/>
        <v>0</v>
      </c>
      <c r="AQ90" s="136">
        <f t="shared" si="67"/>
        <v>0</v>
      </c>
      <c r="AR90" s="194">
        <f t="shared" si="66"/>
        <v>0</v>
      </c>
      <c r="AS90" s="138">
        <f t="shared" si="66"/>
        <v>0</v>
      </c>
      <c r="AT90" s="136">
        <f t="shared" si="66"/>
        <v>0</v>
      </c>
      <c r="AU90" s="136">
        <f t="shared" si="66"/>
        <v>0</v>
      </c>
      <c r="AV90" s="137">
        <f t="shared" si="66"/>
        <v>0</v>
      </c>
      <c r="AW90" s="135">
        <f t="shared" si="66"/>
        <v>0</v>
      </c>
      <c r="AX90" s="136">
        <f t="shared" si="66"/>
        <v>0</v>
      </c>
      <c r="AY90" s="136">
        <f t="shared" si="66"/>
        <v>0</v>
      </c>
      <c r="AZ90" s="137">
        <f t="shared" si="66"/>
        <v>0</v>
      </c>
      <c r="BA90" s="135">
        <f t="shared" si="68"/>
        <v>0</v>
      </c>
      <c r="BB90" s="136">
        <f t="shared" si="68"/>
        <v>0</v>
      </c>
      <c r="BC90" s="136">
        <f t="shared" si="68"/>
        <v>0</v>
      </c>
      <c r="BD90" s="136">
        <f t="shared" si="68"/>
        <v>0</v>
      </c>
      <c r="BE90" s="137">
        <f t="shared" si="68"/>
        <v>0</v>
      </c>
      <c r="BF90" s="138">
        <f t="shared" si="68"/>
        <v>0</v>
      </c>
      <c r="BG90" s="136">
        <f t="shared" si="68"/>
        <v>0</v>
      </c>
      <c r="BH90" s="136">
        <f t="shared" si="68"/>
        <v>0</v>
      </c>
      <c r="BI90" s="137">
        <f t="shared" si="68"/>
        <v>0</v>
      </c>
      <c r="BJ90" s="135">
        <f t="shared" si="68"/>
        <v>0</v>
      </c>
      <c r="BK90" s="136">
        <f t="shared" si="68"/>
        <v>0</v>
      </c>
      <c r="BL90" s="136">
        <f t="shared" si="68"/>
        <v>0</v>
      </c>
      <c r="BM90" s="137">
        <f t="shared" si="68"/>
        <v>0</v>
      </c>
      <c r="BN90" s="138">
        <f t="shared" si="68"/>
        <v>0</v>
      </c>
      <c r="BO90" s="136">
        <f t="shared" si="68"/>
        <v>0</v>
      </c>
      <c r="BP90" s="136">
        <f t="shared" si="68"/>
        <v>0</v>
      </c>
      <c r="BQ90" s="136">
        <f t="shared" si="68"/>
        <v>0</v>
      </c>
      <c r="BR90" s="137">
        <f t="shared" si="68"/>
        <v>0</v>
      </c>
      <c r="BS90" s="138">
        <f t="shared" si="68"/>
        <v>0</v>
      </c>
      <c r="BT90" s="136">
        <f t="shared" si="68"/>
        <v>0</v>
      </c>
      <c r="BU90" s="136">
        <f t="shared" si="68"/>
        <v>0</v>
      </c>
      <c r="BV90" s="137">
        <f t="shared" si="68"/>
        <v>0</v>
      </c>
      <c r="BW90" s="138">
        <f t="shared" si="68"/>
        <v>0</v>
      </c>
      <c r="BX90" s="136">
        <f t="shared" si="68"/>
        <v>0</v>
      </c>
      <c r="BY90" s="136">
        <f t="shared" si="68"/>
        <v>0</v>
      </c>
      <c r="BZ90" s="136">
        <f t="shared" si="69"/>
        <v>0</v>
      </c>
      <c r="CA90" s="137">
        <f t="shared" si="68"/>
        <v>0</v>
      </c>
      <c r="CB90" s="138">
        <f t="shared" si="68"/>
        <v>0</v>
      </c>
      <c r="CC90" s="136">
        <f t="shared" si="68"/>
        <v>0</v>
      </c>
      <c r="CD90" s="136">
        <f t="shared" si="68"/>
        <v>0</v>
      </c>
      <c r="CE90" s="137">
        <f t="shared" si="68"/>
        <v>0</v>
      </c>
      <c r="CF90" s="135">
        <f t="shared" si="68"/>
        <v>0</v>
      </c>
      <c r="CG90" s="136">
        <f t="shared" si="68"/>
        <v>0</v>
      </c>
      <c r="CH90" s="136">
        <f t="shared" si="68"/>
        <v>0</v>
      </c>
      <c r="CI90" s="137">
        <f t="shared" si="68"/>
        <v>0</v>
      </c>
    </row>
    <row r="91" spans="1:87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62"/>
        <v>1</v>
      </c>
      <c r="K91" s="101">
        <v>0</v>
      </c>
      <c r="L91" s="132">
        <f t="shared" si="63"/>
        <v>0.1</v>
      </c>
      <c r="M91" s="132">
        <f t="shared" si="64"/>
        <v>0</v>
      </c>
      <c r="N91" s="132">
        <f t="shared" si="54"/>
        <v>-0.1</v>
      </c>
      <c r="O91" s="133" t="str">
        <f t="shared" si="65"/>
        <v>지연</v>
      </c>
      <c r="P91" s="104"/>
      <c r="Q91" s="104"/>
      <c r="R91" s="104"/>
      <c r="S91" s="104"/>
      <c r="T91" s="104"/>
      <c r="U91" s="104"/>
      <c r="V91" s="94"/>
      <c r="W91" s="94"/>
      <c r="X91" s="134" t="str">
        <f t="shared" si="53"/>
        <v/>
      </c>
      <c r="Y91" s="253">
        <f>NETWORKDAYS(P91,Q91,진행현황_전체!C$59:C$77)</f>
        <v>0</v>
      </c>
      <c r="Z91" s="258"/>
      <c r="AA91" s="135">
        <f t="shared" si="66"/>
        <v>0</v>
      </c>
      <c r="AB91" s="136">
        <f t="shared" si="66"/>
        <v>0</v>
      </c>
      <c r="AC91" s="136">
        <f t="shared" si="66"/>
        <v>0</v>
      </c>
      <c r="AD91" s="136">
        <f t="shared" si="66"/>
        <v>0</v>
      </c>
      <c r="AE91" s="137">
        <f t="shared" si="66"/>
        <v>0</v>
      </c>
      <c r="AF91" s="138">
        <f t="shared" si="66"/>
        <v>0</v>
      </c>
      <c r="AG91" s="136">
        <f t="shared" si="66"/>
        <v>0</v>
      </c>
      <c r="AH91" s="136">
        <f t="shared" si="66"/>
        <v>0</v>
      </c>
      <c r="AI91" s="137">
        <f t="shared" si="66"/>
        <v>0</v>
      </c>
      <c r="AJ91" s="135">
        <f t="shared" si="66"/>
        <v>0</v>
      </c>
      <c r="AK91" s="136">
        <f t="shared" si="66"/>
        <v>0</v>
      </c>
      <c r="AL91" s="136">
        <f t="shared" si="66"/>
        <v>0</v>
      </c>
      <c r="AM91" s="137">
        <f t="shared" si="66"/>
        <v>0</v>
      </c>
      <c r="AN91" s="135">
        <f t="shared" si="66"/>
        <v>0</v>
      </c>
      <c r="AO91" s="138">
        <f t="shared" si="66"/>
        <v>0</v>
      </c>
      <c r="AP91" s="136">
        <f t="shared" si="66"/>
        <v>0</v>
      </c>
      <c r="AQ91" s="136">
        <f t="shared" si="67"/>
        <v>0</v>
      </c>
      <c r="AR91" s="194">
        <f t="shared" si="66"/>
        <v>0</v>
      </c>
      <c r="AS91" s="138">
        <f t="shared" si="66"/>
        <v>0</v>
      </c>
      <c r="AT91" s="136">
        <f t="shared" si="66"/>
        <v>0</v>
      </c>
      <c r="AU91" s="136">
        <f t="shared" si="66"/>
        <v>0</v>
      </c>
      <c r="AV91" s="137">
        <f t="shared" si="66"/>
        <v>0</v>
      </c>
      <c r="AW91" s="135">
        <f t="shared" si="66"/>
        <v>0</v>
      </c>
      <c r="AX91" s="136">
        <f t="shared" si="66"/>
        <v>0</v>
      </c>
      <c r="AY91" s="136">
        <f t="shared" si="66"/>
        <v>0</v>
      </c>
      <c r="AZ91" s="137">
        <f t="shared" si="66"/>
        <v>0</v>
      </c>
      <c r="BA91" s="135">
        <f t="shared" si="68"/>
        <v>0</v>
      </c>
      <c r="BB91" s="136">
        <f t="shared" si="68"/>
        <v>0</v>
      </c>
      <c r="BC91" s="136">
        <f t="shared" si="68"/>
        <v>0</v>
      </c>
      <c r="BD91" s="136">
        <f t="shared" si="68"/>
        <v>0</v>
      </c>
      <c r="BE91" s="137">
        <f t="shared" si="68"/>
        <v>0</v>
      </c>
      <c r="BF91" s="138">
        <f t="shared" si="68"/>
        <v>0</v>
      </c>
      <c r="BG91" s="136">
        <f t="shared" si="68"/>
        <v>0</v>
      </c>
      <c r="BH91" s="136">
        <f t="shared" si="68"/>
        <v>0</v>
      </c>
      <c r="BI91" s="137">
        <f t="shared" si="68"/>
        <v>0</v>
      </c>
      <c r="BJ91" s="135">
        <f t="shared" si="68"/>
        <v>0</v>
      </c>
      <c r="BK91" s="136">
        <f t="shared" si="68"/>
        <v>0</v>
      </c>
      <c r="BL91" s="136">
        <f t="shared" si="68"/>
        <v>0</v>
      </c>
      <c r="BM91" s="137">
        <f t="shared" si="68"/>
        <v>0</v>
      </c>
      <c r="BN91" s="138">
        <f t="shared" si="68"/>
        <v>0</v>
      </c>
      <c r="BO91" s="136">
        <f t="shared" si="68"/>
        <v>0</v>
      </c>
      <c r="BP91" s="136">
        <f t="shared" si="68"/>
        <v>0</v>
      </c>
      <c r="BQ91" s="136">
        <f t="shared" si="68"/>
        <v>0</v>
      </c>
      <c r="BR91" s="137">
        <f t="shared" si="68"/>
        <v>0</v>
      </c>
      <c r="BS91" s="138">
        <f t="shared" si="68"/>
        <v>0</v>
      </c>
      <c r="BT91" s="136">
        <f t="shared" si="68"/>
        <v>0</v>
      </c>
      <c r="BU91" s="136">
        <f t="shared" si="68"/>
        <v>0</v>
      </c>
      <c r="BV91" s="137">
        <f t="shared" si="68"/>
        <v>0</v>
      </c>
      <c r="BW91" s="138">
        <f t="shared" si="68"/>
        <v>0</v>
      </c>
      <c r="BX91" s="136">
        <f t="shared" si="68"/>
        <v>0</v>
      </c>
      <c r="BY91" s="136">
        <f t="shared" si="68"/>
        <v>0</v>
      </c>
      <c r="BZ91" s="136">
        <f t="shared" si="69"/>
        <v>0</v>
      </c>
      <c r="CA91" s="137">
        <f t="shared" si="68"/>
        <v>0</v>
      </c>
      <c r="CB91" s="138">
        <f t="shared" si="68"/>
        <v>0</v>
      </c>
      <c r="CC91" s="136">
        <f t="shared" si="68"/>
        <v>0</v>
      </c>
      <c r="CD91" s="136">
        <f t="shared" si="68"/>
        <v>0</v>
      </c>
      <c r="CE91" s="137">
        <f t="shared" si="68"/>
        <v>0</v>
      </c>
      <c r="CF91" s="135">
        <f t="shared" si="68"/>
        <v>0</v>
      </c>
      <c r="CG91" s="136">
        <f t="shared" si="68"/>
        <v>0</v>
      </c>
      <c r="CH91" s="136">
        <f t="shared" si="68"/>
        <v>0</v>
      </c>
      <c r="CI91" s="137">
        <f t="shared" si="68"/>
        <v>0</v>
      </c>
    </row>
    <row r="92" spans="1:87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62"/>
        <v>1</v>
      </c>
      <c r="K92" s="101">
        <v>0</v>
      </c>
      <c r="L92" s="132">
        <f t="shared" si="63"/>
        <v>0.1</v>
      </c>
      <c r="M92" s="132">
        <f t="shared" si="64"/>
        <v>0</v>
      </c>
      <c r="N92" s="132">
        <f t="shared" si="54"/>
        <v>-0.1</v>
      </c>
      <c r="O92" s="133" t="str">
        <f t="shared" si="65"/>
        <v>지연</v>
      </c>
      <c r="P92" s="104"/>
      <c r="Q92" s="104"/>
      <c r="R92" s="104"/>
      <c r="S92" s="104"/>
      <c r="T92" s="104"/>
      <c r="U92" s="104"/>
      <c r="V92" s="94"/>
      <c r="W92" s="94"/>
      <c r="X92" s="134" t="str">
        <f t="shared" si="53"/>
        <v/>
      </c>
      <c r="Y92" s="253">
        <f>NETWORKDAYS(P92,Q92,진행현황_전체!C$59:C$77)</f>
        <v>0</v>
      </c>
      <c r="Z92" s="258"/>
      <c r="AA92" s="135">
        <f t="shared" si="66"/>
        <v>0</v>
      </c>
      <c r="AB92" s="136">
        <f t="shared" si="66"/>
        <v>0</v>
      </c>
      <c r="AC92" s="136">
        <f t="shared" si="66"/>
        <v>0</v>
      </c>
      <c r="AD92" s="136">
        <f t="shared" si="66"/>
        <v>0</v>
      </c>
      <c r="AE92" s="137">
        <f t="shared" si="66"/>
        <v>0</v>
      </c>
      <c r="AF92" s="138">
        <f t="shared" si="66"/>
        <v>0</v>
      </c>
      <c r="AG92" s="136">
        <f t="shared" si="66"/>
        <v>0</v>
      </c>
      <c r="AH92" s="136">
        <f t="shared" si="66"/>
        <v>0</v>
      </c>
      <c r="AI92" s="137">
        <f t="shared" si="66"/>
        <v>0</v>
      </c>
      <c r="AJ92" s="135">
        <f t="shared" si="66"/>
        <v>0</v>
      </c>
      <c r="AK92" s="136">
        <f t="shared" si="66"/>
        <v>0</v>
      </c>
      <c r="AL92" s="136">
        <f t="shared" si="66"/>
        <v>0</v>
      </c>
      <c r="AM92" s="137">
        <f t="shared" si="66"/>
        <v>0</v>
      </c>
      <c r="AN92" s="135">
        <f t="shared" si="66"/>
        <v>0</v>
      </c>
      <c r="AO92" s="138">
        <f t="shared" si="66"/>
        <v>0</v>
      </c>
      <c r="AP92" s="136">
        <f t="shared" si="66"/>
        <v>0</v>
      </c>
      <c r="AQ92" s="136">
        <f t="shared" si="67"/>
        <v>0</v>
      </c>
      <c r="AR92" s="194">
        <f t="shared" si="66"/>
        <v>0</v>
      </c>
      <c r="AS92" s="138">
        <f t="shared" si="66"/>
        <v>0</v>
      </c>
      <c r="AT92" s="136">
        <f t="shared" si="66"/>
        <v>0</v>
      </c>
      <c r="AU92" s="136">
        <f t="shared" si="66"/>
        <v>0</v>
      </c>
      <c r="AV92" s="137">
        <f t="shared" si="66"/>
        <v>0</v>
      </c>
      <c r="AW92" s="135">
        <f t="shared" si="66"/>
        <v>0</v>
      </c>
      <c r="AX92" s="136">
        <f t="shared" si="66"/>
        <v>0</v>
      </c>
      <c r="AY92" s="136">
        <f t="shared" si="66"/>
        <v>0</v>
      </c>
      <c r="AZ92" s="137">
        <f t="shared" si="66"/>
        <v>0</v>
      </c>
      <c r="BA92" s="135">
        <f t="shared" si="68"/>
        <v>0</v>
      </c>
      <c r="BB92" s="136">
        <f t="shared" si="68"/>
        <v>0</v>
      </c>
      <c r="BC92" s="136">
        <f t="shared" si="68"/>
        <v>0</v>
      </c>
      <c r="BD92" s="136">
        <f t="shared" si="68"/>
        <v>0</v>
      </c>
      <c r="BE92" s="137">
        <f t="shared" si="68"/>
        <v>0</v>
      </c>
      <c r="BF92" s="138">
        <f t="shared" si="68"/>
        <v>0</v>
      </c>
      <c r="BG92" s="136">
        <f t="shared" si="68"/>
        <v>0</v>
      </c>
      <c r="BH92" s="136">
        <f t="shared" si="68"/>
        <v>0</v>
      </c>
      <c r="BI92" s="137">
        <f t="shared" si="68"/>
        <v>0</v>
      </c>
      <c r="BJ92" s="135">
        <f t="shared" si="68"/>
        <v>0</v>
      </c>
      <c r="BK92" s="136">
        <f t="shared" si="68"/>
        <v>0</v>
      </c>
      <c r="BL92" s="136">
        <f t="shared" si="68"/>
        <v>0</v>
      </c>
      <c r="BM92" s="137">
        <f t="shared" si="68"/>
        <v>0</v>
      </c>
      <c r="BN92" s="138">
        <f t="shared" si="68"/>
        <v>0</v>
      </c>
      <c r="BO92" s="136">
        <f t="shared" si="68"/>
        <v>0</v>
      </c>
      <c r="BP92" s="136">
        <f t="shared" si="68"/>
        <v>0</v>
      </c>
      <c r="BQ92" s="136">
        <f t="shared" si="68"/>
        <v>0</v>
      </c>
      <c r="BR92" s="137">
        <f t="shared" si="68"/>
        <v>0</v>
      </c>
      <c r="BS92" s="138">
        <f t="shared" si="68"/>
        <v>0</v>
      </c>
      <c r="BT92" s="136">
        <f t="shared" si="68"/>
        <v>0</v>
      </c>
      <c r="BU92" s="136">
        <f t="shared" si="68"/>
        <v>0</v>
      </c>
      <c r="BV92" s="137">
        <f t="shared" si="68"/>
        <v>0</v>
      </c>
      <c r="BW92" s="138">
        <f t="shared" si="68"/>
        <v>0</v>
      </c>
      <c r="BX92" s="136">
        <f t="shared" si="68"/>
        <v>0</v>
      </c>
      <c r="BY92" s="136">
        <f t="shared" si="68"/>
        <v>0</v>
      </c>
      <c r="BZ92" s="136">
        <f t="shared" si="69"/>
        <v>0</v>
      </c>
      <c r="CA92" s="137">
        <f t="shared" si="68"/>
        <v>0</v>
      </c>
      <c r="CB92" s="138">
        <f t="shared" si="68"/>
        <v>0</v>
      </c>
      <c r="CC92" s="136">
        <f t="shared" si="68"/>
        <v>0</v>
      </c>
      <c r="CD92" s="136">
        <f t="shared" si="68"/>
        <v>0</v>
      </c>
      <c r="CE92" s="137">
        <f t="shared" si="68"/>
        <v>0</v>
      </c>
      <c r="CF92" s="135">
        <f t="shared" si="68"/>
        <v>0</v>
      </c>
      <c r="CG92" s="136">
        <f t="shared" si="68"/>
        <v>0</v>
      </c>
      <c r="CH92" s="136">
        <f t="shared" si="68"/>
        <v>0</v>
      </c>
      <c r="CI92" s="137">
        <f t="shared" si="68"/>
        <v>0</v>
      </c>
    </row>
    <row r="93" spans="1:87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62"/>
        <v>1</v>
      </c>
      <c r="K93" s="101">
        <v>0</v>
      </c>
      <c r="L93" s="132">
        <f t="shared" si="63"/>
        <v>0.1</v>
      </c>
      <c r="M93" s="132">
        <f t="shared" si="64"/>
        <v>0</v>
      </c>
      <c r="N93" s="132">
        <f t="shared" si="54"/>
        <v>-0.1</v>
      </c>
      <c r="O93" s="133" t="str">
        <f t="shared" si="65"/>
        <v>지연</v>
      </c>
      <c r="P93" s="104"/>
      <c r="Q93" s="104"/>
      <c r="R93" s="104"/>
      <c r="S93" s="104"/>
      <c r="T93" s="104"/>
      <c r="U93" s="104"/>
      <c r="V93" s="130"/>
      <c r="W93" s="130"/>
      <c r="X93" s="134" t="str">
        <f t="shared" si="53"/>
        <v/>
      </c>
      <c r="Y93" s="253">
        <f>NETWORKDAYS(P93,Q93,진행현황_전체!C$59:C$77)</f>
        <v>0</v>
      </c>
      <c r="Z93" s="258"/>
      <c r="AA93" s="135">
        <f t="shared" si="66"/>
        <v>0</v>
      </c>
      <c r="AB93" s="136">
        <f t="shared" si="66"/>
        <v>0</v>
      </c>
      <c r="AC93" s="136">
        <f t="shared" si="66"/>
        <v>0</v>
      </c>
      <c r="AD93" s="136">
        <f t="shared" si="66"/>
        <v>0</v>
      </c>
      <c r="AE93" s="137">
        <f t="shared" si="66"/>
        <v>0</v>
      </c>
      <c r="AF93" s="138">
        <f t="shared" si="66"/>
        <v>0</v>
      </c>
      <c r="AG93" s="136">
        <f t="shared" si="66"/>
        <v>0</v>
      </c>
      <c r="AH93" s="136">
        <f t="shared" si="66"/>
        <v>0</v>
      </c>
      <c r="AI93" s="137">
        <f t="shared" si="66"/>
        <v>0</v>
      </c>
      <c r="AJ93" s="135">
        <f t="shared" si="66"/>
        <v>0</v>
      </c>
      <c r="AK93" s="136">
        <f t="shared" si="66"/>
        <v>0</v>
      </c>
      <c r="AL93" s="136">
        <f t="shared" si="66"/>
        <v>0</v>
      </c>
      <c r="AM93" s="137">
        <f t="shared" si="66"/>
        <v>0</v>
      </c>
      <c r="AN93" s="135">
        <f t="shared" si="66"/>
        <v>0</v>
      </c>
      <c r="AO93" s="138">
        <f t="shared" si="66"/>
        <v>0</v>
      </c>
      <c r="AP93" s="136">
        <f t="shared" si="66"/>
        <v>0</v>
      </c>
      <c r="AQ93" s="136">
        <f t="shared" si="67"/>
        <v>0</v>
      </c>
      <c r="AR93" s="194">
        <f t="shared" si="66"/>
        <v>0</v>
      </c>
      <c r="AS93" s="138">
        <f t="shared" si="66"/>
        <v>0</v>
      </c>
      <c r="AT93" s="136">
        <f t="shared" si="66"/>
        <v>0</v>
      </c>
      <c r="AU93" s="136">
        <f t="shared" si="66"/>
        <v>0</v>
      </c>
      <c r="AV93" s="137">
        <f t="shared" si="66"/>
        <v>0</v>
      </c>
      <c r="AW93" s="135">
        <f t="shared" si="66"/>
        <v>0</v>
      </c>
      <c r="AX93" s="136">
        <f t="shared" si="66"/>
        <v>0</v>
      </c>
      <c r="AY93" s="136">
        <f t="shared" si="66"/>
        <v>0</v>
      </c>
      <c r="AZ93" s="137">
        <f t="shared" si="66"/>
        <v>0</v>
      </c>
      <c r="BA93" s="135">
        <f t="shared" si="68"/>
        <v>0</v>
      </c>
      <c r="BB93" s="136">
        <f t="shared" si="68"/>
        <v>0</v>
      </c>
      <c r="BC93" s="136">
        <f t="shared" si="68"/>
        <v>0</v>
      </c>
      <c r="BD93" s="136">
        <f t="shared" si="68"/>
        <v>0</v>
      </c>
      <c r="BE93" s="137">
        <f t="shared" si="68"/>
        <v>0</v>
      </c>
      <c r="BF93" s="138">
        <f t="shared" si="68"/>
        <v>0</v>
      </c>
      <c r="BG93" s="136">
        <f t="shared" si="68"/>
        <v>0</v>
      </c>
      <c r="BH93" s="136">
        <f t="shared" si="68"/>
        <v>0</v>
      </c>
      <c r="BI93" s="137">
        <f t="shared" si="68"/>
        <v>0</v>
      </c>
      <c r="BJ93" s="135">
        <f t="shared" si="68"/>
        <v>0</v>
      </c>
      <c r="BK93" s="136">
        <f t="shared" si="68"/>
        <v>0</v>
      </c>
      <c r="BL93" s="136">
        <f t="shared" si="68"/>
        <v>0</v>
      </c>
      <c r="BM93" s="137">
        <f t="shared" si="68"/>
        <v>0</v>
      </c>
      <c r="BN93" s="138">
        <f t="shared" si="68"/>
        <v>0</v>
      </c>
      <c r="BO93" s="136">
        <f t="shared" si="68"/>
        <v>0</v>
      </c>
      <c r="BP93" s="136">
        <f t="shared" si="68"/>
        <v>0</v>
      </c>
      <c r="BQ93" s="136">
        <f t="shared" si="68"/>
        <v>0</v>
      </c>
      <c r="BR93" s="137">
        <f t="shared" si="68"/>
        <v>0</v>
      </c>
      <c r="BS93" s="138">
        <f t="shared" si="68"/>
        <v>0</v>
      </c>
      <c r="BT93" s="136">
        <f t="shared" si="68"/>
        <v>0</v>
      </c>
      <c r="BU93" s="136">
        <f t="shared" si="68"/>
        <v>0</v>
      </c>
      <c r="BV93" s="137">
        <f t="shared" si="68"/>
        <v>0</v>
      </c>
      <c r="BW93" s="138">
        <f t="shared" si="68"/>
        <v>0</v>
      </c>
      <c r="BX93" s="136">
        <f t="shared" si="68"/>
        <v>0</v>
      </c>
      <c r="BY93" s="136">
        <f t="shared" si="68"/>
        <v>0</v>
      </c>
      <c r="BZ93" s="136">
        <f t="shared" si="69"/>
        <v>0</v>
      </c>
      <c r="CA93" s="137">
        <f t="shared" si="68"/>
        <v>0</v>
      </c>
      <c r="CB93" s="138">
        <f t="shared" si="68"/>
        <v>0</v>
      </c>
      <c r="CC93" s="136">
        <f t="shared" si="68"/>
        <v>0</v>
      </c>
      <c r="CD93" s="136">
        <f t="shared" si="68"/>
        <v>0</v>
      </c>
      <c r="CE93" s="137">
        <f t="shared" si="68"/>
        <v>0</v>
      </c>
      <c r="CF93" s="135">
        <f t="shared" si="68"/>
        <v>0</v>
      </c>
      <c r="CG93" s="136">
        <f t="shared" si="68"/>
        <v>0</v>
      </c>
      <c r="CH93" s="136">
        <f t="shared" si="68"/>
        <v>0</v>
      </c>
      <c r="CI93" s="137">
        <f t="shared" si="68"/>
        <v>0</v>
      </c>
    </row>
    <row r="94" spans="1:87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62"/>
        <v>1</v>
      </c>
      <c r="K94" s="101">
        <v>0</v>
      </c>
      <c r="L94" s="132">
        <f t="shared" si="63"/>
        <v>0.1</v>
      </c>
      <c r="M94" s="132">
        <f t="shared" si="64"/>
        <v>0</v>
      </c>
      <c r="N94" s="132">
        <f t="shared" si="54"/>
        <v>-0.1</v>
      </c>
      <c r="O94" s="133" t="str">
        <f t="shared" si="65"/>
        <v>지연</v>
      </c>
      <c r="P94" s="104"/>
      <c r="Q94" s="104"/>
      <c r="R94" s="104"/>
      <c r="S94" s="104"/>
      <c r="T94" s="104"/>
      <c r="U94" s="104"/>
      <c r="V94" s="94"/>
      <c r="W94" s="94"/>
      <c r="X94" s="134" t="str">
        <f t="shared" si="53"/>
        <v/>
      </c>
      <c r="Y94" s="253">
        <f>NETWORKDAYS(P94,Q94,진행현황_전체!C$59:C$77)</f>
        <v>0</v>
      </c>
      <c r="Z94" s="258"/>
      <c r="AA94" s="135">
        <f t="shared" si="66"/>
        <v>0</v>
      </c>
      <c r="AB94" s="136">
        <f t="shared" si="66"/>
        <v>0</v>
      </c>
      <c r="AC94" s="136">
        <f t="shared" si="66"/>
        <v>0</v>
      </c>
      <c r="AD94" s="136">
        <f t="shared" si="66"/>
        <v>0</v>
      </c>
      <c r="AE94" s="137">
        <f t="shared" si="66"/>
        <v>0</v>
      </c>
      <c r="AF94" s="138">
        <f t="shared" si="66"/>
        <v>0</v>
      </c>
      <c r="AG94" s="136">
        <f t="shared" si="66"/>
        <v>0</v>
      </c>
      <c r="AH94" s="136">
        <f t="shared" si="66"/>
        <v>0</v>
      </c>
      <c r="AI94" s="137">
        <f t="shared" si="66"/>
        <v>0</v>
      </c>
      <c r="AJ94" s="135">
        <f t="shared" si="66"/>
        <v>0</v>
      </c>
      <c r="AK94" s="136">
        <f t="shared" si="66"/>
        <v>0</v>
      </c>
      <c r="AL94" s="136">
        <f t="shared" si="66"/>
        <v>0</v>
      </c>
      <c r="AM94" s="137">
        <f t="shared" si="66"/>
        <v>0</v>
      </c>
      <c r="AN94" s="135">
        <f t="shared" si="66"/>
        <v>0</v>
      </c>
      <c r="AO94" s="138">
        <f t="shared" si="66"/>
        <v>0</v>
      </c>
      <c r="AP94" s="136">
        <f t="shared" si="66"/>
        <v>0</v>
      </c>
      <c r="AQ94" s="136">
        <f t="shared" si="67"/>
        <v>0</v>
      </c>
      <c r="AR94" s="194">
        <f t="shared" si="66"/>
        <v>0</v>
      </c>
      <c r="AS94" s="138">
        <f t="shared" si="66"/>
        <v>0</v>
      </c>
      <c r="AT94" s="136">
        <f t="shared" si="66"/>
        <v>0</v>
      </c>
      <c r="AU94" s="136">
        <f t="shared" si="66"/>
        <v>0</v>
      </c>
      <c r="AV94" s="137">
        <f t="shared" si="66"/>
        <v>0</v>
      </c>
      <c r="AW94" s="135">
        <f t="shared" si="66"/>
        <v>0</v>
      </c>
      <c r="AX94" s="136">
        <f t="shared" si="66"/>
        <v>0</v>
      </c>
      <c r="AY94" s="136">
        <f t="shared" si="66"/>
        <v>0</v>
      </c>
      <c r="AZ94" s="137">
        <f t="shared" si="66"/>
        <v>0</v>
      </c>
      <c r="BA94" s="135">
        <f t="shared" si="68"/>
        <v>0</v>
      </c>
      <c r="BB94" s="136">
        <f t="shared" si="68"/>
        <v>0</v>
      </c>
      <c r="BC94" s="136">
        <f t="shared" si="68"/>
        <v>0</v>
      </c>
      <c r="BD94" s="136">
        <f t="shared" si="68"/>
        <v>0</v>
      </c>
      <c r="BE94" s="137">
        <f t="shared" si="68"/>
        <v>0</v>
      </c>
      <c r="BF94" s="138">
        <f t="shared" si="68"/>
        <v>0</v>
      </c>
      <c r="BG94" s="136">
        <f t="shared" si="68"/>
        <v>0</v>
      </c>
      <c r="BH94" s="136">
        <f t="shared" si="68"/>
        <v>0</v>
      </c>
      <c r="BI94" s="137">
        <f t="shared" si="68"/>
        <v>0</v>
      </c>
      <c r="BJ94" s="135">
        <f t="shared" si="68"/>
        <v>0</v>
      </c>
      <c r="BK94" s="136">
        <f t="shared" si="68"/>
        <v>0</v>
      </c>
      <c r="BL94" s="136">
        <f t="shared" si="68"/>
        <v>0</v>
      </c>
      <c r="BM94" s="137">
        <f t="shared" si="68"/>
        <v>0</v>
      </c>
      <c r="BN94" s="138">
        <f t="shared" si="68"/>
        <v>0</v>
      </c>
      <c r="BO94" s="136">
        <f t="shared" si="68"/>
        <v>0</v>
      </c>
      <c r="BP94" s="136">
        <f t="shared" si="68"/>
        <v>0</v>
      </c>
      <c r="BQ94" s="136">
        <f t="shared" si="68"/>
        <v>0</v>
      </c>
      <c r="BR94" s="137">
        <f t="shared" si="68"/>
        <v>0</v>
      </c>
      <c r="BS94" s="138">
        <f t="shared" si="68"/>
        <v>0</v>
      </c>
      <c r="BT94" s="136">
        <f t="shared" si="68"/>
        <v>0</v>
      </c>
      <c r="BU94" s="136">
        <f t="shared" si="68"/>
        <v>0</v>
      </c>
      <c r="BV94" s="137">
        <f t="shared" si="68"/>
        <v>0</v>
      </c>
      <c r="BW94" s="138">
        <f t="shared" si="68"/>
        <v>0</v>
      </c>
      <c r="BX94" s="136">
        <f t="shared" si="68"/>
        <v>0</v>
      </c>
      <c r="BY94" s="136">
        <f t="shared" si="68"/>
        <v>0</v>
      </c>
      <c r="BZ94" s="136">
        <f t="shared" si="69"/>
        <v>0</v>
      </c>
      <c r="CA94" s="137">
        <f t="shared" si="68"/>
        <v>0</v>
      </c>
      <c r="CB94" s="138">
        <f t="shared" si="68"/>
        <v>0</v>
      </c>
      <c r="CC94" s="136">
        <f t="shared" si="68"/>
        <v>0</v>
      </c>
      <c r="CD94" s="136">
        <f t="shared" si="68"/>
        <v>0</v>
      </c>
      <c r="CE94" s="137">
        <f t="shared" si="68"/>
        <v>0</v>
      </c>
      <c r="CF94" s="135">
        <f t="shared" si="68"/>
        <v>0</v>
      </c>
      <c r="CG94" s="136">
        <f t="shared" si="68"/>
        <v>0</v>
      </c>
      <c r="CH94" s="136">
        <f t="shared" si="68"/>
        <v>0</v>
      </c>
      <c r="CI94" s="137">
        <f t="shared" si="68"/>
        <v>0</v>
      </c>
    </row>
    <row r="95" spans="1:87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62"/>
        <v>1</v>
      </c>
      <c r="K95" s="101">
        <v>0</v>
      </c>
      <c r="L95" s="132">
        <f t="shared" si="63"/>
        <v>0.1</v>
      </c>
      <c r="M95" s="132">
        <f t="shared" si="64"/>
        <v>0</v>
      </c>
      <c r="N95" s="132">
        <f t="shared" si="54"/>
        <v>-0.1</v>
      </c>
      <c r="O95" s="133" t="str">
        <f t="shared" si="65"/>
        <v>지연</v>
      </c>
      <c r="P95" s="104"/>
      <c r="Q95" s="104"/>
      <c r="R95" s="104"/>
      <c r="S95" s="104"/>
      <c r="T95" s="104"/>
      <c r="U95" s="104"/>
      <c r="V95" s="94"/>
      <c r="W95" s="94"/>
      <c r="X95" s="134" t="str">
        <f t="shared" si="53"/>
        <v/>
      </c>
      <c r="Y95" s="253">
        <f>NETWORKDAYS(P95,Q95,진행현황_전체!C$59:C$77)</f>
        <v>0</v>
      </c>
      <c r="Z95" s="258"/>
      <c r="AA95" s="135">
        <f t="shared" si="66"/>
        <v>0</v>
      </c>
      <c r="AB95" s="136">
        <f t="shared" si="66"/>
        <v>0</v>
      </c>
      <c r="AC95" s="136">
        <f t="shared" si="66"/>
        <v>0</v>
      </c>
      <c r="AD95" s="136">
        <f t="shared" si="66"/>
        <v>0</v>
      </c>
      <c r="AE95" s="137">
        <f t="shared" si="66"/>
        <v>0</v>
      </c>
      <c r="AF95" s="138">
        <f t="shared" si="66"/>
        <v>0</v>
      </c>
      <c r="AG95" s="136">
        <f t="shared" si="66"/>
        <v>0</v>
      </c>
      <c r="AH95" s="136">
        <f t="shared" si="66"/>
        <v>0</v>
      </c>
      <c r="AI95" s="137">
        <f t="shared" si="66"/>
        <v>0</v>
      </c>
      <c r="AJ95" s="135">
        <f t="shared" si="66"/>
        <v>0</v>
      </c>
      <c r="AK95" s="136">
        <f t="shared" si="66"/>
        <v>0</v>
      </c>
      <c r="AL95" s="136">
        <f t="shared" si="66"/>
        <v>0</v>
      </c>
      <c r="AM95" s="137">
        <f t="shared" si="66"/>
        <v>0</v>
      </c>
      <c r="AN95" s="135">
        <f t="shared" si="66"/>
        <v>0</v>
      </c>
      <c r="AO95" s="138">
        <f t="shared" si="66"/>
        <v>0</v>
      </c>
      <c r="AP95" s="136">
        <f t="shared" si="66"/>
        <v>0</v>
      </c>
      <c r="AQ95" s="136">
        <f t="shared" si="67"/>
        <v>0</v>
      </c>
      <c r="AR95" s="194">
        <f t="shared" si="66"/>
        <v>0</v>
      </c>
      <c r="AS95" s="138">
        <f t="shared" si="66"/>
        <v>0</v>
      </c>
      <c r="AT95" s="136">
        <f t="shared" si="66"/>
        <v>0</v>
      </c>
      <c r="AU95" s="136">
        <f t="shared" si="66"/>
        <v>0</v>
      </c>
      <c r="AV95" s="137">
        <f t="shared" si="66"/>
        <v>0</v>
      </c>
      <c r="AW95" s="135">
        <f t="shared" si="66"/>
        <v>0</v>
      </c>
      <c r="AX95" s="136">
        <f t="shared" si="66"/>
        <v>0</v>
      </c>
      <c r="AY95" s="136">
        <f t="shared" si="66"/>
        <v>0</v>
      </c>
      <c r="AZ95" s="137">
        <f t="shared" si="66"/>
        <v>0</v>
      </c>
      <c r="BA95" s="135">
        <f t="shared" si="68"/>
        <v>0</v>
      </c>
      <c r="BB95" s="136">
        <f t="shared" si="68"/>
        <v>0</v>
      </c>
      <c r="BC95" s="136">
        <f t="shared" si="68"/>
        <v>0</v>
      </c>
      <c r="BD95" s="136">
        <f t="shared" si="68"/>
        <v>0</v>
      </c>
      <c r="BE95" s="137">
        <f t="shared" si="68"/>
        <v>0</v>
      </c>
      <c r="BF95" s="138">
        <f t="shared" si="68"/>
        <v>0</v>
      </c>
      <c r="BG95" s="136">
        <f t="shared" si="68"/>
        <v>0</v>
      </c>
      <c r="BH95" s="136">
        <f t="shared" si="68"/>
        <v>0</v>
      </c>
      <c r="BI95" s="137">
        <f t="shared" si="68"/>
        <v>0</v>
      </c>
      <c r="BJ95" s="135">
        <f t="shared" si="68"/>
        <v>0</v>
      </c>
      <c r="BK95" s="136">
        <f t="shared" ref="BK95:CI95" si="70">IF(OR((AND($P95&lt;=BK$7,AND($Q95&lt;=BK$8, $Q95&gt;=BK$7))),(AND(AND($P95&gt;=BK$7, $P95&lt;=BK$8),$Q95&gt;=BK$8)), AND($P95&gt;=BK$7, $Q95&lt;=BK$8), AND($P95&lt;=BK$7,$Q95&gt;=BK$8)),1,0)</f>
        <v>0</v>
      </c>
      <c r="BL95" s="136">
        <f t="shared" si="70"/>
        <v>0</v>
      </c>
      <c r="BM95" s="137">
        <f t="shared" si="70"/>
        <v>0</v>
      </c>
      <c r="BN95" s="138">
        <f t="shared" si="70"/>
        <v>0</v>
      </c>
      <c r="BO95" s="136">
        <f t="shared" si="70"/>
        <v>0</v>
      </c>
      <c r="BP95" s="136">
        <f t="shared" si="70"/>
        <v>0</v>
      </c>
      <c r="BQ95" s="136">
        <f t="shared" si="70"/>
        <v>0</v>
      </c>
      <c r="BR95" s="137">
        <f t="shared" si="70"/>
        <v>0</v>
      </c>
      <c r="BS95" s="138">
        <f t="shared" si="70"/>
        <v>0</v>
      </c>
      <c r="BT95" s="136">
        <f t="shared" si="70"/>
        <v>0</v>
      </c>
      <c r="BU95" s="136">
        <f t="shared" si="70"/>
        <v>0</v>
      </c>
      <c r="BV95" s="137">
        <f t="shared" si="70"/>
        <v>0</v>
      </c>
      <c r="BW95" s="138">
        <f t="shared" si="70"/>
        <v>0</v>
      </c>
      <c r="BX95" s="136">
        <f t="shared" si="70"/>
        <v>0</v>
      </c>
      <c r="BY95" s="136">
        <f t="shared" si="70"/>
        <v>0</v>
      </c>
      <c r="BZ95" s="136">
        <f t="shared" si="70"/>
        <v>0</v>
      </c>
      <c r="CA95" s="137">
        <f t="shared" si="70"/>
        <v>0</v>
      </c>
      <c r="CB95" s="138">
        <f t="shared" si="70"/>
        <v>0</v>
      </c>
      <c r="CC95" s="136">
        <f t="shared" si="70"/>
        <v>0</v>
      </c>
      <c r="CD95" s="136">
        <f t="shared" si="70"/>
        <v>0</v>
      </c>
      <c r="CE95" s="137">
        <f t="shared" si="70"/>
        <v>0</v>
      </c>
      <c r="CF95" s="135">
        <f t="shared" si="70"/>
        <v>0</v>
      </c>
      <c r="CG95" s="136">
        <f t="shared" si="70"/>
        <v>0</v>
      </c>
      <c r="CH95" s="136">
        <f t="shared" si="70"/>
        <v>0</v>
      </c>
      <c r="CI95" s="137">
        <f t="shared" si="70"/>
        <v>0</v>
      </c>
    </row>
    <row r="96" spans="1:87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62"/>
        <v>1</v>
      </c>
      <c r="K96" s="101">
        <v>0</v>
      </c>
      <c r="L96" s="132">
        <f t="shared" si="63"/>
        <v>0.1</v>
      </c>
      <c r="M96" s="132">
        <f t="shared" si="64"/>
        <v>0</v>
      </c>
      <c r="N96" s="132">
        <f t="shared" si="54"/>
        <v>-0.1</v>
      </c>
      <c r="O96" s="133" t="str">
        <f t="shared" si="65"/>
        <v>지연</v>
      </c>
      <c r="P96" s="104"/>
      <c r="Q96" s="104"/>
      <c r="R96" s="104"/>
      <c r="S96" s="104"/>
      <c r="T96" s="104"/>
      <c r="U96" s="104"/>
      <c r="V96" s="94"/>
      <c r="W96" s="94"/>
      <c r="X96" s="134" t="str">
        <f t="shared" si="53"/>
        <v/>
      </c>
      <c r="Y96" s="253">
        <f>NETWORKDAYS(P96,Q96,진행현황_전체!C$59:C$77)</f>
        <v>0</v>
      </c>
      <c r="Z96" s="258"/>
      <c r="AA96" s="135">
        <f t="shared" si="66"/>
        <v>0</v>
      </c>
      <c r="AB96" s="136">
        <f t="shared" si="66"/>
        <v>0</v>
      </c>
      <c r="AC96" s="136">
        <f t="shared" si="66"/>
        <v>0</v>
      </c>
      <c r="AD96" s="136">
        <f t="shared" si="66"/>
        <v>0</v>
      </c>
      <c r="AE96" s="137">
        <f t="shared" si="66"/>
        <v>0</v>
      </c>
      <c r="AF96" s="138">
        <f t="shared" si="66"/>
        <v>0</v>
      </c>
      <c r="AG96" s="136">
        <f t="shared" si="66"/>
        <v>0</v>
      </c>
      <c r="AH96" s="136">
        <f t="shared" si="66"/>
        <v>0</v>
      </c>
      <c r="AI96" s="137">
        <f t="shared" si="66"/>
        <v>0</v>
      </c>
      <c r="AJ96" s="135">
        <f t="shared" si="66"/>
        <v>0</v>
      </c>
      <c r="AK96" s="136">
        <f t="shared" si="66"/>
        <v>0</v>
      </c>
      <c r="AL96" s="136">
        <f t="shared" si="66"/>
        <v>0</v>
      </c>
      <c r="AM96" s="137">
        <f t="shared" si="66"/>
        <v>0</v>
      </c>
      <c r="AN96" s="135">
        <f t="shared" si="66"/>
        <v>0</v>
      </c>
      <c r="AO96" s="138">
        <f t="shared" si="66"/>
        <v>0</v>
      </c>
      <c r="AP96" s="136">
        <f t="shared" si="66"/>
        <v>0</v>
      </c>
      <c r="AQ96" s="136">
        <f t="shared" si="67"/>
        <v>0</v>
      </c>
      <c r="AR96" s="194">
        <f t="shared" si="66"/>
        <v>0</v>
      </c>
      <c r="AS96" s="138">
        <f t="shared" si="66"/>
        <v>0</v>
      </c>
      <c r="AT96" s="136">
        <f t="shared" si="66"/>
        <v>0</v>
      </c>
      <c r="AU96" s="136">
        <f t="shared" si="66"/>
        <v>0</v>
      </c>
      <c r="AV96" s="137">
        <f t="shared" si="66"/>
        <v>0</v>
      </c>
      <c r="AW96" s="135">
        <f t="shared" si="66"/>
        <v>0</v>
      </c>
      <c r="AX96" s="136">
        <f t="shared" si="66"/>
        <v>0</v>
      </c>
      <c r="AY96" s="136">
        <f t="shared" si="66"/>
        <v>0</v>
      </c>
      <c r="AZ96" s="137">
        <f t="shared" si="66"/>
        <v>0</v>
      </c>
      <c r="BA96" s="135">
        <f t="shared" ref="BA96:CI97" si="71">IF(OR((AND($P96&lt;=BA$7,AND($Q96&lt;=BA$8, $Q96&gt;=BA$7))),(AND(AND($P96&gt;=BA$7, $P96&lt;=BA$8),$Q96&gt;=BA$8)), AND($P96&gt;=BA$7, $Q96&lt;=BA$8), AND($P96&lt;=BA$7,$Q96&gt;=BA$8)),1,0)</f>
        <v>0</v>
      </c>
      <c r="BB96" s="136">
        <f t="shared" si="71"/>
        <v>0</v>
      </c>
      <c r="BC96" s="136">
        <f t="shared" si="71"/>
        <v>0</v>
      </c>
      <c r="BD96" s="136">
        <f t="shared" si="71"/>
        <v>0</v>
      </c>
      <c r="BE96" s="137">
        <f t="shared" si="71"/>
        <v>0</v>
      </c>
      <c r="BF96" s="138">
        <f t="shared" si="71"/>
        <v>0</v>
      </c>
      <c r="BG96" s="136">
        <f t="shared" si="71"/>
        <v>0</v>
      </c>
      <c r="BH96" s="136">
        <f t="shared" si="71"/>
        <v>0</v>
      </c>
      <c r="BI96" s="137">
        <f t="shared" si="71"/>
        <v>0</v>
      </c>
      <c r="BJ96" s="135">
        <f t="shared" si="71"/>
        <v>0</v>
      </c>
      <c r="BK96" s="136">
        <f t="shared" si="71"/>
        <v>0</v>
      </c>
      <c r="BL96" s="136">
        <f t="shared" si="71"/>
        <v>0</v>
      </c>
      <c r="BM96" s="137">
        <f t="shared" si="71"/>
        <v>0</v>
      </c>
      <c r="BN96" s="138">
        <f t="shared" si="71"/>
        <v>0</v>
      </c>
      <c r="BO96" s="136">
        <f t="shared" si="71"/>
        <v>0</v>
      </c>
      <c r="BP96" s="136">
        <f t="shared" si="71"/>
        <v>0</v>
      </c>
      <c r="BQ96" s="136">
        <f t="shared" si="71"/>
        <v>0</v>
      </c>
      <c r="BR96" s="137">
        <f t="shared" si="71"/>
        <v>0</v>
      </c>
      <c r="BS96" s="138">
        <f t="shared" si="71"/>
        <v>0</v>
      </c>
      <c r="BT96" s="136">
        <f t="shared" si="71"/>
        <v>0</v>
      </c>
      <c r="BU96" s="136">
        <f t="shared" si="71"/>
        <v>0</v>
      </c>
      <c r="BV96" s="137">
        <f t="shared" si="71"/>
        <v>0</v>
      </c>
      <c r="BW96" s="138">
        <f t="shared" si="71"/>
        <v>0</v>
      </c>
      <c r="BX96" s="136">
        <f t="shared" si="71"/>
        <v>0</v>
      </c>
      <c r="BY96" s="136">
        <f t="shared" si="71"/>
        <v>0</v>
      </c>
      <c r="BZ96" s="136">
        <f t="shared" si="71"/>
        <v>0</v>
      </c>
      <c r="CA96" s="137">
        <f t="shared" si="71"/>
        <v>0</v>
      </c>
      <c r="CB96" s="138">
        <f t="shared" si="71"/>
        <v>0</v>
      </c>
      <c r="CC96" s="136">
        <f t="shared" si="71"/>
        <v>0</v>
      </c>
      <c r="CD96" s="136">
        <f t="shared" si="71"/>
        <v>0</v>
      </c>
      <c r="CE96" s="137">
        <f t="shared" si="71"/>
        <v>0</v>
      </c>
      <c r="CF96" s="135">
        <f t="shared" si="71"/>
        <v>0</v>
      </c>
      <c r="CG96" s="136">
        <f t="shared" si="71"/>
        <v>0</v>
      </c>
      <c r="CH96" s="136">
        <f t="shared" si="71"/>
        <v>0</v>
      </c>
      <c r="CI96" s="137">
        <f t="shared" si="71"/>
        <v>0</v>
      </c>
    </row>
    <row r="97" spans="1:87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62"/>
        <v>1</v>
      </c>
      <c r="K97" s="155">
        <v>0</v>
      </c>
      <c r="L97" s="156">
        <f t="shared" si="63"/>
        <v>0.1</v>
      </c>
      <c r="M97" s="156">
        <f t="shared" si="64"/>
        <v>0</v>
      </c>
      <c r="N97" s="156">
        <f t="shared" si="54"/>
        <v>-0.1</v>
      </c>
      <c r="O97" s="157" t="str">
        <f t="shared" si="65"/>
        <v>지연</v>
      </c>
      <c r="P97" s="158"/>
      <c r="Q97" s="158"/>
      <c r="R97" s="158"/>
      <c r="S97" s="158"/>
      <c r="T97" s="158"/>
      <c r="U97" s="158"/>
      <c r="V97" s="154"/>
      <c r="W97" s="154"/>
      <c r="X97" s="159" t="str">
        <f t="shared" si="53"/>
        <v/>
      </c>
      <c r="Y97" s="254">
        <f>NETWORKDAYS(P97,Q97,진행현황_전체!C$59:C$77)</f>
        <v>0</v>
      </c>
      <c r="Z97" s="259"/>
      <c r="AA97" s="160">
        <f t="shared" si="66"/>
        <v>0</v>
      </c>
      <c r="AB97" s="161">
        <f t="shared" si="66"/>
        <v>0</v>
      </c>
      <c r="AC97" s="161">
        <f t="shared" si="66"/>
        <v>0</v>
      </c>
      <c r="AD97" s="161">
        <f t="shared" si="66"/>
        <v>0</v>
      </c>
      <c r="AE97" s="162">
        <f t="shared" si="66"/>
        <v>0</v>
      </c>
      <c r="AF97" s="163">
        <f t="shared" si="66"/>
        <v>0</v>
      </c>
      <c r="AG97" s="161">
        <f t="shared" si="66"/>
        <v>0</v>
      </c>
      <c r="AH97" s="161">
        <f t="shared" si="66"/>
        <v>0</v>
      </c>
      <c r="AI97" s="162">
        <f t="shared" si="66"/>
        <v>0</v>
      </c>
      <c r="AJ97" s="160">
        <f t="shared" si="66"/>
        <v>0</v>
      </c>
      <c r="AK97" s="161">
        <f t="shared" si="66"/>
        <v>0</v>
      </c>
      <c r="AL97" s="161">
        <f t="shared" si="66"/>
        <v>0</v>
      </c>
      <c r="AM97" s="162">
        <f t="shared" si="66"/>
        <v>0</v>
      </c>
      <c r="AN97" s="160">
        <f t="shared" si="66"/>
        <v>0</v>
      </c>
      <c r="AO97" s="163">
        <f t="shared" si="66"/>
        <v>0</v>
      </c>
      <c r="AP97" s="161">
        <f t="shared" si="66"/>
        <v>0</v>
      </c>
      <c r="AQ97" s="161">
        <f t="shared" si="67"/>
        <v>0</v>
      </c>
      <c r="AR97" s="195">
        <f t="shared" si="66"/>
        <v>0</v>
      </c>
      <c r="AS97" s="163">
        <f t="shared" si="66"/>
        <v>0</v>
      </c>
      <c r="AT97" s="161">
        <f t="shared" si="66"/>
        <v>0</v>
      </c>
      <c r="AU97" s="161">
        <f t="shared" si="66"/>
        <v>0</v>
      </c>
      <c r="AV97" s="162">
        <f t="shared" ref="AV97:AZ97" si="72">IF(OR((AND($P97&lt;=AV$7,AND($Q97&lt;=AV$8, $Q97&gt;=AV$7))),(AND(AND($P97&gt;=AV$7, $P97&lt;=AV$8),$Q97&gt;=AV$8)), AND($P97&gt;=AV$7, $Q97&lt;=AV$8), AND($P97&lt;=AV$7,$Q97&gt;=AV$8)),1,0)</f>
        <v>0</v>
      </c>
      <c r="AW97" s="160">
        <f t="shared" si="72"/>
        <v>0</v>
      </c>
      <c r="AX97" s="161">
        <f t="shared" si="72"/>
        <v>0</v>
      </c>
      <c r="AY97" s="161">
        <f t="shared" si="72"/>
        <v>0</v>
      </c>
      <c r="AZ97" s="162">
        <f t="shared" si="72"/>
        <v>0</v>
      </c>
      <c r="BA97" s="160">
        <f t="shared" si="71"/>
        <v>0</v>
      </c>
      <c r="BB97" s="161">
        <f t="shared" si="71"/>
        <v>0</v>
      </c>
      <c r="BC97" s="161">
        <f t="shared" si="71"/>
        <v>0</v>
      </c>
      <c r="BD97" s="161">
        <f t="shared" si="71"/>
        <v>0</v>
      </c>
      <c r="BE97" s="162">
        <f t="shared" si="71"/>
        <v>0</v>
      </c>
      <c r="BF97" s="163">
        <f t="shared" si="71"/>
        <v>0</v>
      </c>
      <c r="BG97" s="161">
        <f t="shared" si="71"/>
        <v>0</v>
      </c>
      <c r="BH97" s="161">
        <f t="shared" si="71"/>
        <v>0</v>
      </c>
      <c r="BI97" s="162">
        <f t="shared" si="71"/>
        <v>0</v>
      </c>
      <c r="BJ97" s="160">
        <f t="shared" si="71"/>
        <v>0</v>
      </c>
      <c r="BK97" s="161">
        <f t="shared" si="71"/>
        <v>0</v>
      </c>
      <c r="BL97" s="161">
        <f t="shared" si="71"/>
        <v>0</v>
      </c>
      <c r="BM97" s="162">
        <f t="shared" si="71"/>
        <v>0</v>
      </c>
      <c r="BN97" s="163">
        <f t="shared" si="71"/>
        <v>0</v>
      </c>
      <c r="BO97" s="161">
        <f t="shared" si="71"/>
        <v>0</v>
      </c>
      <c r="BP97" s="161">
        <f t="shared" si="71"/>
        <v>0</v>
      </c>
      <c r="BQ97" s="161">
        <f t="shared" si="71"/>
        <v>0</v>
      </c>
      <c r="BR97" s="162">
        <f t="shared" si="71"/>
        <v>0</v>
      </c>
      <c r="BS97" s="163">
        <f t="shared" si="71"/>
        <v>0</v>
      </c>
      <c r="BT97" s="161">
        <f t="shared" si="71"/>
        <v>0</v>
      </c>
      <c r="BU97" s="161">
        <f t="shared" si="71"/>
        <v>0</v>
      </c>
      <c r="BV97" s="162">
        <f t="shared" si="71"/>
        <v>0</v>
      </c>
      <c r="BW97" s="163">
        <f t="shared" si="71"/>
        <v>0</v>
      </c>
      <c r="BX97" s="161">
        <f t="shared" si="71"/>
        <v>0</v>
      </c>
      <c r="BY97" s="161">
        <f t="shared" si="71"/>
        <v>0</v>
      </c>
      <c r="BZ97" s="161">
        <f t="shared" si="71"/>
        <v>0</v>
      </c>
      <c r="CA97" s="162">
        <f t="shared" si="71"/>
        <v>0</v>
      </c>
      <c r="CB97" s="163">
        <f t="shared" si="71"/>
        <v>0</v>
      </c>
      <c r="CC97" s="161">
        <f t="shared" si="71"/>
        <v>0</v>
      </c>
      <c r="CD97" s="161">
        <f t="shared" si="71"/>
        <v>0</v>
      </c>
      <c r="CE97" s="162">
        <f t="shared" si="71"/>
        <v>0</v>
      </c>
      <c r="CF97" s="160">
        <f t="shared" si="71"/>
        <v>0</v>
      </c>
      <c r="CG97" s="161">
        <f t="shared" si="71"/>
        <v>0</v>
      </c>
      <c r="CH97" s="161">
        <f t="shared" si="71"/>
        <v>0</v>
      </c>
      <c r="CI97" s="162">
        <f t="shared" si="71"/>
        <v>0</v>
      </c>
    </row>
    <row r="98" spans="1:87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3"/>
      <c r="U98" s="143"/>
      <c r="V98" s="146"/>
      <c r="W98" s="146"/>
      <c r="X98" s="147"/>
      <c r="Y98" s="142"/>
      <c r="Z98" s="142"/>
      <c r="AA98" s="142"/>
      <c r="BA98" s="142"/>
    </row>
    <row r="99" spans="1:87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3"/>
      <c r="U99" s="143"/>
      <c r="V99" s="146"/>
      <c r="W99" s="146"/>
      <c r="X99" s="147"/>
      <c r="Y99" s="142"/>
      <c r="Z99" s="142"/>
      <c r="AA99" s="142"/>
      <c r="BA99" s="142"/>
    </row>
    <row r="100" spans="1:87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3"/>
      <c r="U100" s="143"/>
      <c r="V100" s="146"/>
      <c r="W100" s="146"/>
      <c r="X100" s="147"/>
      <c r="Y100" s="142"/>
      <c r="Z100" s="142"/>
      <c r="AA100" s="142"/>
      <c r="BA100" s="142"/>
    </row>
    <row r="101" spans="1:87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3"/>
      <c r="U101" s="143"/>
      <c r="V101" s="146"/>
      <c r="W101" s="146"/>
      <c r="X101" s="147"/>
      <c r="Y101" s="142"/>
      <c r="Z101" s="142"/>
      <c r="AA101" s="142"/>
      <c r="BA101" s="142"/>
    </row>
    <row r="102" spans="1:87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3"/>
      <c r="U102" s="143"/>
      <c r="V102" s="146"/>
      <c r="W102" s="146"/>
      <c r="X102" s="147"/>
      <c r="Y102" s="142"/>
      <c r="Z102" s="142"/>
      <c r="AA102" s="142"/>
      <c r="BA102" s="142"/>
    </row>
    <row r="103" spans="1:87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3"/>
      <c r="U103" s="143"/>
      <c r="V103" s="146"/>
      <c r="W103" s="146"/>
      <c r="X103" s="147"/>
      <c r="Y103" s="142"/>
      <c r="Z103" s="142"/>
      <c r="AA103" s="142"/>
      <c r="BA103" s="142"/>
    </row>
    <row r="104" spans="1:87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3"/>
      <c r="U104" s="143"/>
      <c r="V104" s="146"/>
      <c r="W104" s="146"/>
      <c r="X104" s="147"/>
      <c r="Y104" s="142"/>
      <c r="Z104" s="142"/>
      <c r="AA104" s="142"/>
      <c r="BA104" s="142"/>
    </row>
    <row r="105" spans="1:87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3"/>
      <c r="U105" s="143"/>
      <c r="V105" s="146"/>
      <c r="W105" s="146"/>
      <c r="X105" s="147"/>
      <c r="Y105" s="142"/>
      <c r="Z105" s="142"/>
      <c r="AA105" s="142"/>
      <c r="BA105" s="142"/>
    </row>
    <row r="106" spans="1:87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3"/>
      <c r="U106" s="143"/>
      <c r="V106" s="146"/>
      <c r="W106" s="146"/>
      <c r="X106" s="147"/>
      <c r="Y106" s="142"/>
      <c r="Z106" s="142"/>
      <c r="AA106" s="142"/>
      <c r="BA106" s="142"/>
    </row>
    <row r="107" spans="1:87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3"/>
      <c r="U107" s="143"/>
      <c r="V107" s="146"/>
      <c r="W107" s="146"/>
      <c r="X107" s="147"/>
      <c r="Y107" s="142"/>
      <c r="Z107" s="142"/>
      <c r="AA107" s="142"/>
      <c r="BA107" s="142"/>
    </row>
    <row r="108" spans="1:87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3"/>
      <c r="U108" s="143"/>
      <c r="V108" s="146"/>
      <c r="W108" s="146"/>
      <c r="X108" s="147"/>
      <c r="Y108" s="142"/>
      <c r="Z108" s="142"/>
      <c r="AA108" s="142"/>
      <c r="BA108" s="142"/>
    </row>
    <row r="109" spans="1:87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3"/>
      <c r="U109" s="143"/>
      <c r="V109" s="146"/>
      <c r="W109" s="146"/>
      <c r="X109" s="147"/>
      <c r="Y109" s="142"/>
      <c r="Z109" s="142"/>
      <c r="AA109" s="142"/>
      <c r="BA109" s="142"/>
    </row>
    <row r="110" spans="1:87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3"/>
      <c r="U110" s="143"/>
      <c r="V110" s="146"/>
      <c r="W110" s="146"/>
      <c r="X110" s="147"/>
      <c r="Y110" s="142"/>
      <c r="Z110" s="142"/>
      <c r="AA110" s="142"/>
      <c r="BA110" s="142"/>
    </row>
    <row r="111" spans="1:87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3"/>
      <c r="U111" s="143"/>
      <c r="V111" s="146"/>
      <c r="W111" s="146"/>
      <c r="X111" s="147"/>
      <c r="Y111" s="142"/>
      <c r="Z111" s="142"/>
      <c r="AA111" s="142"/>
      <c r="BA111" s="142"/>
    </row>
    <row r="112" spans="1:87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3"/>
      <c r="U112" s="143"/>
      <c r="V112" s="146"/>
      <c r="W112" s="146"/>
      <c r="X112" s="147"/>
      <c r="Y112" s="142"/>
      <c r="Z112" s="142"/>
      <c r="AA112" s="142"/>
      <c r="BA112" s="142"/>
    </row>
    <row r="113" spans="1:53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3"/>
      <c r="U113" s="143"/>
      <c r="V113" s="146"/>
      <c r="W113" s="146"/>
      <c r="X113" s="147"/>
      <c r="Y113" s="142"/>
      <c r="Z113" s="142"/>
      <c r="AA113" s="142"/>
      <c r="BA113" s="142"/>
    </row>
    <row r="114" spans="1:53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3"/>
      <c r="U114" s="143"/>
      <c r="V114" s="146"/>
      <c r="W114" s="146"/>
      <c r="X114" s="147"/>
      <c r="Y114" s="142"/>
      <c r="Z114" s="142"/>
      <c r="AA114" s="142"/>
      <c r="BA114" s="142"/>
    </row>
    <row r="115" spans="1:53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3"/>
      <c r="U115" s="143"/>
      <c r="V115" s="146"/>
      <c r="W115" s="146"/>
      <c r="X115" s="147"/>
      <c r="Y115" s="142"/>
      <c r="Z115" s="142"/>
      <c r="AA115" s="142"/>
      <c r="BA115" s="142"/>
    </row>
    <row r="116" spans="1:53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3"/>
      <c r="U116" s="143"/>
      <c r="V116" s="146"/>
      <c r="W116" s="146"/>
      <c r="X116" s="147"/>
      <c r="Y116" s="142"/>
      <c r="Z116" s="142"/>
      <c r="AA116" s="142"/>
      <c r="BA116" s="142"/>
    </row>
    <row r="117" spans="1:53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3"/>
      <c r="U117" s="143"/>
      <c r="V117" s="146"/>
      <c r="W117" s="146"/>
      <c r="X117" s="147"/>
      <c r="Y117" s="142"/>
      <c r="Z117" s="142"/>
      <c r="AA117" s="142"/>
      <c r="BA117" s="142"/>
    </row>
    <row r="118" spans="1:53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3"/>
      <c r="U118" s="143"/>
      <c r="V118" s="146"/>
      <c r="W118" s="146"/>
      <c r="X118" s="147"/>
      <c r="Y118" s="142"/>
      <c r="Z118" s="142"/>
      <c r="AA118" s="142"/>
      <c r="BA118" s="142"/>
    </row>
    <row r="119" spans="1:53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3"/>
      <c r="U119" s="143"/>
      <c r="V119" s="146"/>
      <c r="W119" s="146"/>
      <c r="X119" s="147"/>
      <c r="Y119" s="142"/>
      <c r="Z119" s="142"/>
      <c r="AA119" s="142"/>
      <c r="BA119" s="142"/>
    </row>
    <row r="120" spans="1:53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3"/>
      <c r="U120" s="143"/>
      <c r="V120" s="146"/>
      <c r="W120" s="146"/>
      <c r="X120" s="147"/>
      <c r="Y120" s="142"/>
      <c r="Z120" s="142"/>
      <c r="AA120" s="142"/>
      <c r="BA120" s="142"/>
    </row>
    <row r="121" spans="1:53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3"/>
      <c r="U121" s="143"/>
      <c r="V121" s="146"/>
      <c r="W121" s="146"/>
      <c r="X121" s="147"/>
      <c r="Y121" s="142"/>
      <c r="Z121" s="142"/>
      <c r="AA121" s="142"/>
      <c r="BA121" s="142"/>
    </row>
    <row r="122" spans="1:53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3"/>
      <c r="U122" s="143"/>
      <c r="V122" s="146"/>
      <c r="W122" s="146"/>
      <c r="X122" s="147"/>
      <c r="Y122" s="142"/>
      <c r="Z122" s="142"/>
      <c r="AA122" s="142"/>
      <c r="BA122" s="142"/>
    </row>
    <row r="123" spans="1:53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3"/>
      <c r="U123" s="143"/>
      <c r="V123" s="146"/>
      <c r="W123" s="146"/>
      <c r="X123" s="147"/>
      <c r="Y123" s="142"/>
      <c r="Z123" s="142"/>
      <c r="AA123" s="142"/>
      <c r="BA123" s="142"/>
    </row>
    <row r="124" spans="1:53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3"/>
      <c r="U124" s="143"/>
      <c r="V124" s="146"/>
      <c r="W124" s="146"/>
      <c r="X124" s="147"/>
      <c r="Y124" s="142"/>
      <c r="Z124" s="142"/>
      <c r="AA124" s="142"/>
      <c r="BA124" s="142"/>
    </row>
    <row r="125" spans="1:53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3"/>
      <c r="U125" s="143"/>
      <c r="V125" s="146"/>
      <c r="W125" s="146"/>
      <c r="X125" s="147"/>
      <c r="Y125" s="142"/>
      <c r="Z125" s="142"/>
      <c r="AA125" s="142"/>
      <c r="BA125" s="142"/>
    </row>
    <row r="126" spans="1:53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3"/>
      <c r="U126" s="143"/>
      <c r="V126" s="146"/>
      <c r="W126" s="146"/>
      <c r="X126" s="147"/>
      <c r="Y126" s="142"/>
      <c r="Z126" s="142"/>
      <c r="AA126" s="142"/>
      <c r="BA126" s="142"/>
    </row>
    <row r="127" spans="1:53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3"/>
      <c r="U127" s="143"/>
      <c r="V127" s="146"/>
      <c r="W127" s="146"/>
      <c r="X127" s="147"/>
      <c r="Y127" s="142"/>
      <c r="Z127" s="142"/>
      <c r="AA127" s="142"/>
      <c r="BA127" s="142"/>
    </row>
    <row r="128" spans="1:53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3"/>
      <c r="U128" s="143"/>
      <c r="V128" s="146"/>
      <c r="W128" s="146"/>
      <c r="X128" s="147"/>
      <c r="Y128" s="142"/>
      <c r="Z128" s="142"/>
      <c r="AA128" s="142"/>
      <c r="BA128" s="142"/>
    </row>
    <row r="129" spans="1:53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3"/>
      <c r="U129" s="143"/>
      <c r="V129" s="146"/>
      <c r="W129" s="146"/>
      <c r="X129" s="147"/>
      <c r="Y129" s="142"/>
      <c r="Z129" s="142"/>
      <c r="AA129" s="142"/>
      <c r="BA129" s="142"/>
    </row>
    <row r="130" spans="1:53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3"/>
      <c r="U130" s="143"/>
      <c r="V130" s="146"/>
      <c r="W130" s="146"/>
      <c r="X130" s="147"/>
      <c r="Y130" s="142"/>
      <c r="Z130" s="142"/>
      <c r="AA130" s="142"/>
      <c r="BA130" s="142"/>
    </row>
    <row r="131" spans="1:53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3"/>
      <c r="U131" s="143"/>
      <c r="V131" s="146"/>
      <c r="W131" s="146"/>
      <c r="X131" s="147"/>
      <c r="Y131" s="142"/>
      <c r="Z131" s="142"/>
      <c r="AA131" s="142"/>
      <c r="BA131" s="142"/>
    </row>
    <row r="132" spans="1:53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3"/>
      <c r="U132" s="143"/>
      <c r="V132" s="146"/>
      <c r="W132" s="146"/>
      <c r="X132" s="147"/>
      <c r="Y132" s="142"/>
      <c r="Z132" s="142"/>
      <c r="AA132" s="142"/>
      <c r="BA132" s="142"/>
    </row>
    <row r="133" spans="1:53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3"/>
      <c r="U133" s="143"/>
      <c r="V133" s="146"/>
      <c r="W133" s="146"/>
      <c r="X133" s="147"/>
      <c r="Y133" s="142"/>
      <c r="Z133" s="142"/>
      <c r="AA133" s="142"/>
      <c r="BA133" s="142"/>
    </row>
    <row r="134" spans="1:53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3"/>
      <c r="U134" s="143"/>
      <c r="V134" s="146"/>
      <c r="W134" s="146"/>
      <c r="X134" s="147"/>
      <c r="Y134" s="142"/>
      <c r="Z134" s="142"/>
      <c r="AA134" s="142"/>
      <c r="BA134" s="142"/>
    </row>
    <row r="135" spans="1:53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3"/>
      <c r="U135" s="143"/>
      <c r="V135" s="146"/>
      <c r="W135" s="146"/>
      <c r="X135" s="147"/>
      <c r="Y135" s="142"/>
      <c r="Z135" s="142"/>
      <c r="AA135" s="142"/>
      <c r="BA135" s="142"/>
    </row>
    <row r="136" spans="1:53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3"/>
      <c r="U136" s="143"/>
      <c r="V136" s="146"/>
      <c r="W136" s="146"/>
      <c r="X136" s="147"/>
      <c r="Y136" s="142"/>
      <c r="Z136" s="142"/>
      <c r="AA136" s="142"/>
      <c r="BA136" s="142"/>
    </row>
    <row r="137" spans="1:53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3"/>
      <c r="U137" s="143"/>
      <c r="V137" s="146"/>
      <c r="W137" s="146"/>
      <c r="X137" s="147"/>
      <c r="Y137" s="142"/>
      <c r="Z137" s="142"/>
      <c r="AA137" s="142"/>
      <c r="BA137" s="142"/>
    </row>
    <row r="138" spans="1:53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3"/>
      <c r="U138" s="143"/>
      <c r="V138" s="146"/>
      <c r="W138" s="146"/>
      <c r="X138" s="147"/>
      <c r="Y138" s="142"/>
      <c r="Z138" s="142"/>
      <c r="AA138" s="142"/>
      <c r="BA138" s="142"/>
    </row>
    <row r="139" spans="1:53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3"/>
      <c r="U139" s="143"/>
      <c r="V139" s="146"/>
      <c r="W139" s="146"/>
      <c r="X139" s="147"/>
      <c r="Y139" s="142"/>
      <c r="Z139" s="142"/>
      <c r="AA139" s="142"/>
      <c r="BA139" s="142"/>
    </row>
    <row r="140" spans="1:53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3"/>
      <c r="U140" s="143"/>
      <c r="V140" s="146"/>
      <c r="W140" s="146"/>
      <c r="X140" s="147"/>
      <c r="Y140" s="142"/>
      <c r="Z140" s="142"/>
      <c r="AA140" s="142"/>
      <c r="BA140" s="142"/>
    </row>
    <row r="141" spans="1:53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3"/>
      <c r="U141" s="143"/>
      <c r="V141" s="146"/>
      <c r="W141" s="146"/>
      <c r="X141" s="147"/>
      <c r="Y141" s="142"/>
      <c r="Z141" s="142"/>
      <c r="AA141" s="142"/>
      <c r="BA141" s="142"/>
    </row>
    <row r="142" spans="1:53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3"/>
      <c r="U142" s="143"/>
      <c r="V142" s="146"/>
      <c r="W142" s="146"/>
      <c r="X142" s="147"/>
      <c r="Y142" s="142"/>
      <c r="Z142" s="142"/>
      <c r="AA142" s="142"/>
      <c r="BA142" s="142"/>
    </row>
    <row r="143" spans="1:53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3"/>
      <c r="U143" s="143"/>
      <c r="V143" s="146"/>
      <c r="W143" s="146"/>
      <c r="X143" s="147"/>
      <c r="Y143" s="142"/>
      <c r="Z143" s="142"/>
      <c r="AA143" s="142"/>
      <c r="BA143" s="142"/>
    </row>
    <row r="144" spans="1:53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3"/>
      <c r="U144" s="143"/>
      <c r="V144" s="146"/>
      <c r="W144" s="146"/>
      <c r="X144" s="147"/>
      <c r="Y144" s="142"/>
      <c r="Z144" s="142"/>
      <c r="AA144" s="142"/>
      <c r="BA144" s="142"/>
    </row>
    <row r="145" spans="1:53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3"/>
      <c r="U145" s="143"/>
      <c r="V145" s="146"/>
      <c r="W145" s="146"/>
      <c r="X145" s="147"/>
      <c r="Y145" s="142"/>
      <c r="Z145" s="142"/>
      <c r="AA145" s="142"/>
      <c r="BA145" s="142"/>
    </row>
    <row r="146" spans="1:53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3"/>
      <c r="U146" s="143"/>
      <c r="V146" s="146"/>
      <c r="W146" s="146"/>
      <c r="X146" s="147"/>
      <c r="Y146" s="142"/>
      <c r="Z146" s="142"/>
      <c r="AA146" s="142"/>
      <c r="BA146" s="142"/>
    </row>
    <row r="147" spans="1:53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3"/>
      <c r="U147" s="143"/>
      <c r="V147" s="146"/>
      <c r="W147" s="146"/>
      <c r="X147" s="147"/>
      <c r="Y147" s="142"/>
      <c r="Z147" s="142"/>
      <c r="AA147" s="142"/>
      <c r="BA147" s="142"/>
    </row>
    <row r="148" spans="1:53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3"/>
      <c r="U148" s="143"/>
      <c r="V148" s="146"/>
      <c r="W148" s="146"/>
      <c r="X148" s="147"/>
      <c r="Y148" s="142"/>
      <c r="Z148" s="142"/>
      <c r="AA148" s="142"/>
      <c r="BA148" s="142"/>
    </row>
    <row r="149" spans="1:53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3"/>
      <c r="U149" s="143"/>
      <c r="V149" s="146"/>
      <c r="W149" s="146"/>
      <c r="X149" s="147"/>
      <c r="Y149" s="142"/>
      <c r="Z149" s="142"/>
      <c r="AA149" s="142"/>
      <c r="BA149" s="142"/>
    </row>
    <row r="150" spans="1:53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3"/>
      <c r="U150" s="143"/>
      <c r="V150" s="146"/>
      <c r="W150" s="146"/>
      <c r="X150" s="147"/>
      <c r="Y150" s="142"/>
      <c r="Z150" s="142"/>
      <c r="AA150" s="142"/>
      <c r="BA150" s="142"/>
    </row>
  </sheetData>
  <mergeCells count="42">
    <mergeCell ref="R5:R8"/>
    <mergeCell ref="U5:U8"/>
    <mergeCell ref="Z5:Z8"/>
    <mergeCell ref="BF5:BI5"/>
    <mergeCell ref="BN5:BR5"/>
    <mergeCell ref="AF5:AI5"/>
    <mergeCell ref="AJ5:AM5"/>
    <mergeCell ref="AS5:AV5"/>
    <mergeCell ref="S5:S8"/>
    <mergeCell ref="T5:T8"/>
    <mergeCell ref="V5:V8"/>
    <mergeCell ref="X5:X8"/>
    <mergeCell ref="Y5:Y8"/>
    <mergeCell ref="W5:W8"/>
    <mergeCell ref="AW5:AZ5"/>
    <mergeCell ref="BA5:BE5"/>
    <mergeCell ref="BS5:BV5"/>
    <mergeCell ref="CF5:CI5"/>
    <mergeCell ref="BJ5:BM5"/>
    <mergeCell ref="BW5:CA5"/>
    <mergeCell ref="CB5:CE5"/>
    <mergeCell ref="L5:L8"/>
    <mergeCell ref="M5:M8"/>
    <mergeCell ref="N5:N8"/>
    <mergeCell ref="O5:O8"/>
    <mergeCell ref="P5:P8"/>
    <mergeCell ref="AN5:AR5"/>
    <mergeCell ref="AA5:AE5"/>
    <mergeCell ref="A3:B3"/>
    <mergeCell ref="C3:E3"/>
    <mergeCell ref="A5:A8"/>
    <mergeCell ref="B5:B8"/>
    <mergeCell ref="C5:C8"/>
    <mergeCell ref="D5:D8"/>
    <mergeCell ref="E5:E8"/>
    <mergeCell ref="Q5:Q8"/>
    <mergeCell ref="F5:F8"/>
    <mergeCell ref="G5:G8"/>
    <mergeCell ref="H5:H8"/>
    <mergeCell ref="I5:I8"/>
    <mergeCell ref="J5:J8"/>
    <mergeCell ref="K5:K8"/>
  </mergeCells>
  <phoneticPr fontId="4" type="noConversion"/>
  <conditionalFormatting sqref="AA11:CI98 AA100:CI106">
    <cfRule type="cellIs" dxfId="10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colBreaks count="2" manualBreakCount="2">
    <brk id="26" max="1048575" man="1"/>
    <brk id="52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8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279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입력_02.범위명'!L10</f>
        <v>14.999999999999998</v>
      </c>
      <c r="C17" s="53">
        <f>'진행율 입력_02.범위명'!L21</f>
        <v>14.999999999999998</v>
      </c>
      <c r="D17" s="53">
        <f>'진행율 입력_02.범위명'!L32</f>
        <v>14.999999999999998</v>
      </c>
      <c r="E17" s="53">
        <f>'진행율 입력_02.범위명'!L43</f>
        <v>14.999999999999998</v>
      </c>
      <c r="F17" s="54">
        <f>'진행율 입력_02.범위명'!L54</f>
        <v>14.999999999999998</v>
      </c>
      <c r="G17" s="54">
        <f>'진행율 입력_02.범위명'!L65</f>
        <v>4.9999999999999991</v>
      </c>
      <c r="H17" s="54">
        <f>'진행율 입력_02.범위명'!L76</f>
        <v>4.9999999999999991</v>
      </c>
      <c r="I17" s="54">
        <f>'진행율 입력_02.범위명'!L87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입력_02.범위명'!M10</f>
        <v>0</v>
      </c>
      <c r="C18" s="53">
        <f>'진행율 입력_02.범위명'!M21</f>
        <v>0</v>
      </c>
      <c r="D18" s="53">
        <f>'진행율 입력_02.범위명'!M32</f>
        <v>0</v>
      </c>
      <c r="E18" s="53">
        <f>'진행율 입력_02.범위명'!M43</f>
        <v>0</v>
      </c>
      <c r="F18" s="54">
        <f>'진행율 입력_02.범위명'!M54</f>
        <v>0</v>
      </c>
      <c r="G18" s="54">
        <f>'진행율 입력_02.범위명'!M65</f>
        <v>0</v>
      </c>
      <c r="H18" s="54">
        <f>'진행율 입력_02.범위명'!M76</f>
        <v>0</v>
      </c>
      <c r="I18" s="54">
        <f>'진행율 입력_02.범위명'!M87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입력_02.범위명'!J10</f>
        <v>0.99999999999999989</v>
      </c>
      <c r="C20" s="59">
        <f>'진행율 입력_02.범위명'!J21</f>
        <v>0.99999999999999989</v>
      </c>
      <c r="D20" s="59">
        <f>'진행율 입력_02.범위명'!J32</f>
        <v>0.99999999999999989</v>
      </c>
      <c r="E20" s="59">
        <f>'진행율 입력_02.범위명'!J43</f>
        <v>0.99999999999999989</v>
      </c>
      <c r="F20" s="60">
        <f>'진행율 입력_02.범위명'!J54</f>
        <v>0.99999999999999989</v>
      </c>
      <c r="G20" s="60">
        <f>'진행율 입력_02.범위명'!J65</f>
        <v>0.99999999999999989</v>
      </c>
      <c r="H20" s="60">
        <f>'진행율 입력_02.범위명'!J76</f>
        <v>0.99999999999999989</v>
      </c>
      <c r="I20" s="60">
        <f>'진행율 입력_02.범위명'!J87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입력_02.범위명'!K10</f>
        <v>0</v>
      </c>
      <c r="C21" s="59">
        <f>'진행율 입력_02.범위명'!K21</f>
        <v>0</v>
      </c>
      <c r="D21" s="59">
        <f>'진행율 입력_02.범위명'!K32</f>
        <v>0</v>
      </c>
      <c r="E21" s="59">
        <f>'진행율 입력_02.범위명'!K43</f>
        <v>0</v>
      </c>
      <c r="F21" s="60">
        <f>'진행율 입력_02.범위명'!K54</f>
        <v>0</v>
      </c>
      <c r="G21" s="60">
        <f>'진행율 입력_02.범위명'!K65</f>
        <v>0</v>
      </c>
      <c r="H21" s="60">
        <f>'진행율 입력_02.범위명'!K76</f>
        <v>0</v>
      </c>
      <c r="I21" s="60">
        <f>'진행율 입력_02.범위명'!K87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입력_02.범위명'!J11:J20,"&gt;0")</f>
        <v>10</v>
      </c>
      <c r="C23" s="64">
        <f>COUNTIF('진행율 입력_02.범위명'!J22:J31,"&gt;0")</f>
        <v>10</v>
      </c>
      <c r="D23" s="64">
        <f>COUNTIF('진행율 입력_02.범위명'!J33:J42,"&gt;0")</f>
        <v>10</v>
      </c>
      <c r="E23" s="64">
        <f>COUNTIF('진행율 입력_02.범위명'!J44:J53,"&gt;0")</f>
        <v>10</v>
      </c>
      <c r="F23" s="65">
        <f>COUNTIF('진행율 입력_02.범위명'!J55:J64,"&gt;0")</f>
        <v>10</v>
      </c>
      <c r="G23" s="65">
        <f>COUNTIF('진행율 입력_02.범위명'!J66:J75,"&gt;0")</f>
        <v>10</v>
      </c>
      <c r="H23" s="65">
        <f>COUNTIF('진행율 입력_02.범위명'!J77:J86,"&gt;0")</f>
        <v>10</v>
      </c>
      <c r="I23" s="65">
        <f>COUNTIF('진행율 입력_02.범위명'!J88:J97,"&gt;0")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입력_02.범위명'!O11:O20,"진행")</f>
        <v>0</v>
      </c>
      <c r="C24" s="66">
        <f>COUNTIF('진행율 입력_02.범위명'!O22:O31,"진행")</f>
        <v>0</v>
      </c>
      <c r="D24" s="66">
        <f>COUNTIF('진행율 입력_02.범위명'!O33:O42,"진행")</f>
        <v>0</v>
      </c>
      <c r="E24" s="66">
        <f>COUNTIF('진행율 입력_02.범위명'!O44:O53,"진행")</f>
        <v>0</v>
      </c>
      <c r="F24" s="67">
        <f>COUNTIF('진행율 입력_02.범위명'!O55:O64,"진행")</f>
        <v>0</v>
      </c>
      <c r="G24" s="67">
        <f>COUNTIF('진행율 입력_02.범위명'!O66:O75,"진행")</f>
        <v>0</v>
      </c>
      <c r="H24" s="67">
        <f>COUNTIF('진행율 입력_02.범위명'!O77:O86,"진행")</f>
        <v>0</v>
      </c>
      <c r="I24" s="67">
        <f>COUNTIF('진행율 입력_02.범위명'!O88:O97,"진행")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입력_02.범위명'!O11:O20,"종료")</f>
        <v>0</v>
      </c>
      <c r="C25" s="66">
        <f>COUNTIF('진행율 입력_02.범위명'!O22:O31,"종료")</f>
        <v>0</v>
      </c>
      <c r="D25" s="66">
        <f>COUNTIF('진행율 입력_02.범위명'!O33:O42,"종료")</f>
        <v>0</v>
      </c>
      <c r="E25" s="66">
        <f>COUNTIF('진행율 입력_02.범위명'!O44:O53,"종료")</f>
        <v>0</v>
      </c>
      <c r="F25" s="67">
        <f>COUNTIF('진행율 입력_02.범위명'!O55:O64,"종료")</f>
        <v>0</v>
      </c>
      <c r="G25" s="67">
        <f>COUNTIF('진행율 입력_02.범위명'!O66:O75,"종료")</f>
        <v>0</v>
      </c>
      <c r="H25" s="67">
        <f>COUNTIF('진행율 입력_02.범위명'!O77:O86,"종료")</f>
        <v>0</v>
      </c>
      <c r="I25" s="67">
        <f>COUNTIF('진행율 입력_02.범위명'!O88:O97,"종료")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입력_02.범위명'!O11:O20,"지연")</f>
        <v>10</v>
      </c>
      <c r="C26" s="68">
        <f>COUNTIF('진행율 입력_02.범위명'!O22:O31,"지연")</f>
        <v>10</v>
      </c>
      <c r="D26" s="68">
        <f>COUNTIF('진행율 입력_02.범위명'!O33:O42,"지연")</f>
        <v>10</v>
      </c>
      <c r="E26" s="68">
        <f>COUNTIF('진행율 입력_02.범위명'!O44:O53,"지연")</f>
        <v>10</v>
      </c>
      <c r="F26" s="69">
        <f>COUNTIF('진행율 입력_02.범위명'!O55:O64,"지연")</f>
        <v>10</v>
      </c>
      <c r="G26" s="69">
        <f>COUNTIF('진행율 입력_02.범위명'!O66:O75,"지연")</f>
        <v>10</v>
      </c>
      <c r="H26" s="69">
        <f>COUNTIF('진행율 입력_02.범위명'!O77:O86,"지연")</f>
        <v>10</v>
      </c>
      <c r="I26" s="69">
        <f>COUNTIF('진행율 입력_02.범위명'!O88:O97,"지연")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E150"/>
  <sheetViews>
    <sheetView view="pageBreakPreview" topLeftCell="A61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진행현황_02.범위명!B15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진행현황_02.범위명!B16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진행현황_02.범위명!C15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진행현황_02.범위명!C16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진행현황_02.범위명!D15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진행현황_02.범위명!D16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진행현황_02.범위명!E15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진행현황_02.범위명!E16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진행현황_02.범위명!F15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진행현황_02.범위명!F16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진행현황_02.범위명!G15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진행현황_02.범위명!G16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진행현황_02.범위명!H15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진행현황_02.범위명!H16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진행현황_02.범위명!I15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진행현황_02.범위명!I16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9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6.8867187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280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입력_03.범위명'!L10</f>
        <v>14.999999999999998</v>
      </c>
      <c r="C17" s="53">
        <f>'진행율 입력_03.범위명'!L21</f>
        <v>14.999999999999998</v>
      </c>
      <c r="D17" s="53">
        <f>'진행율 입력_03.범위명'!L32</f>
        <v>14.999999999999998</v>
      </c>
      <c r="E17" s="53">
        <f>'진행율 입력_03.범위명'!L43</f>
        <v>14.999999999999998</v>
      </c>
      <c r="F17" s="54">
        <f>'진행율 입력_03.범위명'!L54</f>
        <v>14.999999999999998</v>
      </c>
      <c r="G17" s="54">
        <f>'진행율 입력_03.범위명'!L65</f>
        <v>4.9999999999999991</v>
      </c>
      <c r="H17" s="54">
        <f>'진행율 입력_03.범위명'!L76</f>
        <v>4.9999999999999991</v>
      </c>
      <c r="I17" s="54">
        <f>'진행율 입력_03.범위명'!L87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입력_03.범위명'!M10</f>
        <v>0</v>
      </c>
      <c r="C18" s="53">
        <f>'진행율 입력_03.범위명'!M21</f>
        <v>0</v>
      </c>
      <c r="D18" s="53">
        <f>'진행율 입력_03.범위명'!M32</f>
        <v>0</v>
      </c>
      <c r="E18" s="53">
        <f>'진행율 입력_03.범위명'!M43</f>
        <v>0</v>
      </c>
      <c r="F18" s="54">
        <f>'진행율 입력_03.범위명'!M54</f>
        <v>0</v>
      </c>
      <c r="G18" s="54">
        <f>'진행율 입력_03.범위명'!M65</f>
        <v>0</v>
      </c>
      <c r="H18" s="54">
        <f>'진행율 입력_03.범위명'!M76</f>
        <v>0</v>
      </c>
      <c r="I18" s="54">
        <f>'진행율 입력_03.범위명'!M87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입력_03.범위명'!J10</f>
        <v>0.99999999999999989</v>
      </c>
      <c r="C20" s="59">
        <f>'진행율 입력_03.범위명'!J21</f>
        <v>0.99999999999999989</v>
      </c>
      <c r="D20" s="59">
        <f>'진행율 입력_03.범위명'!J32</f>
        <v>0.99999999999999989</v>
      </c>
      <c r="E20" s="59">
        <f>'진행율 입력_03.범위명'!J43</f>
        <v>0.99999999999999989</v>
      </c>
      <c r="F20" s="60">
        <f>'진행율 입력_03.범위명'!J54</f>
        <v>0.99999999999999989</v>
      </c>
      <c r="G20" s="60">
        <f>'진행율 입력_03.범위명'!J65</f>
        <v>0.99999999999999989</v>
      </c>
      <c r="H20" s="60">
        <f>'진행율 입력_03.범위명'!J76</f>
        <v>0.99999999999999989</v>
      </c>
      <c r="I20" s="60">
        <f>'진행율 입력_03.범위명'!J87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입력_03.범위명'!K10</f>
        <v>0</v>
      </c>
      <c r="C21" s="59">
        <f>'진행율 입력_03.범위명'!K21</f>
        <v>0</v>
      </c>
      <c r="D21" s="59">
        <f>'진행율 입력_03.범위명'!K32</f>
        <v>0</v>
      </c>
      <c r="E21" s="59">
        <f>'진행율 입력_03.범위명'!K43</f>
        <v>0</v>
      </c>
      <c r="F21" s="60">
        <f>'진행율 입력_03.범위명'!K54</f>
        <v>0</v>
      </c>
      <c r="G21" s="60">
        <f>'진행율 입력_03.범위명'!K65</f>
        <v>0</v>
      </c>
      <c r="H21" s="60">
        <f>'진행율 입력_03.범위명'!K76</f>
        <v>0</v>
      </c>
      <c r="I21" s="60">
        <f>'진행율 입력_03.범위명'!K87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입력_03.범위명'!J11:J20,"&gt;0")</f>
        <v>10</v>
      </c>
      <c r="C23" s="64">
        <f>COUNTIF('진행율 입력_03.범위명'!J22:J31,"&gt;0")</f>
        <v>10</v>
      </c>
      <c r="D23" s="64">
        <f>COUNTIF('진행율 입력_03.범위명'!J33:J42,"&gt;0")</f>
        <v>10</v>
      </c>
      <c r="E23" s="64">
        <f>COUNTIF('진행율 입력_03.범위명'!J44:J53,"&gt;0")</f>
        <v>10</v>
      </c>
      <c r="F23" s="65">
        <f>COUNTIF('진행율 입력_03.범위명'!J55:J64,"&gt;0")</f>
        <v>10</v>
      </c>
      <c r="G23" s="65">
        <f>COUNTIF('진행율 입력_03.범위명'!J66:J75,"&gt;0")</f>
        <v>10</v>
      </c>
      <c r="H23" s="65">
        <f>COUNTIF('진행율 입력_03.범위명'!J77:J86,"&gt;0")</f>
        <v>10</v>
      </c>
      <c r="I23" s="65">
        <f>COUNTIF('진행율 입력_03.범위명'!J88:J97,"&gt;0")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입력_03.범위명'!O11:O20,"진행")</f>
        <v>0</v>
      </c>
      <c r="C24" s="66">
        <f>COUNTIF('진행율 입력_03.범위명'!O22:O31,"진행")</f>
        <v>0</v>
      </c>
      <c r="D24" s="66">
        <f>COUNTIF('진행율 입력_03.범위명'!O33:O42,"진행")</f>
        <v>0</v>
      </c>
      <c r="E24" s="66">
        <f>COUNTIF('진행율 입력_03.범위명'!O44:O53,"진행")</f>
        <v>0</v>
      </c>
      <c r="F24" s="67">
        <f>COUNTIF('진행율 입력_03.범위명'!O55:O64,"진행")</f>
        <v>0</v>
      </c>
      <c r="G24" s="67">
        <f>COUNTIF('진행율 입력_03.범위명'!O66:O75,"진행")</f>
        <v>0</v>
      </c>
      <c r="H24" s="67">
        <f>COUNTIF('진행율 입력_03.범위명'!O77:O86,"진행")</f>
        <v>0</v>
      </c>
      <c r="I24" s="67">
        <f>COUNTIF('진행율 입력_03.범위명'!O88:O97,"진행")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입력_03.범위명'!O11:O20,"종료")</f>
        <v>0</v>
      </c>
      <c r="C25" s="66">
        <f>COUNTIF('진행율 입력_03.범위명'!O22:O31,"종료")</f>
        <v>0</v>
      </c>
      <c r="D25" s="66">
        <f>COUNTIF('진행율 입력_03.범위명'!O33:O42,"종료")</f>
        <v>0</v>
      </c>
      <c r="E25" s="66">
        <f>COUNTIF('진행율 입력_03.범위명'!O44:O53,"종료")</f>
        <v>0</v>
      </c>
      <c r="F25" s="67">
        <f>COUNTIF('진행율 입력_03.범위명'!O55:O64,"종료")</f>
        <v>0</v>
      </c>
      <c r="G25" s="67">
        <f>COUNTIF('진행율 입력_03.범위명'!O66:O75,"종료")</f>
        <v>0</v>
      </c>
      <c r="H25" s="67">
        <f>COUNTIF('진행율 입력_03.범위명'!O77:O86,"종료")</f>
        <v>0</v>
      </c>
      <c r="I25" s="67">
        <f>COUNTIF('진행율 입력_03.범위명'!O88:O97,"종료")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입력_03.범위명'!O11:O20,"지연")</f>
        <v>10</v>
      </c>
      <c r="C26" s="68">
        <f>COUNTIF('진행율 입력_03.범위명'!O22:O31,"지연")</f>
        <v>10</v>
      </c>
      <c r="D26" s="68">
        <f>COUNTIF('진행율 입력_03.범위명'!O33:O42,"지연")</f>
        <v>10</v>
      </c>
      <c r="E26" s="68">
        <f>COUNTIF('진행율 입력_03.범위명'!O44:O53,"지연")</f>
        <v>10</v>
      </c>
      <c r="F26" s="69">
        <f>COUNTIF('진행율 입력_03.범위명'!O55:O64,"지연")</f>
        <v>10</v>
      </c>
      <c r="G26" s="69">
        <f>COUNTIF('진행율 입력_03.범위명'!O66:O75,"지연")</f>
        <v>10</v>
      </c>
      <c r="H26" s="69">
        <f>COUNTIF('진행율 입력_03.범위명'!O77:O86,"지연")</f>
        <v>10</v>
      </c>
      <c r="I26" s="69">
        <f>COUNTIF('진행율 입력_03.범위명'!O88:O97,"지연")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진행현황_03.범위명!B15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진행현황_03.범위명!B16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진행현황_03.범위명!C15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진행현황_03.범위명!C16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진행현황_03.범위명!D15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진행현황_03.범위명!D16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진행현황_03.범위명!E15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진행현황_03.범위명!E16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진행현황_03.범위명!F15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진행현황_03.범위명!F16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진행현황_03.범위명!G15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진행현황_03.범위명!G16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진행현황_03.범위명!H15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진행현황_03.범위명!H16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진행현황_03.범위명!I15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진행현황_03.범위명!I16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8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8.664062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281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입력_04.범위명'!L10</f>
        <v>14.999999999999998</v>
      </c>
      <c r="C17" s="53">
        <f>'진행율 입력_04.범위명'!L21</f>
        <v>14.999999999999998</v>
      </c>
      <c r="D17" s="53">
        <f>'진행율 입력_04.범위명'!L32</f>
        <v>14.999999999999998</v>
      </c>
      <c r="E17" s="53">
        <f>'진행율 입력_04.범위명'!L43</f>
        <v>14.999999999999998</v>
      </c>
      <c r="F17" s="54">
        <f>'진행율 입력_04.범위명'!L54</f>
        <v>14.999999999999998</v>
      </c>
      <c r="G17" s="54">
        <f>'진행율 입력_04.범위명'!L65</f>
        <v>4.9999999999999991</v>
      </c>
      <c r="H17" s="54">
        <f>'진행율 입력_04.범위명'!L76</f>
        <v>4.9999999999999991</v>
      </c>
      <c r="I17" s="54">
        <f>'진행율 입력_04.범위명'!L87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입력_04.범위명'!M10</f>
        <v>0</v>
      </c>
      <c r="C18" s="53">
        <f>'진행율 입력_04.범위명'!M21</f>
        <v>0</v>
      </c>
      <c r="D18" s="53">
        <f>'진행율 입력_04.범위명'!M32</f>
        <v>0</v>
      </c>
      <c r="E18" s="53">
        <f>'진행율 입력_04.범위명'!M43</f>
        <v>0</v>
      </c>
      <c r="F18" s="54">
        <f>'진행율 입력_04.범위명'!M54</f>
        <v>0</v>
      </c>
      <c r="G18" s="54">
        <f>'진행율 입력_04.범위명'!M65</f>
        <v>0</v>
      </c>
      <c r="H18" s="54">
        <f>'진행율 입력_04.범위명'!M76</f>
        <v>0</v>
      </c>
      <c r="I18" s="54">
        <f>'진행율 입력_04.범위명'!M87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입력_04.범위명'!J10</f>
        <v>0.99999999999999989</v>
      </c>
      <c r="C20" s="59">
        <f>'진행율 입력_04.범위명'!J21</f>
        <v>0.99999999999999989</v>
      </c>
      <c r="D20" s="59">
        <f>'진행율 입력_04.범위명'!J32</f>
        <v>0.99999999999999989</v>
      </c>
      <c r="E20" s="59">
        <f>'진행율 입력_04.범위명'!J43</f>
        <v>0.99999999999999989</v>
      </c>
      <c r="F20" s="60">
        <f>'진행율 입력_04.범위명'!J54</f>
        <v>0.99999999999999989</v>
      </c>
      <c r="G20" s="60">
        <f>'진행율 입력_04.범위명'!J65</f>
        <v>0.99999999999999989</v>
      </c>
      <c r="H20" s="60">
        <f>'진행율 입력_04.범위명'!J76</f>
        <v>0.99999999999999989</v>
      </c>
      <c r="I20" s="60">
        <f>'진행율 입력_04.범위명'!J87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입력_04.범위명'!K10</f>
        <v>0</v>
      </c>
      <c r="C21" s="59">
        <f>'진행율 입력_04.범위명'!K21</f>
        <v>0</v>
      </c>
      <c r="D21" s="59">
        <f>'진행율 입력_04.범위명'!K32</f>
        <v>0</v>
      </c>
      <c r="E21" s="59">
        <f>'진행율 입력_04.범위명'!K43</f>
        <v>0</v>
      </c>
      <c r="F21" s="60">
        <f>'진행율 입력_04.범위명'!K54</f>
        <v>0</v>
      </c>
      <c r="G21" s="60">
        <f>'진행율 입력_04.범위명'!K65</f>
        <v>0</v>
      </c>
      <c r="H21" s="60">
        <f>'진행율 입력_04.범위명'!K76</f>
        <v>0</v>
      </c>
      <c r="I21" s="60">
        <f>'진행율 입력_04.범위명'!K87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입력_04.범위명'!J11:J20,"&gt;0")</f>
        <v>10</v>
      </c>
      <c r="C23" s="64">
        <f>COUNTIF('진행율 입력_04.범위명'!J22:J31,"&gt;0")</f>
        <v>10</v>
      </c>
      <c r="D23" s="64">
        <f>COUNTIF('진행율 입력_04.범위명'!J33:J42,"&gt;0")</f>
        <v>10</v>
      </c>
      <c r="E23" s="64">
        <f>COUNTIF('진행율 입력_04.범위명'!J44:J53,"&gt;0")</f>
        <v>10</v>
      </c>
      <c r="F23" s="65">
        <f>COUNTIF('진행율 입력_04.범위명'!J55:J64,"&gt;0")</f>
        <v>10</v>
      </c>
      <c r="G23" s="65">
        <f>COUNTIF('진행율 입력_04.범위명'!J66:J75,"&gt;0")</f>
        <v>10</v>
      </c>
      <c r="H23" s="65">
        <f>COUNTIF('진행율 입력_04.범위명'!J77:J86,"&gt;0")</f>
        <v>10</v>
      </c>
      <c r="I23" s="65">
        <f>COUNTIF('진행율 입력_04.범위명'!J88:J97,"&gt;0")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입력_04.범위명'!O11:O20,"진행")</f>
        <v>0</v>
      </c>
      <c r="C24" s="66">
        <f>COUNTIF('진행율 입력_04.범위명'!O22:O31,"진행")</f>
        <v>0</v>
      </c>
      <c r="D24" s="66">
        <f>COUNTIF('진행율 입력_04.범위명'!O33:O42,"진행")</f>
        <v>0</v>
      </c>
      <c r="E24" s="66">
        <f>COUNTIF('진행율 입력_04.범위명'!O44:O53,"진행")</f>
        <v>0</v>
      </c>
      <c r="F24" s="67">
        <f>COUNTIF('진행율 입력_04.범위명'!O55:O64,"진행")</f>
        <v>0</v>
      </c>
      <c r="G24" s="67">
        <f>COUNTIF('진행율 입력_04.범위명'!O66:O75,"진행")</f>
        <v>0</v>
      </c>
      <c r="H24" s="67">
        <f>COUNTIF('진행율 입력_04.범위명'!O77:O86,"진행")</f>
        <v>0</v>
      </c>
      <c r="I24" s="67">
        <f>COUNTIF('진행율 입력_04.범위명'!O88:O97,"진행")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입력_04.범위명'!O11:O20,"종료")</f>
        <v>0</v>
      </c>
      <c r="C25" s="66">
        <f>COUNTIF('진행율 입력_04.범위명'!O22:O31,"종료")</f>
        <v>0</v>
      </c>
      <c r="D25" s="66">
        <f>COUNTIF('진행율 입력_04.범위명'!O33:O42,"종료")</f>
        <v>0</v>
      </c>
      <c r="E25" s="66">
        <f>COUNTIF('진행율 입력_04.범위명'!O44:O53,"종료")</f>
        <v>0</v>
      </c>
      <c r="F25" s="67">
        <f>COUNTIF('진행율 입력_04.범위명'!O55:O64,"종료")</f>
        <v>0</v>
      </c>
      <c r="G25" s="67">
        <f>COUNTIF('진행율 입력_04.범위명'!O66:O75,"종료")</f>
        <v>0</v>
      </c>
      <c r="H25" s="67">
        <f>COUNTIF('진행율 입력_04.범위명'!O77:O86,"종료")</f>
        <v>0</v>
      </c>
      <c r="I25" s="67">
        <f>COUNTIF('진행율 입력_04.범위명'!O88:O97,"종료")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입력_04.범위명'!O11:O20,"지연")</f>
        <v>10</v>
      </c>
      <c r="C26" s="68">
        <f>COUNTIF('진행율 입력_04.범위명'!O22:O31,"지연")</f>
        <v>10</v>
      </c>
      <c r="D26" s="68">
        <f>COUNTIF('진행율 입력_04.범위명'!O33:O42,"지연")</f>
        <v>10</v>
      </c>
      <c r="E26" s="68">
        <f>COUNTIF('진행율 입력_04.범위명'!O44:O53,"지연")</f>
        <v>10</v>
      </c>
      <c r="F26" s="69">
        <f>COUNTIF('진행율 입력_04.범위명'!O55:O64,"지연")</f>
        <v>10</v>
      </c>
      <c r="G26" s="69">
        <f>COUNTIF('진행율 입력_04.범위명'!O66:O75,"지연")</f>
        <v>10</v>
      </c>
      <c r="H26" s="69">
        <f>COUNTIF('진행율 입력_04.범위명'!O77:O86,"지연")</f>
        <v>10</v>
      </c>
      <c r="I26" s="69">
        <f>COUNTIF('진행율 입력_04.범위명'!O88:O97,"지연")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&amp;L&amp;C&amp;"바탕체,보통"&amp;9- &amp;P/&amp;N -&amp;R&amp;D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진행현황_04.범위명!B15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진행현황_04.범위명!B16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진행현황_04.범위명!C15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진행현황_04.범위명!C16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진행현황_04.범위명!D15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진행현황_04.범위명!D16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진행현황_04.범위명!E15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진행현황_04.범위명!E16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진행현황_04.범위명!F15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진행현황_04.범위명!F16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진행현황_04.범위명!G15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진행현황_04.범위명!G16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진행현황_04.범위명!H15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진행현황_04.범위명!H16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진행현황_04.범위명!I15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진행현황_04.범위명!I16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7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&amp;L&amp;C&amp;"바탕체,보통"&amp;9- &amp;P/&amp;N -&amp;R&amp;D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7.554687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282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입력_05.범위명'!L10</f>
        <v>14.999999999999998</v>
      </c>
      <c r="C17" s="53">
        <f>'진행율 입력_05.범위명'!L21</f>
        <v>14.999999999999998</v>
      </c>
      <c r="D17" s="53">
        <f>'진행율 입력_05.범위명'!L32</f>
        <v>14.999999999999998</v>
      </c>
      <c r="E17" s="53">
        <f>'진행율 입력_05.범위명'!L43</f>
        <v>14.999999999999998</v>
      </c>
      <c r="F17" s="54">
        <f>'진행율 입력_05.범위명'!L54</f>
        <v>14.999999999999998</v>
      </c>
      <c r="G17" s="54">
        <f>'진행율 입력_05.범위명'!L65</f>
        <v>4.9999999999999991</v>
      </c>
      <c r="H17" s="54">
        <f>'진행율 입력_05.범위명'!L76</f>
        <v>4.9999999999999991</v>
      </c>
      <c r="I17" s="54">
        <f>'진행율 입력_05.범위명'!L87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입력_05.범위명'!M10</f>
        <v>0</v>
      </c>
      <c r="C18" s="53">
        <f>'진행율 입력_05.범위명'!M21</f>
        <v>0</v>
      </c>
      <c r="D18" s="53">
        <f>'진행율 입력_05.범위명'!M32</f>
        <v>0</v>
      </c>
      <c r="E18" s="53">
        <f>'진행율 입력_05.범위명'!M43</f>
        <v>0</v>
      </c>
      <c r="F18" s="54">
        <f>'진행율 입력_05.범위명'!M54</f>
        <v>0</v>
      </c>
      <c r="G18" s="54">
        <f>'진행율 입력_05.범위명'!M65</f>
        <v>0</v>
      </c>
      <c r="H18" s="54">
        <f>'진행율 입력_05.범위명'!M76</f>
        <v>0</v>
      </c>
      <c r="I18" s="54">
        <f>'진행율 입력_05.범위명'!M87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입력_05.범위명'!J10</f>
        <v>0.99999999999999989</v>
      </c>
      <c r="C20" s="59">
        <f>'진행율 입력_05.범위명'!J21</f>
        <v>0.99999999999999989</v>
      </c>
      <c r="D20" s="59">
        <f>'진행율 입력_05.범위명'!J32</f>
        <v>0.99999999999999989</v>
      </c>
      <c r="E20" s="59">
        <f>'진행율 입력_05.범위명'!J43</f>
        <v>0.99999999999999989</v>
      </c>
      <c r="F20" s="60">
        <f>'진행율 입력_05.범위명'!J54</f>
        <v>0.99999999999999989</v>
      </c>
      <c r="G20" s="60">
        <f>'진행율 입력_05.범위명'!J65</f>
        <v>0.99999999999999989</v>
      </c>
      <c r="H20" s="60">
        <f>'진행율 입력_05.범위명'!J76</f>
        <v>0.99999999999999989</v>
      </c>
      <c r="I20" s="60">
        <f>'진행율 입력_05.범위명'!J87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입력_05.범위명'!K10</f>
        <v>0</v>
      </c>
      <c r="C21" s="59">
        <f>'진행율 입력_05.범위명'!K21</f>
        <v>0</v>
      </c>
      <c r="D21" s="59">
        <f>'진행율 입력_05.범위명'!K32</f>
        <v>0</v>
      </c>
      <c r="E21" s="59">
        <f>'진행율 입력_05.범위명'!K43</f>
        <v>0</v>
      </c>
      <c r="F21" s="60">
        <f>'진행율 입력_05.범위명'!K54</f>
        <v>0</v>
      </c>
      <c r="G21" s="60">
        <f>'진행율 입력_05.범위명'!K65</f>
        <v>0</v>
      </c>
      <c r="H21" s="60">
        <f>'진행율 입력_05.범위명'!K76</f>
        <v>0</v>
      </c>
      <c r="I21" s="60">
        <f>'진행율 입력_05.범위명'!K87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입력_05.범위명'!J11:J20,"&gt;0")</f>
        <v>10</v>
      </c>
      <c r="C23" s="64">
        <f>COUNTIF('진행율 입력_05.범위명'!J22:J31,"&gt;0")</f>
        <v>10</v>
      </c>
      <c r="D23" s="64">
        <f>COUNTIF('진행율 입력_05.범위명'!J33:J42,"&gt;0")</f>
        <v>10</v>
      </c>
      <c r="E23" s="64">
        <f>COUNTIF('진행율 입력_05.범위명'!J44:J53,"&gt;0")</f>
        <v>10</v>
      </c>
      <c r="F23" s="65">
        <f>COUNTIF('진행율 입력_05.범위명'!J55:J64,"&gt;0")</f>
        <v>10</v>
      </c>
      <c r="G23" s="65">
        <f>COUNTIF('진행율 입력_05.범위명'!J66:J75,"&gt;0")</f>
        <v>10</v>
      </c>
      <c r="H23" s="65">
        <f>COUNTIF('진행율 입력_05.범위명'!J77:J86,"&gt;0")</f>
        <v>10</v>
      </c>
      <c r="I23" s="65">
        <f>COUNTIF('진행율 입력_05.범위명'!J88:J97,"&gt;0")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입력_05.범위명'!O11:O20,"진행")</f>
        <v>0</v>
      </c>
      <c r="C24" s="66">
        <f>COUNTIF('진행율 입력_05.범위명'!O22:O31,"진행")</f>
        <v>0</v>
      </c>
      <c r="D24" s="66">
        <f>COUNTIF('진행율 입력_05.범위명'!O33:O42,"진행")</f>
        <v>0</v>
      </c>
      <c r="E24" s="66">
        <f>COUNTIF('진행율 입력_05.범위명'!O44:O53,"진행")</f>
        <v>0</v>
      </c>
      <c r="F24" s="67">
        <f>COUNTIF('진행율 입력_05.범위명'!O55:O64,"진행")</f>
        <v>0</v>
      </c>
      <c r="G24" s="67">
        <f>COUNTIF('진행율 입력_05.범위명'!O66:O75,"진행")</f>
        <v>0</v>
      </c>
      <c r="H24" s="67">
        <f>COUNTIF('진행율 입력_05.범위명'!O77:O86,"진행")</f>
        <v>0</v>
      </c>
      <c r="I24" s="67">
        <f>COUNTIF('진행율 입력_05.범위명'!O88:O97,"진행")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입력_05.범위명'!O11:O20,"종료")</f>
        <v>0</v>
      </c>
      <c r="C25" s="66">
        <f>COUNTIF('진행율 입력_05.범위명'!O22:O31,"종료")</f>
        <v>0</v>
      </c>
      <c r="D25" s="66">
        <f>COUNTIF('진행율 입력_05.범위명'!O33:O42,"종료")</f>
        <v>0</v>
      </c>
      <c r="E25" s="66">
        <f>COUNTIF('진행율 입력_05.범위명'!O44:O53,"종료")</f>
        <v>0</v>
      </c>
      <c r="F25" s="67">
        <f>COUNTIF('진행율 입력_05.범위명'!O55:O64,"종료")</f>
        <v>0</v>
      </c>
      <c r="G25" s="67">
        <f>COUNTIF('진행율 입력_05.범위명'!O66:O75,"종료")</f>
        <v>0</v>
      </c>
      <c r="H25" s="67">
        <f>COUNTIF('진행율 입력_05.범위명'!O77:O86,"종료")</f>
        <v>0</v>
      </c>
      <c r="I25" s="67">
        <f>COUNTIF('진행율 입력_05.범위명'!O88:O97,"종료")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입력_05.범위명'!O11:O20,"지연")</f>
        <v>10</v>
      </c>
      <c r="C26" s="68">
        <f>COUNTIF('진행율 입력_05.범위명'!O22:O31,"지연")</f>
        <v>10</v>
      </c>
      <c r="D26" s="68">
        <f>COUNTIF('진행율 입력_05.범위명'!O33:O42,"지연")</f>
        <v>10</v>
      </c>
      <c r="E26" s="68">
        <f>COUNTIF('진행율 입력_05.범위명'!O44:O53,"지연")</f>
        <v>10</v>
      </c>
      <c r="F26" s="69">
        <f>COUNTIF('진행율 입력_05.범위명'!O55:O64,"지연")</f>
        <v>10</v>
      </c>
      <c r="G26" s="69">
        <f>COUNTIF('진행율 입력_05.범위명'!O66:O75,"지연")</f>
        <v>10</v>
      </c>
      <c r="H26" s="69">
        <f>COUNTIF('진행율 입력_05.범위명'!O77:O86,"지연")</f>
        <v>10</v>
      </c>
      <c r="I26" s="69">
        <f>COUNTIF('진행율 입력_05.범위명'!O88:O97,"지연")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진행현황_05.범위명!B15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진행현황_05.범위명!B16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진행현황_05.범위명!C15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진행현황_05.범위명!C16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진행현황_05.범위명!D15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진행현황_05.범위명!D16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진행현황_05.범위명!E15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진행현황_05.범위명!E16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진행현황_05.범위명!F15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진행현황_05.범위명!F16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진행현황_05.범위명!G15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진행현황_05.범위명!G16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진행현황_05.범위명!H15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진행현황_05.범위명!H16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진행현황_05.범위명!I15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진행현황_05.범위명!I16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6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7.554687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283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입력_06.범위명'!L10</f>
        <v>14.999999999999998</v>
      </c>
      <c r="C17" s="53">
        <f>'진행율 입력_06.범위명'!L21</f>
        <v>14.999999999999998</v>
      </c>
      <c r="D17" s="53">
        <f>'진행율 입력_06.범위명'!L32</f>
        <v>14.999999999999998</v>
      </c>
      <c r="E17" s="53">
        <f>'진행율 입력_06.범위명'!L43</f>
        <v>14.999999999999998</v>
      </c>
      <c r="F17" s="54">
        <f>'진행율 입력_06.범위명'!L54</f>
        <v>14.999999999999998</v>
      </c>
      <c r="G17" s="54">
        <f>'진행율 입력_06.범위명'!L65</f>
        <v>4.9999999999999991</v>
      </c>
      <c r="H17" s="54">
        <f>'진행율 입력_06.범위명'!L76</f>
        <v>4.9999999999999991</v>
      </c>
      <c r="I17" s="54">
        <f>'진행율 입력_06.범위명'!L87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입력_06.범위명'!M10</f>
        <v>0</v>
      </c>
      <c r="C18" s="53">
        <f>'진행율 입력_06.범위명'!M21</f>
        <v>0</v>
      </c>
      <c r="D18" s="53">
        <f>'진행율 입력_06.범위명'!M32</f>
        <v>0</v>
      </c>
      <c r="E18" s="53">
        <f>'진행율 입력_06.범위명'!M43</f>
        <v>0</v>
      </c>
      <c r="F18" s="54">
        <f>'진행율 입력_06.범위명'!M54</f>
        <v>0</v>
      </c>
      <c r="G18" s="54">
        <f>'진행율 입력_06.범위명'!M65</f>
        <v>0</v>
      </c>
      <c r="H18" s="54">
        <f>'진행율 입력_06.범위명'!M76</f>
        <v>0</v>
      </c>
      <c r="I18" s="54">
        <f>'진행율 입력_06.범위명'!M87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입력_06.범위명'!J10</f>
        <v>0.99999999999999989</v>
      </c>
      <c r="C20" s="59">
        <f>'진행율 입력_06.범위명'!J21</f>
        <v>0.99999999999999989</v>
      </c>
      <c r="D20" s="59">
        <f>'진행율 입력_06.범위명'!J32</f>
        <v>0.99999999999999989</v>
      </c>
      <c r="E20" s="59">
        <f>'진행율 입력_06.범위명'!J43</f>
        <v>0.99999999999999989</v>
      </c>
      <c r="F20" s="60">
        <f>'진행율 입력_06.범위명'!J54</f>
        <v>0.99999999999999989</v>
      </c>
      <c r="G20" s="60">
        <f>'진행율 입력_06.범위명'!J65</f>
        <v>0.99999999999999989</v>
      </c>
      <c r="H20" s="60">
        <f>'진행율 입력_06.범위명'!J76</f>
        <v>0.99999999999999989</v>
      </c>
      <c r="I20" s="60">
        <f>'진행율 입력_06.범위명'!J87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입력_06.범위명'!K10</f>
        <v>0</v>
      </c>
      <c r="C21" s="59">
        <f>'진행율 입력_06.범위명'!K21</f>
        <v>0</v>
      </c>
      <c r="D21" s="59">
        <f>'진행율 입력_06.범위명'!K32</f>
        <v>0</v>
      </c>
      <c r="E21" s="59">
        <f>'진행율 입력_06.범위명'!K43</f>
        <v>0</v>
      </c>
      <c r="F21" s="60">
        <f>'진행율 입력_06.범위명'!K54</f>
        <v>0</v>
      </c>
      <c r="G21" s="60">
        <f>'진행율 입력_06.범위명'!K65</f>
        <v>0</v>
      </c>
      <c r="H21" s="60">
        <f>'진행율 입력_06.범위명'!K76</f>
        <v>0</v>
      </c>
      <c r="I21" s="60">
        <f>'진행율 입력_06.범위명'!K87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입력_06.범위명'!J11:J20,"&gt;0")</f>
        <v>10</v>
      </c>
      <c r="C23" s="64">
        <f>COUNTIF('진행율 입력_06.범위명'!J22:J31,"&gt;0")</f>
        <v>10</v>
      </c>
      <c r="D23" s="64">
        <f>COUNTIF('진행율 입력_06.범위명'!J33:J42,"&gt;0")</f>
        <v>10</v>
      </c>
      <c r="E23" s="64">
        <f>COUNTIF('진행율 입력_06.범위명'!J44:J53,"&gt;0")</f>
        <v>10</v>
      </c>
      <c r="F23" s="65">
        <f>COUNTIF('진행율 입력_06.범위명'!J55:J64,"&gt;0")</f>
        <v>10</v>
      </c>
      <c r="G23" s="65">
        <f>COUNTIF('진행율 입력_06.범위명'!J66:J75,"&gt;0")</f>
        <v>10</v>
      </c>
      <c r="H23" s="65">
        <f>COUNTIF('진행율 입력_06.범위명'!J77:J86,"&gt;0")</f>
        <v>10</v>
      </c>
      <c r="I23" s="65">
        <f>COUNTIF('진행율 입력_06.범위명'!J88:J97,"&gt;0")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입력_06.범위명'!O11:O20,"진행")</f>
        <v>0</v>
      </c>
      <c r="C24" s="66">
        <f>COUNTIF('진행율 입력_06.범위명'!O22:O31,"진행")</f>
        <v>0</v>
      </c>
      <c r="D24" s="66">
        <f>COUNTIF('진행율 입력_06.범위명'!O33:O42,"진행")</f>
        <v>0</v>
      </c>
      <c r="E24" s="66">
        <f>COUNTIF('진행율 입력_06.범위명'!O44:O53,"진행")</f>
        <v>0</v>
      </c>
      <c r="F24" s="67">
        <f>COUNTIF('진행율 입력_06.범위명'!O55:O64,"진행")</f>
        <v>0</v>
      </c>
      <c r="G24" s="67">
        <f>COUNTIF('진행율 입력_06.범위명'!O66:O75,"진행")</f>
        <v>0</v>
      </c>
      <c r="H24" s="67">
        <f>COUNTIF('진행율 입력_06.범위명'!O77:O86,"진행")</f>
        <v>0</v>
      </c>
      <c r="I24" s="67">
        <f>COUNTIF('진행율 입력_06.범위명'!O88:O97,"진행")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입력_06.범위명'!O11:O20,"종료")</f>
        <v>0</v>
      </c>
      <c r="C25" s="66">
        <f>COUNTIF('진행율 입력_06.범위명'!O22:O31,"종료")</f>
        <v>0</v>
      </c>
      <c r="D25" s="66">
        <f>COUNTIF('진행율 입력_06.범위명'!O33:O42,"종료")</f>
        <v>0</v>
      </c>
      <c r="E25" s="66">
        <f>COUNTIF('진행율 입력_06.범위명'!O44:O53,"종료")</f>
        <v>0</v>
      </c>
      <c r="F25" s="67">
        <f>COUNTIF('진행율 입력_06.범위명'!O55:O64,"종료")</f>
        <v>0</v>
      </c>
      <c r="G25" s="67">
        <f>COUNTIF('진행율 입력_06.범위명'!O66:O75,"종료")</f>
        <v>0</v>
      </c>
      <c r="H25" s="67">
        <f>COUNTIF('진행율 입력_06.범위명'!O77:O86,"종료")</f>
        <v>0</v>
      </c>
      <c r="I25" s="67">
        <f>COUNTIF('진행율 입력_06.범위명'!O88:O97,"종료")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입력_06.범위명'!O11:O20,"지연")</f>
        <v>10</v>
      </c>
      <c r="C26" s="68">
        <f>COUNTIF('진행율 입력_06.범위명'!O22:O31,"지연")</f>
        <v>10</v>
      </c>
      <c r="D26" s="68">
        <f>COUNTIF('진행율 입력_06.범위명'!O33:O42,"지연")</f>
        <v>10</v>
      </c>
      <c r="E26" s="68">
        <f>COUNTIF('진행율 입력_06.범위명'!O44:O53,"지연")</f>
        <v>10</v>
      </c>
      <c r="F26" s="69">
        <f>COUNTIF('진행율 입력_06.범위명'!O55:O64,"지연")</f>
        <v>10</v>
      </c>
      <c r="G26" s="69">
        <f>COUNTIF('진행율 입력_06.범위명'!O66:O75,"지연")</f>
        <v>10</v>
      </c>
      <c r="H26" s="69">
        <f>COUNTIF('진행율 입력_06.범위명'!O77:O86,"지연")</f>
        <v>10</v>
      </c>
      <c r="I26" s="69">
        <f>COUNTIF('진행율 입력_06.범위명'!O88:O97,"지연")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진행현황_06.범위명!B15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진행현황_06.범위명!B16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진행현황_06.범위명!C15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진행현황_06.범위명!C16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진행현황_06.범위명!D15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진행현황_06.범위명!D16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진행현황_06.범위명!E15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진행현황_06.범위명!E16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진행현황_06.범위명!F15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진행현황_06.범위명!F16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진행현황_06.범위명!G15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진행현황_06.범위명!G16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진행현황_06.범위명!H15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진행현황_06.범위명!H16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진행현황_06.범위명!I15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진행현황_06.범위명!I16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5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8.2187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284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입력_07.범위명'!L10</f>
        <v>14.999999999999998</v>
      </c>
      <c r="C17" s="53">
        <f>'진행율 입력_07.범위명'!L21</f>
        <v>14.999999999999998</v>
      </c>
      <c r="D17" s="53">
        <f>'진행율 입력_07.범위명'!L32</f>
        <v>14.999999999999998</v>
      </c>
      <c r="E17" s="53">
        <f>'진행율 입력_07.범위명'!L43</f>
        <v>14.999999999999998</v>
      </c>
      <c r="F17" s="54">
        <f>'진행율 입력_07.범위명'!L54</f>
        <v>14.999999999999998</v>
      </c>
      <c r="G17" s="54">
        <f>'진행율 입력_07.범위명'!L65</f>
        <v>4.9999999999999991</v>
      </c>
      <c r="H17" s="54">
        <f>'진행율 입력_07.범위명'!L76</f>
        <v>4.9999999999999991</v>
      </c>
      <c r="I17" s="54">
        <f>'진행율 입력_07.범위명'!L87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입력_07.범위명'!M10</f>
        <v>0</v>
      </c>
      <c r="C18" s="53">
        <f>'진행율 입력_07.범위명'!M21</f>
        <v>0</v>
      </c>
      <c r="D18" s="53">
        <f>'진행율 입력_07.범위명'!M32</f>
        <v>0</v>
      </c>
      <c r="E18" s="53">
        <f>'진행율 입력_07.범위명'!M43</f>
        <v>0</v>
      </c>
      <c r="F18" s="54">
        <f>'진행율 입력_07.범위명'!M54</f>
        <v>0</v>
      </c>
      <c r="G18" s="54">
        <f>'진행율 입력_07.범위명'!M65</f>
        <v>0</v>
      </c>
      <c r="H18" s="54">
        <f>'진행율 입력_07.범위명'!M76</f>
        <v>0</v>
      </c>
      <c r="I18" s="54">
        <f>'진행율 입력_07.범위명'!M87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입력_07.범위명'!J10</f>
        <v>0.99999999999999989</v>
      </c>
      <c r="C20" s="59">
        <f>'진행율 입력_07.범위명'!J21</f>
        <v>0.99999999999999989</v>
      </c>
      <c r="D20" s="59">
        <f>'진행율 입력_07.범위명'!J32</f>
        <v>0.99999999999999989</v>
      </c>
      <c r="E20" s="59">
        <f>'진행율 입력_07.범위명'!J43</f>
        <v>0.99999999999999989</v>
      </c>
      <c r="F20" s="60">
        <f>'진행율 입력_07.범위명'!J54</f>
        <v>0.99999999999999989</v>
      </c>
      <c r="G20" s="60">
        <f>'진행율 입력_07.범위명'!J65</f>
        <v>0.99999999999999989</v>
      </c>
      <c r="H20" s="60">
        <f>'진행율 입력_07.범위명'!J76</f>
        <v>0.99999999999999989</v>
      </c>
      <c r="I20" s="60">
        <f>'진행율 입력_07.범위명'!J87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입력_07.범위명'!K10</f>
        <v>0</v>
      </c>
      <c r="C21" s="59">
        <f>'진행율 입력_07.범위명'!K21</f>
        <v>0</v>
      </c>
      <c r="D21" s="59">
        <f>'진행율 입력_07.범위명'!K32</f>
        <v>0</v>
      </c>
      <c r="E21" s="59">
        <f>'진행율 입력_07.범위명'!K43</f>
        <v>0</v>
      </c>
      <c r="F21" s="60">
        <f>'진행율 입력_07.범위명'!K54</f>
        <v>0</v>
      </c>
      <c r="G21" s="60">
        <f>'진행율 입력_07.범위명'!K65</f>
        <v>0</v>
      </c>
      <c r="H21" s="60">
        <f>'진행율 입력_07.범위명'!K76</f>
        <v>0</v>
      </c>
      <c r="I21" s="60">
        <f>'진행율 입력_07.범위명'!K87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입력_07.범위명'!J11:J20,"&gt;0")</f>
        <v>10</v>
      </c>
      <c r="C23" s="64">
        <f>COUNTIF('진행율 입력_07.범위명'!J22:J31,"&gt;0")</f>
        <v>10</v>
      </c>
      <c r="D23" s="64">
        <f>COUNTIF('진행율 입력_07.범위명'!J33:J42,"&gt;0")</f>
        <v>10</v>
      </c>
      <c r="E23" s="64">
        <f>COUNTIF('진행율 입력_07.범위명'!J44:J53,"&gt;0")</f>
        <v>10</v>
      </c>
      <c r="F23" s="65">
        <f>COUNTIF('진행율 입력_07.범위명'!J55:J64,"&gt;0")</f>
        <v>10</v>
      </c>
      <c r="G23" s="65">
        <f>COUNTIF('진행율 입력_07.범위명'!J66:J75,"&gt;0")</f>
        <v>10</v>
      </c>
      <c r="H23" s="65">
        <f>COUNTIF('진행율 입력_07.범위명'!J77:J86,"&gt;0")</f>
        <v>10</v>
      </c>
      <c r="I23" s="65">
        <f>COUNTIF('진행율 입력_07.범위명'!J88:J97,"&gt;0")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입력_07.범위명'!O11:O20,"진행")</f>
        <v>0</v>
      </c>
      <c r="C24" s="66">
        <f>COUNTIF('진행율 입력_07.범위명'!O22:O31,"진행")</f>
        <v>0</v>
      </c>
      <c r="D24" s="66">
        <f>COUNTIF('진행율 입력_07.범위명'!O33:O42,"진행")</f>
        <v>0</v>
      </c>
      <c r="E24" s="66">
        <f>COUNTIF('진행율 입력_07.범위명'!O44:O53,"진행")</f>
        <v>0</v>
      </c>
      <c r="F24" s="67">
        <f>COUNTIF('진행율 입력_07.범위명'!O55:O64,"진행")</f>
        <v>0</v>
      </c>
      <c r="G24" s="67">
        <f>COUNTIF('진행율 입력_07.범위명'!O66:O75,"진행")</f>
        <v>0</v>
      </c>
      <c r="H24" s="67">
        <f>COUNTIF('진행율 입력_07.범위명'!O77:O86,"진행")</f>
        <v>0</v>
      </c>
      <c r="I24" s="67">
        <f>COUNTIF('진행율 입력_07.범위명'!O88:O97,"진행")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입력_07.범위명'!O11:O20,"종료")</f>
        <v>0</v>
      </c>
      <c r="C25" s="66">
        <f>COUNTIF('진행율 입력_07.범위명'!O22:O31,"종료")</f>
        <v>0</v>
      </c>
      <c r="D25" s="66">
        <f>COUNTIF('진행율 입력_07.범위명'!O33:O42,"종료")</f>
        <v>0</v>
      </c>
      <c r="E25" s="66">
        <f>COUNTIF('진행율 입력_07.범위명'!O44:O53,"종료")</f>
        <v>0</v>
      </c>
      <c r="F25" s="67">
        <f>COUNTIF('진행율 입력_07.범위명'!O55:O64,"종료")</f>
        <v>0</v>
      </c>
      <c r="G25" s="67">
        <f>COUNTIF('진행율 입력_07.범위명'!O66:O75,"종료")</f>
        <v>0</v>
      </c>
      <c r="H25" s="67">
        <f>COUNTIF('진행율 입력_07.범위명'!O77:O86,"종료")</f>
        <v>0</v>
      </c>
      <c r="I25" s="67">
        <f>COUNTIF('진행율 입력_07.범위명'!O88:O97,"종료")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입력_07.범위명'!O11:O20,"지연")</f>
        <v>10</v>
      </c>
      <c r="C26" s="68">
        <f>COUNTIF('진행율 입력_07.범위명'!O22:O31,"지연")</f>
        <v>10</v>
      </c>
      <c r="D26" s="68">
        <f>COUNTIF('진행율 입력_07.범위명'!O33:O42,"지연")</f>
        <v>10</v>
      </c>
      <c r="E26" s="68">
        <f>COUNTIF('진행율 입력_07.범위명'!O44:O53,"지연")</f>
        <v>10</v>
      </c>
      <c r="F26" s="69">
        <f>COUNTIF('진행율 입력_07.범위명'!O55:O64,"지연")</f>
        <v>10</v>
      </c>
      <c r="G26" s="69">
        <f>COUNTIF('진행율 입력_07.범위명'!O66:O75,"지연")</f>
        <v>10</v>
      </c>
      <c r="H26" s="69">
        <f>COUNTIF('진행율 입력_07.범위명'!O77:O86,"지연")</f>
        <v>10</v>
      </c>
      <c r="I26" s="69">
        <f>COUNTIF('진행율 입력_07.범위명'!O88:O97,"지연")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CE150"/>
  <sheetViews>
    <sheetView view="pageBreakPreview" topLeftCell="D1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진행현황_07.범위명!B15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진행현황_07.범위명!B16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진행현황_07.범위명!C15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진행현황_07.범위명!C16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진행현황_07.범위명!D15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진행현황_07.범위명!D16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진행현황_07.범위명!E15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진행현황_07.범위명!E16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진행현황_07.범위명!F15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진행현황_07.범위명!F16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진행현황_07.범위명!G15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진행현황_07.범위명!G16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진행현황_07.범위명!H15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진행현황_07.범위명!H16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진행현황_07.범위명!I15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진행현황_07.범위명!I16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4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9.2187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285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입력_08.범위명'!L10</f>
        <v>14.999999999999998</v>
      </c>
      <c r="C17" s="53">
        <f>'진행율 입력_08.범위명'!L21</f>
        <v>14.999999999999998</v>
      </c>
      <c r="D17" s="53">
        <f>'진행율 입력_08.범위명'!L32</f>
        <v>14.999999999999998</v>
      </c>
      <c r="E17" s="53">
        <f>'진행율 입력_08.범위명'!L43</f>
        <v>14.999999999999998</v>
      </c>
      <c r="F17" s="54">
        <f>'진행율 입력_08.범위명'!L54</f>
        <v>14.999999999999998</v>
      </c>
      <c r="G17" s="54">
        <f>'진행율 입력_08.범위명'!L65</f>
        <v>4.9999999999999991</v>
      </c>
      <c r="H17" s="54">
        <f>'진행율 입력_08.범위명'!L76</f>
        <v>4.9999999999999991</v>
      </c>
      <c r="I17" s="54">
        <f>'진행율 입력_08.범위명'!L87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입력_08.범위명'!M10</f>
        <v>0</v>
      </c>
      <c r="C18" s="53">
        <f>'진행율 입력_08.범위명'!M21</f>
        <v>0</v>
      </c>
      <c r="D18" s="53">
        <f>'진행율 입력_08.범위명'!M32</f>
        <v>0</v>
      </c>
      <c r="E18" s="53">
        <f>'진행율 입력_08.범위명'!M43</f>
        <v>0</v>
      </c>
      <c r="F18" s="54">
        <f>'진행율 입력_08.범위명'!M54</f>
        <v>0</v>
      </c>
      <c r="G18" s="54">
        <f>'진행율 입력_08.범위명'!M65</f>
        <v>0</v>
      </c>
      <c r="H18" s="54">
        <f>'진행율 입력_08.범위명'!M76</f>
        <v>0</v>
      </c>
      <c r="I18" s="54">
        <f>'진행율 입력_08.범위명'!M87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입력_08.범위명'!J10</f>
        <v>0.99999999999999989</v>
      </c>
      <c r="C20" s="59">
        <f>'진행율 입력_08.범위명'!J21</f>
        <v>0.99999999999999989</v>
      </c>
      <c r="D20" s="59">
        <f>'진행율 입력_08.범위명'!J32</f>
        <v>0.99999999999999989</v>
      </c>
      <c r="E20" s="59">
        <f>'진행율 입력_08.범위명'!J43</f>
        <v>0.99999999999999989</v>
      </c>
      <c r="F20" s="60">
        <f>'진행율 입력_08.범위명'!J54</f>
        <v>0.99999999999999989</v>
      </c>
      <c r="G20" s="60">
        <f>'진행율 입력_08.범위명'!J65</f>
        <v>0.99999999999999989</v>
      </c>
      <c r="H20" s="60">
        <f>'진행율 입력_08.범위명'!J76</f>
        <v>0.99999999999999989</v>
      </c>
      <c r="I20" s="60">
        <f>'진행율 입력_08.범위명'!J87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입력_08.범위명'!K10</f>
        <v>0</v>
      </c>
      <c r="C21" s="59">
        <f>'진행율 입력_08.범위명'!K21</f>
        <v>0</v>
      </c>
      <c r="D21" s="59">
        <f>'진행율 입력_08.범위명'!K32</f>
        <v>0</v>
      </c>
      <c r="E21" s="59">
        <f>'진행율 입력_08.범위명'!K43</f>
        <v>0</v>
      </c>
      <c r="F21" s="60">
        <f>'진행율 입력_08.범위명'!K54</f>
        <v>0</v>
      </c>
      <c r="G21" s="60">
        <f>'진행율 입력_08.범위명'!K65</f>
        <v>0</v>
      </c>
      <c r="H21" s="60">
        <f>'진행율 입력_08.범위명'!K76</f>
        <v>0</v>
      </c>
      <c r="I21" s="60">
        <f>'진행율 입력_08.범위명'!K87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입력_08.범위명'!J11:J20,"&gt;0")</f>
        <v>10</v>
      </c>
      <c r="C23" s="64">
        <f>COUNTIF('진행율 입력_08.범위명'!J22:J31,"&gt;0")</f>
        <v>10</v>
      </c>
      <c r="D23" s="64">
        <f>COUNTIF('진행율 입력_08.범위명'!J33:J42,"&gt;0")</f>
        <v>10</v>
      </c>
      <c r="E23" s="64">
        <f>COUNTIF('진행율 입력_08.범위명'!J44:J53,"&gt;0")</f>
        <v>10</v>
      </c>
      <c r="F23" s="65">
        <f>COUNTIF('진행율 입력_08.범위명'!J55:J64,"&gt;0")</f>
        <v>10</v>
      </c>
      <c r="G23" s="65">
        <f>COUNTIF('진행율 입력_08.범위명'!J66:J75,"&gt;0")</f>
        <v>10</v>
      </c>
      <c r="H23" s="65">
        <f>COUNTIF('진행율 입력_08.범위명'!J77:J86,"&gt;0")</f>
        <v>10</v>
      </c>
      <c r="I23" s="65">
        <f>COUNTIF('진행율 입력_08.범위명'!J88:J97,"&gt;0")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입력_08.범위명'!O11:O20,"진행")</f>
        <v>0</v>
      </c>
      <c r="C24" s="66">
        <f>COUNTIF('진행율 입력_08.범위명'!O22:O31,"진행")</f>
        <v>0</v>
      </c>
      <c r="D24" s="66">
        <f>COUNTIF('진행율 입력_08.범위명'!O33:O42,"진행")</f>
        <v>0</v>
      </c>
      <c r="E24" s="66">
        <f>COUNTIF('진행율 입력_08.범위명'!O44:O53,"진행")</f>
        <v>0</v>
      </c>
      <c r="F24" s="67">
        <f>COUNTIF('진행율 입력_08.범위명'!O55:O64,"진행")</f>
        <v>0</v>
      </c>
      <c r="G24" s="67">
        <f>COUNTIF('진행율 입력_08.범위명'!O66:O75,"진행")</f>
        <v>0</v>
      </c>
      <c r="H24" s="67">
        <f>COUNTIF('진행율 입력_08.범위명'!O77:O86,"진행")</f>
        <v>0</v>
      </c>
      <c r="I24" s="67">
        <f>COUNTIF('진행율 입력_08.범위명'!O88:O97,"진행")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입력_08.범위명'!O11:O20,"종료")</f>
        <v>0</v>
      </c>
      <c r="C25" s="66">
        <f>COUNTIF('진행율 입력_08.범위명'!O22:O31,"종료")</f>
        <v>0</v>
      </c>
      <c r="D25" s="66">
        <f>COUNTIF('진행율 입력_08.범위명'!O33:O42,"종료")</f>
        <v>0</v>
      </c>
      <c r="E25" s="66">
        <f>COUNTIF('진행율 입력_08.범위명'!O44:O53,"종료")</f>
        <v>0</v>
      </c>
      <c r="F25" s="67">
        <f>COUNTIF('진행율 입력_08.범위명'!O55:O64,"종료")</f>
        <v>0</v>
      </c>
      <c r="G25" s="67">
        <f>COUNTIF('진행율 입력_08.범위명'!O66:O75,"종료")</f>
        <v>0</v>
      </c>
      <c r="H25" s="67">
        <f>COUNTIF('진행율 입력_08.범위명'!O77:O86,"종료")</f>
        <v>0</v>
      </c>
      <c r="I25" s="67">
        <f>COUNTIF('진행율 입력_08.범위명'!O88:O97,"종료")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입력_08.범위명'!O11:O20,"지연")</f>
        <v>10</v>
      </c>
      <c r="C26" s="68">
        <f>COUNTIF('진행율 입력_08.범위명'!O22:O31,"지연")</f>
        <v>10</v>
      </c>
      <c r="D26" s="68">
        <f>COUNTIF('진행율 입력_08.범위명'!O33:O42,"지연")</f>
        <v>10</v>
      </c>
      <c r="E26" s="68">
        <f>COUNTIF('진행율 입력_08.범위명'!O44:O53,"지연")</f>
        <v>10</v>
      </c>
      <c r="F26" s="69">
        <f>COUNTIF('진행율 입력_08.범위명'!O55:O64,"지연")</f>
        <v>10</v>
      </c>
      <c r="G26" s="69">
        <f>COUNTIF('진행율 입력_08.범위명'!O66:O75,"지연")</f>
        <v>10</v>
      </c>
      <c r="H26" s="69">
        <f>COUNTIF('진행율 입력_08.범위명'!O77:O86,"지연")</f>
        <v>10</v>
      </c>
      <c r="I26" s="69">
        <f>COUNTIF('진행율 입력_08.범위명'!O88:O97,"지연")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진행현황_08.범위명!B15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진행현황_08.범위명!B16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진행현황_08.범위명!C15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진행현황_08.범위명!C16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진행현황_08.범위명!D15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진행현황_08.범위명!D16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진행현황_08.범위명!E15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진행현황_08.범위명!E16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진행현황_08.범위명!F15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진행현황_08.범위명!F16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진행현황_08.범위명!G15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진행현황_08.범위명!G16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진행현황_08.범위명!H15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진행현황_08.범위명!H16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진행현황_08.범위명!I15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진행현황_08.범위명!I16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3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8.3320312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286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입력_09.범위명'!L10</f>
        <v>14.999999999999998</v>
      </c>
      <c r="C17" s="53">
        <f>'진행율 입력_09.범위명'!L21</f>
        <v>14.999999999999998</v>
      </c>
      <c r="D17" s="53">
        <f>'진행율 입력_09.범위명'!L32</f>
        <v>14.999999999999998</v>
      </c>
      <c r="E17" s="53">
        <f>'진행율 입력_09.범위명'!L43</f>
        <v>14.999999999999998</v>
      </c>
      <c r="F17" s="54">
        <f>'진행율 입력_09.범위명'!L54</f>
        <v>14.999999999999998</v>
      </c>
      <c r="G17" s="54">
        <f>'진행율 입력_09.범위명'!L65</f>
        <v>4.9999999999999991</v>
      </c>
      <c r="H17" s="54">
        <f>'진행율 입력_09.범위명'!L76</f>
        <v>4.9999999999999991</v>
      </c>
      <c r="I17" s="54">
        <f>'진행율 입력_09.범위명'!L87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입력_09.범위명'!M10</f>
        <v>0</v>
      </c>
      <c r="C18" s="53">
        <f>'진행율 입력_09.범위명'!M21</f>
        <v>0</v>
      </c>
      <c r="D18" s="53">
        <f>'진행율 입력_09.범위명'!M32</f>
        <v>0</v>
      </c>
      <c r="E18" s="53">
        <f>'진행율 입력_09.범위명'!M43</f>
        <v>0</v>
      </c>
      <c r="F18" s="54">
        <f>'진행율 입력_09.범위명'!M54</f>
        <v>0</v>
      </c>
      <c r="G18" s="54">
        <f>'진행율 입력_09.범위명'!M65</f>
        <v>0</v>
      </c>
      <c r="H18" s="54">
        <f>'진행율 입력_09.범위명'!M76</f>
        <v>0</v>
      </c>
      <c r="I18" s="54">
        <f>'진행율 입력_09.범위명'!M87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입력_09.범위명'!J10</f>
        <v>0.99999999999999989</v>
      </c>
      <c r="C20" s="59">
        <f>'진행율 입력_09.범위명'!J21</f>
        <v>0.99999999999999989</v>
      </c>
      <c r="D20" s="59">
        <f>'진행율 입력_09.범위명'!J32</f>
        <v>0.99999999999999989</v>
      </c>
      <c r="E20" s="59">
        <f>'진행율 입력_09.범위명'!J43</f>
        <v>0.99999999999999989</v>
      </c>
      <c r="F20" s="60">
        <f>'진행율 입력_09.범위명'!J54</f>
        <v>0.99999999999999989</v>
      </c>
      <c r="G20" s="60">
        <f>'진행율 입력_09.범위명'!J65</f>
        <v>0.99999999999999989</v>
      </c>
      <c r="H20" s="60">
        <f>'진행율 입력_09.범위명'!J76</f>
        <v>0.99999999999999989</v>
      </c>
      <c r="I20" s="60">
        <f>'진행율 입력_09.범위명'!J87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입력_09.범위명'!K10</f>
        <v>0</v>
      </c>
      <c r="C21" s="59">
        <f>'진행율 입력_09.범위명'!K21</f>
        <v>0</v>
      </c>
      <c r="D21" s="59">
        <f>'진행율 입력_09.범위명'!K32</f>
        <v>0</v>
      </c>
      <c r="E21" s="59">
        <f>'진행율 입력_09.범위명'!K43</f>
        <v>0</v>
      </c>
      <c r="F21" s="60">
        <f>'진행율 입력_09.범위명'!K54</f>
        <v>0</v>
      </c>
      <c r="G21" s="60">
        <f>'진행율 입력_09.범위명'!K65</f>
        <v>0</v>
      </c>
      <c r="H21" s="60">
        <f>'진행율 입력_09.범위명'!K76</f>
        <v>0</v>
      </c>
      <c r="I21" s="60">
        <f>'진행율 입력_09.범위명'!K87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입력_09.범위명'!J11:J20,"&gt;0")</f>
        <v>10</v>
      </c>
      <c r="C23" s="64">
        <f>COUNTIF('진행율 입력_09.범위명'!J22:J31,"&gt;0")</f>
        <v>10</v>
      </c>
      <c r="D23" s="64">
        <f>COUNTIF('진행율 입력_09.범위명'!J33:J42,"&gt;0")</f>
        <v>10</v>
      </c>
      <c r="E23" s="64">
        <f>COUNTIF('진행율 입력_09.범위명'!J44:J53,"&gt;0")</f>
        <v>10</v>
      </c>
      <c r="F23" s="65">
        <f>COUNTIF('진행율 입력_09.범위명'!J55:J64,"&gt;0")</f>
        <v>10</v>
      </c>
      <c r="G23" s="65">
        <f>COUNTIF('진행율 입력_09.범위명'!J66:J75,"&gt;0")</f>
        <v>10</v>
      </c>
      <c r="H23" s="65">
        <f>COUNTIF('진행율 입력_09.범위명'!J77:J86,"&gt;0")</f>
        <v>10</v>
      </c>
      <c r="I23" s="65">
        <f>COUNTIF('진행율 입력_09.범위명'!J88:J97,"&gt;0")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입력_09.범위명'!O11:O20,"진행")</f>
        <v>0</v>
      </c>
      <c r="C24" s="66">
        <f>COUNTIF('진행율 입력_09.범위명'!O22:O31,"진행")</f>
        <v>0</v>
      </c>
      <c r="D24" s="66">
        <f>COUNTIF('진행율 입력_09.범위명'!O33:O42,"진행")</f>
        <v>0</v>
      </c>
      <c r="E24" s="66">
        <f>COUNTIF('진행율 입력_09.범위명'!O44:O53,"진행")</f>
        <v>0</v>
      </c>
      <c r="F24" s="67">
        <f>COUNTIF('진행율 입력_09.범위명'!O55:O64,"진행")</f>
        <v>0</v>
      </c>
      <c r="G24" s="67">
        <f>COUNTIF('진행율 입력_09.범위명'!O66:O75,"진행")</f>
        <v>0</v>
      </c>
      <c r="H24" s="67">
        <f>COUNTIF('진행율 입력_09.범위명'!O77:O86,"진행")</f>
        <v>0</v>
      </c>
      <c r="I24" s="67">
        <f>COUNTIF('진행율 입력_09.범위명'!O88:O97,"진행")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입력_09.범위명'!O11:O20,"종료")</f>
        <v>0</v>
      </c>
      <c r="C25" s="66">
        <f>COUNTIF('진행율 입력_09.범위명'!O22:O31,"종료")</f>
        <v>0</v>
      </c>
      <c r="D25" s="66">
        <f>COUNTIF('진행율 입력_09.범위명'!O33:O42,"종료")</f>
        <v>0</v>
      </c>
      <c r="E25" s="66">
        <f>COUNTIF('진행율 입력_09.범위명'!O44:O53,"종료")</f>
        <v>0</v>
      </c>
      <c r="F25" s="67">
        <f>COUNTIF('진행율 입력_09.범위명'!O55:O64,"종료")</f>
        <v>0</v>
      </c>
      <c r="G25" s="67">
        <f>COUNTIF('진행율 입력_09.범위명'!O66:O75,"종료")</f>
        <v>0</v>
      </c>
      <c r="H25" s="67">
        <f>COUNTIF('진행율 입력_09.범위명'!O77:O86,"종료")</f>
        <v>0</v>
      </c>
      <c r="I25" s="67">
        <f>COUNTIF('진행율 입력_09.범위명'!O88:O97,"종료")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입력_09.범위명'!O11:O20,"지연")</f>
        <v>10</v>
      </c>
      <c r="C26" s="68">
        <f>COUNTIF('진행율 입력_09.범위명'!O22:O31,"지연")</f>
        <v>10</v>
      </c>
      <c r="D26" s="68">
        <f>COUNTIF('진행율 입력_09.범위명'!O33:O42,"지연")</f>
        <v>10</v>
      </c>
      <c r="E26" s="68">
        <f>COUNTIF('진행율 입력_09.범위명'!O44:O53,"지연")</f>
        <v>10</v>
      </c>
      <c r="F26" s="69">
        <f>COUNTIF('진행율 입력_09.범위명'!O55:O64,"지연")</f>
        <v>10</v>
      </c>
      <c r="G26" s="69">
        <f>COUNTIF('진행율 입력_09.범위명'!O66:O75,"지연")</f>
        <v>10</v>
      </c>
      <c r="H26" s="69">
        <f>COUNTIF('진행율 입력_09.범위명'!O77:O86,"지연")</f>
        <v>10</v>
      </c>
      <c r="I26" s="69">
        <f>COUNTIF('진행율 입력_09.범위명'!O88:O97,"지연")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진행현황_09.범위명!B15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진행현황_09.범위명!B16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진행현황_09.범위명!C15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진행현황_09.범위명!C16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진행현황_09.범위명!D15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진행현황_09.범위명!D16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진행현황_09.범위명!E15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진행현황_09.범위명!E16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진행현황_09.범위명!F15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진행현황_09.범위명!F16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진행현황_09.범위명!G15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진행현황_09.범위명!G16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진행현황_09.범위명!H15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진행현황_09.범위명!H16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진행현황_09.범위명!I15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진행현황_09.범위명!I16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2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32"/>
  <sheetViews>
    <sheetView view="pageBreakPreview" zoomScale="85" zoomScaleNormal="100" zoomScaleSheetLayoutView="85" workbookViewId="0"/>
  </sheetViews>
  <sheetFormatPr defaultColWidth="8.88671875" defaultRowHeight="16.5"/>
  <cols>
    <col min="1" max="1" width="20.5546875" style="8" customWidth="1"/>
    <col min="2" max="10" width="18.664062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288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입력_10.범위명'!L10</f>
        <v>14.999999999999998</v>
      </c>
      <c r="C17" s="53">
        <f>'진행율 입력_10.범위명'!L21</f>
        <v>14.999999999999998</v>
      </c>
      <c r="D17" s="53">
        <f>'진행율 입력_10.범위명'!L32</f>
        <v>14.999999999999998</v>
      </c>
      <c r="E17" s="53">
        <f>'진행율 입력_10.범위명'!L43</f>
        <v>14.999999999999998</v>
      </c>
      <c r="F17" s="54">
        <f>'진행율 입력_10.범위명'!L54</f>
        <v>14.999999999999998</v>
      </c>
      <c r="G17" s="54">
        <f>'진행율 입력_10.범위명'!L65</f>
        <v>4.9999999999999991</v>
      </c>
      <c r="H17" s="54">
        <f>'진행율 입력_10.범위명'!L76</f>
        <v>4.9999999999999991</v>
      </c>
      <c r="I17" s="54">
        <f>'진행율 입력_10.범위명'!L87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입력_10.범위명'!M10</f>
        <v>0</v>
      </c>
      <c r="C18" s="53">
        <f>'진행율 입력_10.범위명'!M21</f>
        <v>0</v>
      </c>
      <c r="D18" s="53">
        <f>'진행율 입력_10.범위명'!M32</f>
        <v>0</v>
      </c>
      <c r="E18" s="53">
        <f>'진행율 입력_10.범위명'!M43</f>
        <v>0</v>
      </c>
      <c r="F18" s="54">
        <f>'진행율 입력_10.범위명'!M54</f>
        <v>0</v>
      </c>
      <c r="G18" s="54">
        <f>'진행율 입력_10.범위명'!M65</f>
        <v>0</v>
      </c>
      <c r="H18" s="54">
        <f>'진행율 입력_10.범위명'!M76</f>
        <v>0</v>
      </c>
      <c r="I18" s="54">
        <f>'진행율 입력_10.범위명'!M87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입력_10.범위명'!J10</f>
        <v>0.99999999999999989</v>
      </c>
      <c r="C20" s="59">
        <f>'진행율 입력_10.범위명'!J21</f>
        <v>0.99999999999999989</v>
      </c>
      <c r="D20" s="59">
        <f>'진행율 입력_10.범위명'!J32</f>
        <v>0.99999999999999989</v>
      </c>
      <c r="E20" s="59">
        <f>'진행율 입력_10.범위명'!J43</f>
        <v>0.99999999999999989</v>
      </c>
      <c r="F20" s="60">
        <f>'진행율 입력_10.범위명'!J54</f>
        <v>0.99999999999999989</v>
      </c>
      <c r="G20" s="60">
        <f>'진행율 입력_10.범위명'!J65</f>
        <v>0.99999999999999989</v>
      </c>
      <c r="H20" s="60">
        <f>'진행율 입력_10.범위명'!J76</f>
        <v>0.99999999999999989</v>
      </c>
      <c r="I20" s="60">
        <f>'진행율 입력_10.범위명'!J87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입력_10.범위명'!K10</f>
        <v>0</v>
      </c>
      <c r="C21" s="59">
        <f>'진행율 입력_10.범위명'!K21</f>
        <v>0</v>
      </c>
      <c r="D21" s="59">
        <f>'진행율 입력_10.범위명'!K32</f>
        <v>0</v>
      </c>
      <c r="E21" s="59">
        <f>'진행율 입력_10.범위명'!K43</f>
        <v>0</v>
      </c>
      <c r="F21" s="60">
        <f>'진행율 입력_10.범위명'!K54</f>
        <v>0</v>
      </c>
      <c r="G21" s="60">
        <f>'진행율 입력_10.범위명'!K65</f>
        <v>0</v>
      </c>
      <c r="H21" s="60">
        <f>'진행율 입력_10.범위명'!K76</f>
        <v>0</v>
      </c>
      <c r="I21" s="60">
        <f>'진행율 입력_10.범위명'!K87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입력_10.범위명'!J11:J20,"&gt;0")</f>
        <v>10</v>
      </c>
      <c r="C23" s="64">
        <f>COUNTIF('진행율 입력_10.범위명'!J22:J31,"&gt;0")</f>
        <v>10</v>
      </c>
      <c r="D23" s="64">
        <f>COUNTIF('진행율 입력_10.범위명'!J33:J42,"&gt;0")</f>
        <v>10</v>
      </c>
      <c r="E23" s="64">
        <f>COUNTIF('진행율 입력_10.범위명'!J44:J53,"&gt;0")</f>
        <v>10</v>
      </c>
      <c r="F23" s="65">
        <f>COUNTIF('진행율 입력_10.범위명'!J55:J64,"&gt;0")</f>
        <v>10</v>
      </c>
      <c r="G23" s="65">
        <f>COUNTIF('진행율 입력_10.범위명'!J66:J75,"&gt;0")</f>
        <v>10</v>
      </c>
      <c r="H23" s="65">
        <f>COUNTIF('진행율 입력_10.범위명'!J77:J86,"&gt;0")</f>
        <v>10</v>
      </c>
      <c r="I23" s="65">
        <f>COUNTIF('진행율 입력_10.범위명'!J88:J97,"&gt;0")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입력_10.범위명'!O11:O20,"진행")</f>
        <v>0</v>
      </c>
      <c r="C24" s="66">
        <f>COUNTIF('진행율 입력_10.범위명'!O22:O31,"진행")</f>
        <v>0</v>
      </c>
      <c r="D24" s="66">
        <f>COUNTIF('진행율 입력_10.범위명'!O33:O42,"진행")</f>
        <v>0</v>
      </c>
      <c r="E24" s="66">
        <f>COUNTIF('진행율 입력_10.범위명'!O44:O53,"진행")</f>
        <v>0</v>
      </c>
      <c r="F24" s="67">
        <f>COUNTIF('진행율 입력_10.범위명'!O55:O64,"진행")</f>
        <v>0</v>
      </c>
      <c r="G24" s="67">
        <f>COUNTIF('진행율 입력_10.범위명'!O66:O75,"진행")</f>
        <v>0</v>
      </c>
      <c r="H24" s="67">
        <f>COUNTIF('진행율 입력_10.범위명'!O77:O86,"진행")</f>
        <v>0</v>
      </c>
      <c r="I24" s="67">
        <f>COUNTIF('진행율 입력_10.범위명'!O88:O97,"진행")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입력_10.범위명'!O11:O20,"종료")</f>
        <v>0</v>
      </c>
      <c r="C25" s="66">
        <f>COUNTIF('진행율 입력_10.범위명'!O22:O31,"종료")</f>
        <v>0</v>
      </c>
      <c r="D25" s="66">
        <f>COUNTIF('진행율 입력_10.범위명'!O33:O42,"종료")</f>
        <v>0</v>
      </c>
      <c r="E25" s="66">
        <f>COUNTIF('진행율 입력_10.범위명'!O44:O53,"종료")</f>
        <v>0</v>
      </c>
      <c r="F25" s="67">
        <f>COUNTIF('진행율 입력_10.범위명'!O55:O64,"종료")</f>
        <v>0</v>
      </c>
      <c r="G25" s="67">
        <f>COUNTIF('진행율 입력_10.범위명'!O66:O75,"종료")</f>
        <v>0</v>
      </c>
      <c r="H25" s="67">
        <f>COUNTIF('진행율 입력_10.범위명'!O77:O86,"종료")</f>
        <v>0</v>
      </c>
      <c r="I25" s="67">
        <f>COUNTIF('진행율 입력_10.범위명'!O88:O97,"종료")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입력_10.범위명'!O11:O20,"지연")</f>
        <v>10</v>
      </c>
      <c r="C26" s="68">
        <f>COUNTIF('진행율 입력_10.범위명'!O22:O31,"지연")</f>
        <v>10</v>
      </c>
      <c r="D26" s="68">
        <f>COUNTIF('진행율 입력_10.범위명'!O33:O42,"지연")</f>
        <v>10</v>
      </c>
      <c r="E26" s="68">
        <f>COUNTIF('진행율 입력_10.범위명'!O44:O53,"지연")</f>
        <v>10</v>
      </c>
      <c r="F26" s="69">
        <f>COUNTIF('진행율 입력_10.범위명'!O55:O64,"지연")</f>
        <v>10</v>
      </c>
      <c r="G26" s="69">
        <f>COUNTIF('진행율 입력_10.범위명'!O66:O75,"지연")</f>
        <v>10</v>
      </c>
      <c r="H26" s="69">
        <f>COUNTIF('진행율 입력_10.범위명'!O77:O86,"지연")</f>
        <v>10</v>
      </c>
      <c r="I26" s="69">
        <f>COUNTIF('진행율 입력_10.범위명'!O88:O97,"지연")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CE150"/>
  <sheetViews>
    <sheetView view="pageBreakPreview" zoomScale="70" zoomScaleNormal="100" zoomScaleSheetLayoutView="70" workbookViewId="0">
      <selection activeCell="J10" sqref="J10:J97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5.5546875" style="82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72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진행현황_10.범위명!B15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진행현황_10.범위명!B16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si="5"/>
        <v>0.1</v>
      </c>
      <c r="M12" s="132">
        <f t="shared" si="6"/>
        <v>0</v>
      </c>
      <c r="N12" s="132">
        <f t="shared" si="3"/>
        <v>-0.1</v>
      </c>
      <c r="O12" s="133" t="str">
        <f t="shared" si="7"/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5"/>
        <v>0.1</v>
      </c>
      <c r="M13" s="132">
        <f t="shared" si="6"/>
        <v>0</v>
      </c>
      <c r="N13" s="132">
        <f t="shared" si="3"/>
        <v>-0.1</v>
      </c>
      <c r="O13" s="133" t="str">
        <f t="shared" si="7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5"/>
        <v>0.1</v>
      </c>
      <c r="M14" s="132">
        <f t="shared" si="6"/>
        <v>0</v>
      </c>
      <c r="N14" s="132">
        <f t="shared" si="3"/>
        <v>-0.1</v>
      </c>
      <c r="O14" s="133" t="str">
        <f t="shared" si="7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si="5"/>
        <v>0.1</v>
      </c>
      <c r="M15" s="132">
        <f t="shared" si="6"/>
        <v>0</v>
      </c>
      <c r="N15" s="132">
        <f t="shared" si="3"/>
        <v>-0.1</v>
      </c>
      <c r="O15" s="133" t="str">
        <f t="shared" si="7"/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5"/>
        <v>0.1</v>
      </c>
      <c r="M16" s="132">
        <f t="shared" si="6"/>
        <v>0</v>
      </c>
      <c r="N16" s="132">
        <f t="shared" si="3"/>
        <v>-0.1</v>
      </c>
      <c r="O16" s="133" t="str">
        <f t="shared" si="7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si="5"/>
        <v>0.1</v>
      </c>
      <c r="M17" s="132">
        <f t="shared" si="6"/>
        <v>0</v>
      </c>
      <c r="N17" s="132">
        <f t="shared" si="3"/>
        <v>-0.1</v>
      </c>
      <c r="O17" s="133" t="str">
        <f t="shared" si="7"/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5"/>
        <v>0.1</v>
      </c>
      <c r="M18" s="132">
        <f t="shared" si="6"/>
        <v>0</v>
      </c>
      <c r="N18" s="132">
        <f t="shared" si="3"/>
        <v>-0.1</v>
      </c>
      <c r="O18" s="133" t="str">
        <f t="shared" si="7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5"/>
        <v>0.1</v>
      </c>
      <c r="M19" s="132">
        <f t="shared" si="6"/>
        <v>0</v>
      </c>
      <c r="N19" s="132">
        <f t="shared" si="3"/>
        <v>-0.1</v>
      </c>
      <c r="O19" s="133" t="str">
        <f t="shared" si="7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진행현황_10.범위명!C15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진행현황_10.범위명!C16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11">IF(CheckDay&gt;=Q22,1,IF(CheckDay&lt;P22, 0,DAYS360(P22,CheckDay+1)/Y22))</f>
        <v>1</v>
      </c>
      <c r="K22" s="101">
        <v>0</v>
      </c>
      <c r="L22" s="132">
        <f t="shared" ref="L22:L31" si="12">I22*J22/100</f>
        <v>0.1</v>
      </c>
      <c r="M22" s="132">
        <f t="shared" ref="M22:M31" si="13">I22*K22/100</f>
        <v>0</v>
      </c>
      <c r="N22" s="132">
        <f t="shared" si="3"/>
        <v>-0.1</v>
      </c>
      <c r="O22" s="133" t="str">
        <f t="shared" ref="O22:O31" si="14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15">IF(OR((AND($P22&lt;=W$7,AND($Q22&lt;=W$8, $Q22&gt;=W$7))),(AND(AND($P22&gt;=W$7, $P22&lt;=W$8),$Q22&gt;=W$8)), AND($P22&gt;=W$7, $Q22&lt;=W$8), AND($P22&lt;=W$7,$Q22&gt;=W$8)),1,0)</f>
        <v>0</v>
      </c>
      <c r="X22" s="136">
        <f t="shared" si="15"/>
        <v>0</v>
      </c>
      <c r="Y22" s="136">
        <f t="shared" si="15"/>
        <v>0</v>
      </c>
      <c r="Z22" s="136">
        <f t="shared" si="15"/>
        <v>0</v>
      </c>
      <c r="AA22" s="137">
        <f t="shared" si="15"/>
        <v>0</v>
      </c>
      <c r="AB22" s="138">
        <f t="shared" si="15"/>
        <v>0</v>
      </c>
      <c r="AC22" s="136">
        <f t="shared" si="15"/>
        <v>0</v>
      </c>
      <c r="AD22" s="136">
        <f t="shared" si="15"/>
        <v>0</v>
      </c>
      <c r="AE22" s="137">
        <f t="shared" si="15"/>
        <v>0</v>
      </c>
      <c r="AF22" s="135">
        <f t="shared" si="15"/>
        <v>0</v>
      </c>
      <c r="AG22" s="136">
        <f t="shared" si="15"/>
        <v>0</v>
      </c>
      <c r="AH22" s="136">
        <f t="shared" si="15"/>
        <v>0</v>
      </c>
      <c r="AI22" s="137">
        <f t="shared" si="15"/>
        <v>0</v>
      </c>
      <c r="AJ22" s="135">
        <f t="shared" si="15"/>
        <v>0</v>
      </c>
      <c r="AK22" s="138">
        <f t="shared" si="15"/>
        <v>0</v>
      </c>
      <c r="AL22" s="136">
        <f t="shared" si="15"/>
        <v>0</v>
      </c>
      <c r="AM22" s="136">
        <f t="shared" si="15"/>
        <v>0</v>
      </c>
      <c r="AN22" s="194">
        <f t="shared" si="15"/>
        <v>0</v>
      </c>
      <c r="AO22" s="138">
        <f t="shared" si="15"/>
        <v>0</v>
      </c>
      <c r="AP22" s="136">
        <f t="shared" si="15"/>
        <v>0</v>
      </c>
      <c r="AQ22" s="136">
        <f t="shared" si="15"/>
        <v>0</v>
      </c>
      <c r="AR22" s="137">
        <f t="shared" ref="AR22:BG31" si="16">IF(OR((AND($P22&lt;=AR$7,AND($Q22&lt;=AR$8, $Q22&gt;=AR$7))),(AND(AND($P22&gt;=AR$7, $P22&lt;=AR$8),$Q22&gt;=AR$8)), AND($P22&gt;=AR$7, $Q22&lt;=AR$8), AND($P22&lt;=AR$7,$Q22&gt;=AR$8)),1,0)</f>
        <v>0</v>
      </c>
      <c r="AS22" s="135">
        <f t="shared" si="16"/>
        <v>0</v>
      </c>
      <c r="AT22" s="136">
        <f t="shared" si="16"/>
        <v>0</v>
      </c>
      <c r="AU22" s="136">
        <f t="shared" si="16"/>
        <v>0</v>
      </c>
      <c r="AV22" s="137">
        <f t="shared" si="16"/>
        <v>0</v>
      </c>
      <c r="AW22" s="135">
        <f t="shared" si="16"/>
        <v>0</v>
      </c>
      <c r="AX22" s="136">
        <f t="shared" si="16"/>
        <v>0</v>
      </c>
      <c r="AY22" s="136">
        <f t="shared" si="16"/>
        <v>0</v>
      </c>
      <c r="AZ22" s="136">
        <f t="shared" si="16"/>
        <v>0</v>
      </c>
      <c r="BA22" s="137">
        <f t="shared" si="16"/>
        <v>0</v>
      </c>
      <c r="BB22" s="138">
        <f t="shared" si="16"/>
        <v>0</v>
      </c>
      <c r="BC22" s="136">
        <f t="shared" si="16"/>
        <v>0</v>
      </c>
      <c r="BD22" s="136">
        <f t="shared" si="16"/>
        <v>0</v>
      </c>
      <c r="BE22" s="137">
        <f t="shared" si="16"/>
        <v>0</v>
      </c>
      <c r="BF22" s="135">
        <f t="shared" si="16"/>
        <v>0</v>
      </c>
      <c r="BG22" s="136">
        <f t="shared" si="16"/>
        <v>0</v>
      </c>
      <c r="BH22" s="136">
        <f t="shared" ref="BH22:CE31" si="17">IF(OR((AND($P22&lt;=BH$7,AND($Q22&lt;=BH$8, $Q22&gt;=BH$7))),(AND(AND($P22&gt;=BH$7, $P22&lt;=BH$8),$Q22&gt;=BH$8)), AND($P22&gt;=BH$7, $Q22&lt;=BH$8), AND($P22&lt;=BH$7,$Q22&gt;=BH$8)),1,0)</f>
        <v>0</v>
      </c>
      <c r="BI22" s="137">
        <f t="shared" si="17"/>
        <v>0</v>
      </c>
      <c r="BJ22" s="138">
        <f t="shared" si="17"/>
        <v>0</v>
      </c>
      <c r="BK22" s="136">
        <f t="shared" si="17"/>
        <v>0</v>
      </c>
      <c r="BL22" s="136">
        <f t="shared" si="17"/>
        <v>0</v>
      </c>
      <c r="BM22" s="136">
        <f t="shared" si="17"/>
        <v>0</v>
      </c>
      <c r="BN22" s="137">
        <f t="shared" si="17"/>
        <v>0</v>
      </c>
      <c r="BO22" s="138">
        <f t="shared" si="17"/>
        <v>0</v>
      </c>
      <c r="BP22" s="136">
        <f t="shared" si="17"/>
        <v>0</v>
      </c>
      <c r="BQ22" s="136">
        <f t="shared" si="17"/>
        <v>0</v>
      </c>
      <c r="BR22" s="137">
        <f t="shared" si="17"/>
        <v>0</v>
      </c>
      <c r="BS22" s="138">
        <f t="shared" si="17"/>
        <v>0</v>
      </c>
      <c r="BT22" s="136">
        <f t="shared" si="17"/>
        <v>0</v>
      </c>
      <c r="BU22" s="136">
        <f t="shared" si="17"/>
        <v>0</v>
      </c>
      <c r="BV22" s="136">
        <f t="shared" si="17"/>
        <v>0</v>
      </c>
      <c r="BW22" s="137">
        <f t="shared" si="17"/>
        <v>0</v>
      </c>
      <c r="BX22" s="138">
        <f t="shared" si="17"/>
        <v>0</v>
      </c>
      <c r="BY22" s="136">
        <f t="shared" si="17"/>
        <v>0</v>
      </c>
      <c r="BZ22" s="136">
        <f t="shared" si="17"/>
        <v>0</v>
      </c>
      <c r="CA22" s="137">
        <f t="shared" si="17"/>
        <v>0</v>
      </c>
      <c r="CB22" s="135">
        <f t="shared" si="17"/>
        <v>0</v>
      </c>
      <c r="CC22" s="136">
        <f t="shared" si="17"/>
        <v>0</v>
      </c>
      <c r="CD22" s="136">
        <f t="shared" si="17"/>
        <v>0</v>
      </c>
      <c r="CE22" s="137">
        <f t="shared" si="17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11"/>
        <v>1</v>
      </c>
      <c r="K23" s="101">
        <v>0</v>
      </c>
      <c r="L23" s="132">
        <f t="shared" si="12"/>
        <v>0.1</v>
      </c>
      <c r="M23" s="132">
        <f t="shared" si="13"/>
        <v>0</v>
      </c>
      <c r="N23" s="132">
        <f t="shared" si="3"/>
        <v>-0.1</v>
      </c>
      <c r="O23" s="133" t="str">
        <f t="shared" si="14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15"/>
        <v>0</v>
      </c>
      <c r="X23" s="136">
        <f t="shared" si="15"/>
        <v>0</v>
      </c>
      <c r="Y23" s="136">
        <f t="shared" si="15"/>
        <v>0</v>
      </c>
      <c r="Z23" s="136">
        <f t="shared" si="15"/>
        <v>0</v>
      </c>
      <c r="AA23" s="137">
        <f t="shared" si="15"/>
        <v>0</v>
      </c>
      <c r="AB23" s="138">
        <f t="shared" si="15"/>
        <v>0</v>
      </c>
      <c r="AC23" s="136">
        <f t="shared" si="15"/>
        <v>0</v>
      </c>
      <c r="AD23" s="136">
        <f t="shared" si="15"/>
        <v>0</v>
      </c>
      <c r="AE23" s="137">
        <f t="shared" si="15"/>
        <v>0</v>
      </c>
      <c r="AF23" s="135">
        <f t="shared" si="15"/>
        <v>0</v>
      </c>
      <c r="AG23" s="136">
        <f t="shared" si="15"/>
        <v>0</v>
      </c>
      <c r="AH23" s="136">
        <f t="shared" si="15"/>
        <v>0</v>
      </c>
      <c r="AI23" s="137">
        <f t="shared" si="15"/>
        <v>0</v>
      </c>
      <c r="AJ23" s="135">
        <f t="shared" si="15"/>
        <v>0</v>
      </c>
      <c r="AK23" s="138">
        <f t="shared" si="15"/>
        <v>0</v>
      </c>
      <c r="AL23" s="136">
        <f t="shared" si="15"/>
        <v>0</v>
      </c>
      <c r="AM23" s="136">
        <f t="shared" si="15"/>
        <v>0</v>
      </c>
      <c r="AN23" s="194">
        <f t="shared" si="15"/>
        <v>0</v>
      </c>
      <c r="AO23" s="138">
        <f t="shared" si="15"/>
        <v>0</v>
      </c>
      <c r="AP23" s="136">
        <f t="shared" si="15"/>
        <v>0</v>
      </c>
      <c r="AQ23" s="136">
        <f t="shared" si="15"/>
        <v>0</v>
      </c>
      <c r="AR23" s="137">
        <f t="shared" si="16"/>
        <v>0</v>
      </c>
      <c r="AS23" s="135">
        <f t="shared" si="16"/>
        <v>0</v>
      </c>
      <c r="AT23" s="136">
        <f t="shared" si="16"/>
        <v>0</v>
      </c>
      <c r="AU23" s="136">
        <f t="shared" si="16"/>
        <v>0</v>
      </c>
      <c r="AV23" s="137">
        <f t="shared" si="16"/>
        <v>0</v>
      </c>
      <c r="AW23" s="135">
        <f t="shared" si="16"/>
        <v>0</v>
      </c>
      <c r="AX23" s="136">
        <f t="shared" si="16"/>
        <v>0</v>
      </c>
      <c r="AY23" s="136">
        <f t="shared" si="16"/>
        <v>0</v>
      </c>
      <c r="AZ23" s="136">
        <f t="shared" si="16"/>
        <v>0</v>
      </c>
      <c r="BA23" s="137">
        <f t="shared" si="16"/>
        <v>0</v>
      </c>
      <c r="BB23" s="138">
        <f t="shared" si="16"/>
        <v>0</v>
      </c>
      <c r="BC23" s="136">
        <f t="shared" si="16"/>
        <v>0</v>
      </c>
      <c r="BD23" s="136">
        <f t="shared" si="16"/>
        <v>0</v>
      </c>
      <c r="BE23" s="137">
        <f t="shared" si="16"/>
        <v>0</v>
      </c>
      <c r="BF23" s="135">
        <f t="shared" si="16"/>
        <v>0</v>
      </c>
      <c r="BG23" s="136">
        <f t="shared" si="16"/>
        <v>0</v>
      </c>
      <c r="BH23" s="136">
        <f t="shared" si="17"/>
        <v>0</v>
      </c>
      <c r="BI23" s="137">
        <f t="shared" si="17"/>
        <v>0</v>
      </c>
      <c r="BJ23" s="138">
        <f t="shared" si="17"/>
        <v>0</v>
      </c>
      <c r="BK23" s="136">
        <f t="shared" si="17"/>
        <v>0</v>
      </c>
      <c r="BL23" s="136">
        <f t="shared" si="17"/>
        <v>0</v>
      </c>
      <c r="BM23" s="136">
        <f t="shared" si="17"/>
        <v>0</v>
      </c>
      <c r="BN23" s="137">
        <f t="shared" si="17"/>
        <v>0</v>
      </c>
      <c r="BO23" s="138">
        <f t="shared" si="17"/>
        <v>0</v>
      </c>
      <c r="BP23" s="136">
        <f t="shared" si="17"/>
        <v>0</v>
      </c>
      <c r="BQ23" s="136">
        <f t="shared" si="17"/>
        <v>0</v>
      </c>
      <c r="BR23" s="137">
        <f t="shared" si="17"/>
        <v>0</v>
      </c>
      <c r="BS23" s="138">
        <f t="shared" si="17"/>
        <v>0</v>
      </c>
      <c r="BT23" s="136">
        <f t="shared" si="17"/>
        <v>0</v>
      </c>
      <c r="BU23" s="136">
        <f t="shared" si="17"/>
        <v>0</v>
      </c>
      <c r="BV23" s="136">
        <f t="shared" si="17"/>
        <v>0</v>
      </c>
      <c r="BW23" s="137">
        <f t="shared" si="17"/>
        <v>0</v>
      </c>
      <c r="BX23" s="138">
        <f t="shared" si="17"/>
        <v>0</v>
      </c>
      <c r="BY23" s="136">
        <f t="shared" si="17"/>
        <v>0</v>
      </c>
      <c r="BZ23" s="136">
        <f t="shared" si="17"/>
        <v>0</v>
      </c>
      <c r="CA23" s="137">
        <f t="shared" si="17"/>
        <v>0</v>
      </c>
      <c r="CB23" s="135">
        <f t="shared" si="17"/>
        <v>0</v>
      </c>
      <c r="CC23" s="136">
        <f t="shared" si="17"/>
        <v>0</v>
      </c>
      <c r="CD23" s="136">
        <f t="shared" si="17"/>
        <v>0</v>
      </c>
      <c r="CE23" s="137">
        <f t="shared" si="17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11"/>
        <v>1</v>
      </c>
      <c r="K24" s="101">
        <v>0</v>
      </c>
      <c r="L24" s="132">
        <f t="shared" si="12"/>
        <v>0.1</v>
      </c>
      <c r="M24" s="132">
        <f t="shared" si="13"/>
        <v>0</v>
      </c>
      <c r="N24" s="132">
        <f t="shared" si="3"/>
        <v>-0.1</v>
      </c>
      <c r="O24" s="133" t="str">
        <f t="shared" si="14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15"/>
        <v>0</v>
      </c>
      <c r="X24" s="136">
        <f t="shared" si="15"/>
        <v>0</v>
      </c>
      <c r="Y24" s="136">
        <f t="shared" si="15"/>
        <v>0</v>
      </c>
      <c r="Z24" s="136">
        <f t="shared" si="15"/>
        <v>0</v>
      </c>
      <c r="AA24" s="137">
        <f t="shared" si="15"/>
        <v>0</v>
      </c>
      <c r="AB24" s="138">
        <f t="shared" si="15"/>
        <v>0</v>
      </c>
      <c r="AC24" s="136">
        <f t="shared" si="15"/>
        <v>0</v>
      </c>
      <c r="AD24" s="136">
        <f t="shared" si="15"/>
        <v>0</v>
      </c>
      <c r="AE24" s="137">
        <f t="shared" si="15"/>
        <v>0</v>
      </c>
      <c r="AF24" s="135">
        <f t="shared" si="15"/>
        <v>0</v>
      </c>
      <c r="AG24" s="136">
        <f t="shared" si="15"/>
        <v>0</v>
      </c>
      <c r="AH24" s="136">
        <f t="shared" si="15"/>
        <v>0</v>
      </c>
      <c r="AI24" s="137">
        <f t="shared" si="15"/>
        <v>0</v>
      </c>
      <c r="AJ24" s="135">
        <f t="shared" si="15"/>
        <v>0</v>
      </c>
      <c r="AK24" s="138">
        <f t="shared" si="15"/>
        <v>0</v>
      </c>
      <c r="AL24" s="136">
        <f t="shared" si="15"/>
        <v>0</v>
      </c>
      <c r="AM24" s="136">
        <f t="shared" si="15"/>
        <v>0</v>
      </c>
      <c r="AN24" s="194">
        <f t="shared" si="15"/>
        <v>0</v>
      </c>
      <c r="AO24" s="138">
        <f t="shared" si="15"/>
        <v>0</v>
      </c>
      <c r="AP24" s="136">
        <f t="shared" si="15"/>
        <v>0</v>
      </c>
      <c r="AQ24" s="136">
        <f t="shared" si="15"/>
        <v>0</v>
      </c>
      <c r="AR24" s="137">
        <f t="shared" si="16"/>
        <v>0</v>
      </c>
      <c r="AS24" s="135">
        <f t="shared" si="16"/>
        <v>0</v>
      </c>
      <c r="AT24" s="136">
        <f t="shared" si="16"/>
        <v>0</v>
      </c>
      <c r="AU24" s="136">
        <f t="shared" si="16"/>
        <v>0</v>
      </c>
      <c r="AV24" s="137">
        <f t="shared" si="16"/>
        <v>0</v>
      </c>
      <c r="AW24" s="135">
        <f t="shared" si="16"/>
        <v>0</v>
      </c>
      <c r="AX24" s="136">
        <f t="shared" si="16"/>
        <v>0</v>
      </c>
      <c r="AY24" s="136">
        <f t="shared" si="16"/>
        <v>0</v>
      </c>
      <c r="AZ24" s="136">
        <f t="shared" si="16"/>
        <v>0</v>
      </c>
      <c r="BA24" s="137">
        <f t="shared" si="16"/>
        <v>0</v>
      </c>
      <c r="BB24" s="138">
        <f t="shared" si="16"/>
        <v>0</v>
      </c>
      <c r="BC24" s="136">
        <f t="shared" si="16"/>
        <v>0</v>
      </c>
      <c r="BD24" s="136">
        <f t="shared" si="16"/>
        <v>0</v>
      </c>
      <c r="BE24" s="137">
        <f t="shared" si="16"/>
        <v>0</v>
      </c>
      <c r="BF24" s="135">
        <f t="shared" si="16"/>
        <v>0</v>
      </c>
      <c r="BG24" s="136">
        <f t="shared" si="16"/>
        <v>0</v>
      </c>
      <c r="BH24" s="136">
        <f t="shared" si="17"/>
        <v>0</v>
      </c>
      <c r="BI24" s="137">
        <f t="shared" si="17"/>
        <v>0</v>
      </c>
      <c r="BJ24" s="138">
        <f t="shared" si="17"/>
        <v>0</v>
      </c>
      <c r="BK24" s="136">
        <f t="shared" si="17"/>
        <v>0</v>
      </c>
      <c r="BL24" s="136">
        <f t="shared" si="17"/>
        <v>0</v>
      </c>
      <c r="BM24" s="136">
        <f t="shared" si="17"/>
        <v>0</v>
      </c>
      <c r="BN24" s="137">
        <f t="shared" si="17"/>
        <v>0</v>
      </c>
      <c r="BO24" s="138">
        <f t="shared" si="17"/>
        <v>0</v>
      </c>
      <c r="BP24" s="136">
        <f t="shared" si="17"/>
        <v>0</v>
      </c>
      <c r="BQ24" s="136">
        <f t="shared" si="17"/>
        <v>0</v>
      </c>
      <c r="BR24" s="137">
        <f t="shared" si="17"/>
        <v>0</v>
      </c>
      <c r="BS24" s="138">
        <f t="shared" si="17"/>
        <v>0</v>
      </c>
      <c r="BT24" s="136">
        <f t="shared" si="17"/>
        <v>0</v>
      </c>
      <c r="BU24" s="136">
        <f t="shared" si="17"/>
        <v>0</v>
      </c>
      <c r="BV24" s="136">
        <f t="shared" si="17"/>
        <v>0</v>
      </c>
      <c r="BW24" s="137">
        <f t="shared" si="17"/>
        <v>0</v>
      </c>
      <c r="BX24" s="138">
        <f t="shared" si="17"/>
        <v>0</v>
      </c>
      <c r="BY24" s="136">
        <f t="shared" si="17"/>
        <v>0</v>
      </c>
      <c r="BZ24" s="136">
        <f t="shared" si="17"/>
        <v>0</v>
      </c>
      <c r="CA24" s="137">
        <f t="shared" si="17"/>
        <v>0</v>
      </c>
      <c r="CB24" s="135">
        <f t="shared" si="17"/>
        <v>0</v>
      </c>
      <c r="CC24" s="136">
        <f t="shared" si="17"/>
        <v>0</v>
      </c>
      <c r="CD24" s="136">
        <f t="shared" si="17"/>
        <v>0</v>
      </c>
      <c r="CE24" s="137">
        <f t="shared" si="17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11"/>
        <v>1</v>
      </c>
      <c r="K25" s="101">
        <v>0</v>
      </c>
      <c r="L25" s="132">
        <f t="shared" si="12"/>
        <v>0.1</v>
      </c>
      <c r="M25" s="132">
        <f t="shared" si="13"/>
        <v>0</v>
      </c>
      <c r="N25" s="132">
        <f t="shared" si="3"/>
        <v>-0.1</v>
      </c>
      <c r="O25" s="133" t="str">
        <f t="shared" si="14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15"/>
        <v>0</v>
      </c>
      <c r="X25" s="136">
        <f t="shared" si="15"/>
        <v>0</v>
      </c>
      <c r="Y25" s="136">
        <f t="shared" si="15"/>
        <v>0</v>
      </c>
      <c r="Z25" s="136">
        <f t="shared" si="15"/>
        <v>0</v>
      </c>
      <c r="AA25" s="137">
        <f t="shared" si="15"/>
        <v>0</v>
      </c>
      <c r="AB25" s="138">
        <f t="shared" si="15"/>
        <v>0</v>
      </c>
      <c r="AC25" s="136">
        <f t="shared" si="15"/>
        <v>0</v>
      </c>
      <c r="AD25" s="136">
        <f t="shared" si="15"/>
        <v>0</v>
      </c>
      <c r="AE25" s="137">
        <f t="shared" si="15"/>
        <v>0</v>
      </c>
      <c r="AF25" s="135">
        <f t="shared" si="15"/>
        <v>0</v>
      </c>
      <c r="AG25" s="136">
        <f t="shared" si="15"/>
        <v>0</v>
      </c>
      <c r="AH25" s="136">
        <f t="shared" si="15"/>
        <v>0</v>
      </c>
      <c r="AI25" s="137">
        <f t="shared" si="15"/>
        <v>0</v>
      </c>
      <c r="AJ25" s="135">
        <f t="shared" si="15"/>
        <v>0</v>
      </c>
      <c r="AK25" s="138">
        <f t="shared" si="15"/>
        <v>0</v>
      </c>
      <c r="AL25" s="136">
        <f t="shared" si="15"/>
        <v>0</v>
      </c>
      <c r="AM25" s="136">
        <f t="shared" si="15"/>
        <v>0</v>
      </c>
      <c r="AN25" s="194">
        <f t="shared" si="15"/>
        <v>0</v>
      </c>
      <c r="AO25" s="138">
        <f t="shared" si="15"/>
        <v>0</v>
      </c>
      <c r="AP25" s="136">
        <f t="shared" si="15"/>
        <v>0</v>
      </c>
      <c r="AQ25" s="136">
        <f t="shared" si="15"/>
        <v>0</v>
      </c>
      <c r="AR25" s="137">
        <f t="shared" si="16"/>
        <v>0</v>
      </c>
      <c r="AS25" s="135">
        <f t="shared" si="16"/>
        <v>0</v>
      </c>
      <c r="AT25" s="136">
        <f t="shared" si="16"/>
        <v>0</v>
      </c>
      <c r="AU25" s="136">
        <f t="shared" si="16"/>
        <v>0</v>
      </c>
      <c r="AV25" s="137">
        <f t="shared" si="16"/>
        <v>0</v>
      </c>
      <c r="AW25" s="135">
        <f t="shared" si="16"/>
        <v>0</v>
      </c>
      <c r="AX25" s="136">
        <f t="shared" si="16"/>
        <v>0</v>
      </c>
      <c r="AY25" s="136">
        <f t="shared" si="16"/>
        <v>0</v>
      </c>
      <c r="AZ25" s="136">
        <f t="shared" si="16"/>
        <v>0</v>
      </c>
      <c r="BA25" s="137">
        <f t="shared" si="16"/>
        <v>0</v>
      </c>
      <c r="BB25" s="138">
        <f t="shared" si="16"/>
        <v>0</v>
      </c>
      <c r="BC25" s="136">
        <f t="shared" si="16"/>
        <v>0</v>
      </c>
      <c r="BD25" s="136">
        <f t="shared" si="16"/>
        <v>0</v>
      </c>
      <c r="BE25" s="137">
        <f t="shared" si="16"/>
        <v>0</v>
      </c>
      <c r="BF25" s="135">
        <f t="shared" si="16"/>
        <v>0</v>
      </c>
      <c r="BG25" s="136">
        <f t="shared" si="16"/>
        <v>0</v>
      </c>
      <c r="BH25" s="136">
        <f t="shared" si="17"/>
        <v>0</v>
      </c>
      <c r="BI25" s="137">
        <f t="shared" si="17"/>
        <v>0</v>
      </c>
      <c r="BJ25" s="138">
        <f t="shared" si="17"/>
        <v>0</v>
      </c>
      <c r="BK25" s="136">
        <f t="shared" si="17"/>
        <v>0</v>
      </c>
      <c r="BL25" s="136">
        <f t="shared" si="17"/>
        <v>0</v>
      </c>
      <c r="BM25" s="136">
        <f t="shared" si="17"/>
        <v>0</v>
      </c>
      <c r="BN25" s="137">
        <f t="shared" si="17"/>
        <v>0</v>
      </c>
      <c r="BO25" s="138">
        <f t="shared" si="17"/>
        <v>0</v>
      </c>
      <c r="BP25" s="136">
        <f t="shared" si="17"/>
        <v>0</v>
      </c>
      <c r="BQ25" s="136">
        <f t="shared" si="17"/>
        <v>0</v>
      </c>
      <c r="BR25" s="137">
        <f t="shared" si="17"/>
        <v>0</v>
      </c>
      <c r="BS25" s="138">
        <f t="shared" si="17"/>
        <v>0</v>
      </c>
      <c r="BT25" s="136">
        <f t="shared" si="17"/>
        <v>0</v>
      </c>
      <c r="BU25" s="136">
        <f t="shared" si="17"/>
        <v>0</v>
      </c>
      <c r="BV25" s="136">
        <f t="shared" si="17"/>
        <v>0</v>
      </c>
      <c r="BW25" s="137">
        <f t="shared" si="17"/>
        <v>0</v>
      </c>
      <c r="BX25" s="138">
        <f t="shared" si="17"/>
        <v>0</v>
      </c>
      <c r="BY25" s="136">
        <f t="shared" si="17"/>
        <v>0</v>
      </c>
      <c r="BZ25" s="136">
        <f t="shared" si="17"/>
        <v>0</v>
      </c>
      <c r="CA25" s="137">
        <f t="shared" si="17"/>
        <v>0</v>
      </c>
      <c r="CB25" s="135">
        <f t="shared" si="17"/>
        <v>0</v>
      </c>
      <c r="CC25" s="136">
        <f t="shared" si="17"/>
        <v>0</v>
      </c>
      <c r="CD25" s="136">
        <f t="shared" si="17"/>
        <v>0</v>
      </c>
      <c r="CE25" s="137">
        <f t="shared" si="17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11"/>
        <v>1</v>
      </c>
      <c r="K26" s="101">
        <v>0</v>
      </c>
      <c r="L26" s="132">
        <f t="shared" si="12"/>
        <v>0.1</v>
      </c>
      <c r="M26" s="132">
        <f t="shared" si="13"/>
        <v>0</v>
      </c>
      <c r="N26" s="132">
        <f t="shared" si="3"/>
        <v>-0.1</v>
      </c>
      <c r="O26" s="133" t="str">
        <f t="shared" si="14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15"/>
        <v>0</v>
      </c>
      <c r="X26" s="136">
        <f t="shared" si="15"/>
        <v>0</v>
      </c>
      <c r="Y26" s="136">
        <f t="shared" si="15"/>
        <v>0</v>
      </c>
      <c r="Z26" s="136">
        <f t="shared" si="15"/>
        <v>0</v>
      </c>
      <c r="AA26" s="137">
        <f t="shared" si="15"/>
        <v>0</v>
      </c>
      <c r="AB26" s="138">
        <f t="shared" si="15"/>
        <v>0</v>
      </c>
      <c r="AC26" s="136">
        <f t="shared" si="15"/>
        <v>0</v>
      </c>
      <c r="AD26" s="136">
        <f t="shared" si="15"/>
        <v>0</v>
      </c>
      <c r="AE26" s="137">
        <f t="shared" si="15"/>
        <v>0</v>
      </c>
      <c r="AF26" s="135">
        <f t="shared" si="15"/>
        <v>0</v>
      </c>
      <c r="AG26" s="136">
        <f t="shared" si="15"/>
        <v>0</v>
      </c>
      <c r="AH26" s="136">
        <f t="shared" si="15"/>
        <v>0</v>
      </c>
      <c r="AI26" s="137">
        <f t="shared" si="15"/>
        <v>0</v>
      </c>
      <c r="AJ26" s="135">
        <f t="shared" si="15"/>
        <v>0</v>
      </c>
      <c r="AK26" s="138">
        <f t="shared" si="15"/>
        <v>0</v>
      </c>
      <c r="AL26" s="136">
        <f t="shared" si="15"/>
        <v>0</v>
      </c>
      <c r="AM26" s="136">
        <f t="shared" si="15"/>
        <v>0</v>
      </c>
      <c r="AN26" s="194">
        <f t="shared" si="15"/>
        <v>0</v>
      </c>
      <c r="AO26" s="138">
        <f t="shared" si="15"/>
        <v>0</v>
      </c>
      <c r="AP26" s="136">
        <f t="shared" si="15"/>
        <v>0</v>
      </c>
      <c r="AQ26" s="136">
        <f t="shared" si="15"/>
        <v>0</v>
      </c>
      <c r="AR26" s="137">
        <f t="shared" si="16"/>
        <v>0</v>
      </c>
      <c r="AS26" s="135">
        <f t="shared" si="16"/>
        <v>0</v>
      </c>
      <c r="AT26" s="136">
        <f t="shared" si="16"/>
        <v>0</v>
      </c>
      <c r="AU26" s="136">
        <f t="shared" si="16"/>
        <v>0</v>
      </c>
      <c r="AV26" s="137">
        <f t="shared" si="16"/>
        <v>0</v>
      </c>
      <c r="AW26" s="135">
        <f t="shared" si="16"/>
        <v>0</v>
      </c>
      <c r="AX26" s="136">
        <f t="shared" si="16"/>
        <v>0</v>
      </c>
      <c r="AY26" s="136">
        <f t="shared" si="16"/>
        <v>0</v>
      </c>
      <c r="AZ26" s="136">
        <f t="shared" si="16"/>
        <v>0</v>
      </c>
      <c r="BA26" s="137">
        <f t="shared" si="16"/>
        <v>0</v>
      </c>
      <c r="BB26" s="138">
        <f t="shared" si="16"/>
        <v>0</v>
      </c>
      <c r="BC26" s="136">
        <f t="shared" si="16"/>
        <v>0</v>
      </c>
      <c r="BD26" s="136">
        <f t="shared" si="16"/>
        <v>0</v>
      </c>
      <c r="BE26" s="137">
        <f t="shared" si="16"/>
        <v>0</v>
      </c>
      <c r="BF26" s="135">
        <f t="shared" si="16"/>
        <v>0</v>
      </c>
      <c r="BG26" s="136">
        <f t="shared" si="16"/>
        <v>0</v>
      </c>
      <c r="BH26" s="136">
        <f t="shared" si="17"/>
        <v>0</v>
      </c>
      <c r="BI26" s="137">
        <f t="shared" si="17"/>
        <v>0</v>
      </c>
      <c r="BJ26" s="138">
        <f t="shared" si="17"/>
        <v>0</v>
      </c>
      <c r="BK26" s="136">
        <f t="shared" si="17"/>
        <v>0</v>
      </c>
      <c r="BL26" s="136">
        <f t="shared" si="17"/>
        <v>0</v>
      </c>
      <c r="BM26" s="136">
        <f t="shared" si="17"/>
        <v>0</v>
      </c>
      <c r="BN26" s="137">
        <f t="shared" si="17"/>
        <v>0</v>
      </c>
      <c r="BO26" s="138">
        <f t="shared" si="17"/>
        <v>0</v>
      </c>
      <c r="BP26" s="136">
        <f t="shared" si="17"/>
        <v>0</v>
      </c>
      <c r="BQ26" s="136">
        <f t="shared" si="17"/>
        <v>0</v>
      </c>
      <c r="BR26" s="137">
        <f t="shared" si="17"/>
        <v>0</v>
      </c>
      <c r="BS26" s="138">
        <f t="shared" si="17"/>
        <v>0</v>
      </c>
      <c r="BT26" s="136">
        <f t="shared" si="17"/>
        <v>0</v>
      </c>
      <c r="BU26" s="136">
        <f t="shared" si="17"/>
        <v>0</v>
      </c>
      <c r="BV26" s="136">
        <f t="shared" si="17"/>
        <v>0</v>
      </c>
      <c r="BW26" s="137">
        <f t="shared" si="17"/>
        <v>0</v>
      </c>
      <c r="BX26" s="138">
        <f t="shared" si="17"/>
        <v>0</v>
      </c>
      <c r="BY26" s="136">
        <f t="shared" si="17"/>
        <v>0</v>
      </c>
      <c r="BZ26" s="136">
        <f t="shared" si="17"/>
        <v>0</v>
      </c>
      <c r="CA26" s="137">
        <f t="shared" si="17"/>
        <v>0</v>
      </c>
      <c r="CB26" s="135">
        <f t="shared" si="17"/>
        <v>0</v>
      </c>
      <c r="CC26" s="136">
        <f t="shared" si="17"/>
        <v>0</v>
      </c>
      <c r="CD26" s="136">
        <f t="shared" si="17"/>
        <v>0</v>
      </c>
      <c r="CE26" s="137">
        <f t="shared" si="17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11"/>
        <v>1</v>
      </c>
      <c r="K27" s="101">
        <v>0</v>
      </c>
      <c r="L27" s="132">
        <f t="shared" si="12"/>
        <v>0.1</v>
      </c>
      <c r="M27" s="132">
        <f t="shared" si="13"/>
        <v>0</v>
      </c>
      <c r="N27" s="132">
        <f t="shared" si="3"/>
        <v>-0.1</v>
      </c>
      <c r="O27" s="133" t="str">
        <f t="shared" si="14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15"/>
        <v>0</v>
      </c>
      <c r="X27" s="136">
        <f t="shared" si="15"/>
        <v>0</v>
      </c>
      <c r="Y27" s="136">
        <f t="shared" si="15"/>
        <v>0</v>
      </c>
      <c r="Z27" s="136">
        <f t="shared" si="15"/>
        <v>0</v>
      </c>
      <c r="AA27" s="137">
        <f t="shared" si="15"/>
        <v>0</v>
      </c>
      <c r="AB27" s="138">
        <f t="shared" si="15"/>
        <v>0</v>
      </c>
      <c r="AC27" s="136">
        <f t="shared" si="15"/>
        <v>0</v>
      </c>
      <c r="AD27" s="136">
        <f t="shared" si="15"/>
        <v>0</v>
      </c>
      <c r="AE27" s="137">
        <f t="shared" si="15"/>
        <v>0</v>
      </c>
      <c r="AF27" s="135">
        <f t="shared" si="15"/>
        <v>0</v>
      </c>
      <c r="AG27" s="136">
        <f t="shared" si="15"/>
        <v>0</v>
      </c>
      <c r="AH27" s="136">
        <f t="shared" si="15"/>
        <v>0</v>
      </c>
      <c r="AI27" s="137">
        <f t="shared" si="15"/>
        <v>0</v>
      </c>
      <c r="AJ27" s="135">
        <f t="shared" si="15"/>
        <v>0</v>
      </c>
      <c r="AK27" s="138">
        <f t="shared" si="15"/>
        <v>0</v>
      </c>
      <c r="AL27" s="136">
        <f t="shared" si="15"/>
        <v>0</v>
      </c>
      <c r="AM27" s="136">
        <f t="shared" si="15"/>
        <v>0</v>
      </c>
      <c r="AN27" s="194">
        <f t="shared" si="15"/>
        <v>0</v>
      </c>
      <c r="AO27" s="138">
        <f t="shared" si="15"/>
        <v>0</v>
      </c>
      <c r="AP27" s="136">
        <f t="shared" si="15"/>
        <v>0</v>
      </c>
      <c r="AQ27" s="136">
        <f t="shared" si="15"/>
        <v>0</v>
      </c>
      <c r="AR27" s="137">
        <f t="shared" si="16"/>
        <v>0</v>
      </c>
      <c r="AS27" s="135">
        <f t="shared" si="16"/>
        <v>0</v>
      </c>
      <c r="AT27" s="136">
        <f t="shared" si="16"/>
        <v>0</v>
      </c>
      <c r="AU27" s="136">
        <f t="shared" si="16"/>
        <v>0</v>
      </c>
      <c r="AV27" s="137">
        <f t="shared" si="16"/>
        <v>0</v>
      </c>
      <c r="AW27" s="135">
        <f t="shared" si="16"/>
        <v>0</v>
      </c>
      <c r="AX27" s="136">
        <f t="shared" si="16"/>
        <v>0</v>
      </c>
      <c r="AY27" s="136">
        <f t="shared" si="16"/>
        <v>0</v>
      </c>
      <c r="AZ27" s="136">
        <f t="shared" si="16"/>
        <v>0</v>
      </c>
      <c r="BA27" s="137">
        <f t="shared" si="16"/>
        <v>0</v>
      </c>
      <c r="BB27" s="138">
        <f t="shared" si="16"/>
        <v>0</v>
      </c>
      <c r="BC27" s="136">
        <f t="shared" si="16"/>
        <v>0</v>
      </c>
      <c r="BD27" s="136">
        <f t="shared" si="16"/>
        <v>0</v>
      </c>
      <c r="BE27" s="137">
        <f t="shared" si="16"/>
        <v>0</v>
      </c>
      <c r="BF27" s="135">
        <f t="shared" si="16"/>
        <v>0</v>
      </c>
      <c r="BG27" s="136">
        <f t="shared" si="16"/>
        <v>0</v>
      </c>
      <c r="BH27" s="136">
        <f t="shared" si="17"/>
        <v>0</v>
      </c>
      <c r="BI27" s="137">
        <f t="shared" si="17"/>
        <v>0</v>
      </c>
      <c r="BJ27" s="138">
        <f t="shared" si="17"/>
        <v>0</v>
      </c>
      <c r="BK27" s="136">
        <f t="shared" si="17"/>
        <v>0</v>
      </c>
      <c r="BL27" s="136">
        <f t="shared" si="17"/>
        <v>0</v>
      </c>
      <c r="BM27" s="136">
        <f t="shared" si="17"/>
        <v>0</v>
      </c>
      <c r="BN27" s="137">
        <f t="shared" si="17"/>
        <v>0</v>
      </c>
      <c r="BO27" s="138">
        <f t="shared" si="17"/>
        <v>0</v>
      </c>
      <c r="BP27" s="136">
        <f t="shared" si="17"/>
        <v>0</v>
      </c>
      <c r="BQ27" s="136">
        <f t="shared" si="17"/>
        <v>0</v>
      </c>
      <c r="BR27" s="137">
        <f t="shared" si="17"/>
        <v>0</v>
      </c>
      <c r="BS27" s="138">
        <f t="shared" si="17"/>
        <v>0</v>
      </c>
      <c r="BT27" s="136">
        <f t="shared" si="17"/>
        <v>0</v>
      </c>
      <c r="BU27" s="136">
        <f t="shared" si="17"/>
        <v>0</v>
      </c>
      <c r="BV27" s="136">
        <f t="shared" si="17"/>
        <v>0</v>
      </c>
      <c r="BW27" s="137">
        <f t="shared" si="17"/>
        <v>0</v>
      </c>
      <c r="BX27" s="138">
        <f t="shared" si="17"/>
        <v>0</v>
      </c>
      <c r="BY27" s="136">
        <f t="shared" si="17"/>
        <v>0</v>
      </c>
      <c r="BZ27" s="136">
        <f t="shared" si="17"/>
        <v>0</v>
      </c>
      <c r="CA27" s="137">
        <f t="shared" si="17"/>
        <v>0</v>
      </c>
      <c r="CB27" s="135">
        <f t="shared" si="17"/>
        <v>0</v>
      </c>
      <c r="CC27" s="136">
        <f t="shared" si="17"/>
        <v>0</v>
      </c>
      <c r="CD27" s="136">
        <f t="shared" si="17"/>
        <v>0</v>
      </c>
      <c r="CE27" s="137">
        <f t="shared" si="17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11"/>
        <v>1</v>
      </c>
      <c r="K28" s="101">
        <v>0</v>
      </c>
      <c r="L28" s="132">
        <f t="shared" si="12"/>
        <v>0.1</v>
      </c>
      <c r="M28" s="132">
        <f t="shared" si="13"/>
        <v>0</v>
      </c>
      <c r="N28" s="132">
        <f t="shared" si="3"/>
        <v>-0.1</v>
      </c>
      <c r="O28" s="133" t="str">
        <f t="shared" si="14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15"/>
        <v>0</v>
      </c>
      <c r="X28" s="136">
        <f t="shared" si="15"/>
        <v>0</v>
      </c>
      <c r="Y28" s="136">
        <f t="shared" si="15"/>
        <v>0</v>
      </c>
      <c r="Z28" s="136">
        <f t="shared" si="15"/>
        <v>0</v>
      </c>
      <c r="AA28" s="137">
        <f t="shared" si="15"/>
        <v>0</v>
      </c>
      <c r="AB28" s="138">
        <f t="shared" si="15"/>
        <v>0</v>
      </c>
      <c r="AC28" s="136">
        <f t="shared" si="15"/>
        <v>0</v>
      </c>
      <c r="AD28" s="136">
        <f t="shared" si="15"/>
        <v>0</v>
      </c>
      <c r="AE28" s="137">
        <f t="shared" si="15"/>
        <v>0</v>
      </c>
      <c r="AF28" s="135">
        <f t="shared" si="15"/>
        <v>0</v>
      </c>
      <c r="AG28" s="136">
        <f t="shared" si="15"/>
        <v>0</v>
      </c>
      <c r="AH28" s="136">
        <f t="shared" si="15"/>
        <v>0</v>
      </c>
      <c r="AI28" s="137">
        <f t="shared" si="15"/>
        <v>0</v>
      </c>
      <c r="AJ28" s="135">
        <f t="shared" si="15"/>
        <v>0</v>
      </c>
      <c r="AK28" s="138">
        <f t="shared" si="15"/>
        <v>0</v>
      </c>
      <c r="AL28" s="136">
        <f t="shared" si="15"/>
        <v>0</v>
      </c>
      <c r="AM28" s="136">
        <f t="shared" si="15"/>
        <v>0</v>
      </c>
      <c r="AN28" s="194">
        <f t="shared" si="15"/>
        <v>0</v>
      </c>
      <c r="AO28" s="138">
        <f t="shared" si="15"/>
        <v>0</v>
      </c>
      <c r="AP28" s="136">
        <f t="shared" si="15"/>
        <v>0</v>
      </c>
      <c r="AQ28" s="136">
        <f t="shared" si="15"/>
        <v>0</v>
      </c>
      <c r="AR28" s="137">
        <f t="shared" si="16"/>
        <v>0</v>
      </c>
      <c r="AS28" s="135">
        <f t="shared" si="16"/>
        <v>0</v>
      </c>
      <c r="AT28" s="136">
        <f t="shared" si="16"/>
        <v>0</v>
      </c>
      <c r="AU28" s="136">
        <f t="shared" si="16"/>
        <v>0</v>
      </c>
      <c r="AV28" s="137">
        <f t="shared" si="16"/>
        <v>0</v>
      </c>
      <c r="AW28" s="135">
        <f t="shared" si="16"/>
        <v>0</v>
      </c>
      <c r="AX28" s="136">
        <f t="shared" si="16"/>
        <v>0</v>
      </c>
      <c r="AY28" s="136">
        <f t="shared" si="16"/>
        <v>0</v>
      </c>
      <c r="AZ28" s="136">
        <f t="shared" si="16"/>
        <v>0</v>
      </c>
      <c r="BA28" s="137">
        <f t="shared" si="16"/>
        <v>0</v>
      </c>
      <c r="BB28" s="138">
        <f t="shared" si="16"/>
        <v>0</v>
      </c>
      <c r="BC28" s="136">
        <f t="shared" si="16"/>
        <v>0</v>
      </c>
      <c r="BD28" s="136">
        <f t="shared" si="16"/>
        <v>0</v>
      </c>
      <c r="BE28" s="137">
        <f t="shared" si="16"/>
        <v>0</v>
      </c>
      <c r="BF28" s="135">
        <f t="shared" si="16"/>
        <v>0</v>
      </c>
      <c r="BG28" s="136">
        <f t="shared" si="16"/>
        <v>0</v>
      </c>
      <c r="BH28" s="136">
        <f t="shared" si="17"/>
        <v>0</v>
      </c>
      <c r="BI28" s="137">
        <f t="shared" si="17"/>
        <v>0</v>
      </c>
      <c r="BJ28" s="138">
        <f t="shared" si="17"/>
        <v>0</v>
      </c>
      <c r="BK28" s="136">
        <f t="shared" si="17"/>
        <v>0</v>
      </c>
      <c r="BL28" s="136">
        <f t="shared" si="17"/>
        <v>0</v>
      </c>
      <c r="BM28" s="136">
        <f t="shared" si="17"/>
        <v>0</v>
      </c>
      <c r="BN28" s="137">
        <f t="shared" si="17"/>
        <v>0</v>
      </c>
      <c r="BO28" s="138">
        <f t="shared" si="17"/>
        <v>0</v>
      </c>
      <c r="BP28" s="136">
        <f t="shared" si="17"/>
        <v>0</v>
      </c>
      <c r="BQ28" s="136">
        <f t="shared" si="17"/>
        <v>0</v>
      </c>
      <c r="BR28" s="137">
        <f t="shared" si="17"/>
        <v>0</v>
      </c>
      <c r="BS28" s="138">
        <f t="shared" si="17"/>
        <v>0</v>
      </c>
      <c r="BT28" s="136">
        <f t="shared" si="17"/>
        <v>0</v>
      </c>
      <c r="BU28" s="136">
        <f t="shared" si="17"/>
        <v>0</v>
      </c>
      <c r="BV28" s="136">
        <f t="shared" si="17"/>
        <v>0</v>
      </c>
      <c r="BW28" s="137">
        <f t="shared" si="17"/>
        <v>0</v>
      </c>
      <c r="BX28" s="138">
        <f t="shared" si="17"/>
        <v>0</v>
      </c>
      <c r="BY28" s="136">
        <f t="shared" si="17"/>
        <v>0</v>
      </c>
      <c r="BZ28" s="136">
        <f t="shared" si="17"/>
        <v>0</v>
      </c>
      <c r="CA28" s="137">
        <f t="shared" si="17"/>
        <v>0</v>
      </c>
      <c r="CB28" s="135">
        <f t="shared" si="17"/>
        <v>0</v>
      </c>
      <c r="CC28" s="136">
        <f t="shared" si="17"/>
        <v>0</v>
      </c>
      <c r="CD28" s="136">
        <f t="shared" si="17"/>
        <v>0</v>
      </c>
      <c r="CE28" s="137">
        <f t="shared" si="17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11"/>
        <v>1</v>
      </c>
      <c r="K29" s="101">
        <v>0</v>
      </c>
      <c r="L29" s="132">
        <f t="shared" si="12"/>
        <v>0.1</v>
      </c>
      <c r="M29" s="132">
        <f t="shared" si="13"/>
        <v>0</v>
      </c>
      <c r="N29" s="132">
        <f t="shared" si="3"/>
        <v>-0.1</v>
      </c>
      <c r="O29" s="133" t="str">
        <f t="shared" si="14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15"/>
        <v>0</v>
      </c>
      <c r="X29" s="136">
        <f t="shared" si="15"/>
        <v>0</v>
      </c>
      <c r="Y29" s="136">
        <f t="shared" si="15"/>
        <v>0</v>
      </c>
      <c r="Z29" s="136">
        <f t="shared" si="15"/>
        <v>0</v>
      </c>
      <c r="AA29" s="137">
        <f t="shared" si="15"/>
        <v>0</v>
      </c>
      <c r="AB29" s="138">
        <f t="shared" si="15"/>
        <v>0</v>
      </c>
      <c r="AC29" s="136">
        <f t="shared" si="15"/>
        <v>0</v>
      </c>
      <c r="AD29" s="136">
        <f t="shared" si="15"/>
        <v>0</v>
      </c>
      <c r="AE29" s="137">
        <f t="shared" si="15"/>
        <v>0</v>
      </c>
      <c r="AF29" s="135">
        <f t="shared" si="15"/>
        <v>0</v>
      </c>
      <c r="AG29" s="136">
        <f t="shared" si="15"/>
        <v>0</v>
      </c>
      <c r="AH29" s="136">
        <f t="shared" si="15"/>
        <v>0</v>
      </c>
      <c r="AI29" s="137">
        <f t="shared" si="15"/>
        <v>0</v>
      </c>
      <c r="AJ29" s="135">
        <f t="shared" si="15"/>
        <v>0</v>
      </c>
      <c r="AK29" s="138">
        <f t="shared" si="15"/>
        <v>0</v>
      </c>
      <c r="AL29" s="136">
        <f t="shared" si="15"/>
        <v>0</v>
      </c>
      <c r="AM29" s="136">
        <f t="shared" si="15"/>
        <v>0</v>
      </c>
      <c r="AN29" s="194">
        <f t="shared" si="15"/>
        <v>0</v>
      </c>
      <c r="AO29" s="138">
        <f t="shared" si="15"/>
        <v>0</v>
      </c>
      <c r="AP29" s="136">
        <f t="shared" si="15"/>
        <v>0</v>
      </c>
      <c r="AQ29" s="136">
        <f t="shared" si="15"/>
        <v>0</v>
      </c>
      <c r="AR29" s="137">
        <f t="shared" si="16"/>
        <v>0</v>
      </c>
      <c r="AS29" s="135">
        <f t="shared" si="16"/>
        <v>0</v>
      </c>
      <c r="AT29" s="136">
        <f t="shared" si="16"/>
        <v>0</v>
      </c>
      <c r="AU29" s="136">
        <f t="shared" si="16"/>
        <v>0</v>
      </c>
      <c r="AV29" s="137">
        <f t="shared" si="16"/>
        <v>0</v>
      </c>
      <c r="AW29" s="135">
        <f t="shared" si="16"/>
        <v>0</v>
      </c>
      <c r="AX29" s="136">
        <f t="shared" si="16"/>
        <v>0</v>
      </c>
      <c r="AY29" s="136">
        <f t="shared" si="16"/>
        <v>0</v>
      </c>
      <c r="AZ29" s="136">
        <f t="shared" si="16"/>
        <v>0</v>
      </c>
      <c r="BA29" s="137">
        <f t="shared" si="16"/>
        <v>0</v>
      </c>
      <c r="BB29" s="138">
        <f t="shared" si="16"/>
        <v>0</v>
      </c>
      <c r="BC29" s="136">
        <f t="shared" si="16"/>
        <v>0</v>
      </c>
      <c r="BD29" s="136">
        <f t="shared" si="16"/>
        <v>0</v>
      </c>
      <c r="BE29" s="137">
        <f t="shared" si="16"/>
        <v>0</v>
      </c>
      <c r="BF29" s="135">
        <f t="shared" si="16"/>
        <v>0</v>
      </c>
      <c r="BG29" s="136">
        <f t="shared" si="16"/>
        <v>0</v>
      </c>
      <c r="BH29" s="136">
        <f t="shared" si="17"/>
        <v>0</v>
      </c>
      <c r="BI29" s="137">
        <f t="shared" si="17"/>
        <v>0</v>
      </c>
      <c r="BJ29" s="138">
        <f t="shared" si="17"/>
        <v>0</v>
      </c>
      <c r="BK29" s="136">
        <f t="shared" si="17"/>
        <v>0</v>
      </c>
      <c r="BL29" s="136">
        <f t="shared" si="17"/>
        <v>0</v>
      </c>
      <c r="BM29" s="136">
        <f t="shared" si="17"/>
        <v>0</v>
      </c>
      <c r="BN29" s="137">
        <f t="shared" si="17"/>
        <v>0</v>
      </c>
      <c r="BO29" s="138">
        <f t="shared" si="17"/>
        <v>0</v>
      </c>
      <c r="BP29" s="136">
        <f t="shared" si="17"/>
        <v>0</v>
      </c>
      <c r="BQ29" s="136">
        <f t="shared" si="17"/>
        <v>0</v>
      </c>
      <c r="BR29" s="137">
        <f t="shared" si="17"/>
        <v>0</v>
      </c>
      <c r="BS29" s="138">
        <f t="shared" si="17"/>
        <v>0</v>
      </c>
      <c r="BT29" s="136">
        <f t="shared" si="17"/>
        <v>0</v>
      </c>
      <c r="BU29" s="136">
        <f t="shared" si="17"/>
        <v>0</v>
      </c>
      <c r="BV29" s="136">
        <f t="shared" si="17"/>
        <v>0</v>
      </c>
      <c r="BW29" s="137">
        <f t="shared" si="17"/>
        <v>0</v>
      </c>
      <c r="BX29" s="138">
        <f t="shared" si="17"/>
        <v>0</v>
      </c>
      <c r="BY29" s="136">
        <f t="shared" si="17"/>
        <v>0</v>
      </c>
      <c r="BZ29" s="136">
        <f t="shared" si="17"/>
        <v>0</v>
      </c>
      <c r="CA29" s="137">
        <f t="shared" si="17"/>
        <v>0</v>
      </c>
      <c r="CB29" s="135">
        <f t="shared" si="17"/>
        <v>0</v>
      </c>
      <c r="CC29" s="136">
        <f t="shared" si="17"/>
        <v>0</v>
      </c>
      <c r="CD29" s="136">
        <f t="shared" si="17"/>
        <v>0</v>
      </c>
      <c r="CE29" s="137">
        <f t="shared" si="17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11"/>
        <v>1</v>
      </c>
      <c r="K30" s="101">
        <v>0</v>
      </c>
      <c r="L30" s="132">
        <f t="shared" si="12"/>
        <v>0.1</v>
      </c>
      <c r="M30" s="132">
        <f t="shared" si="13"/>
        <v>0</v>
      </c>
      <c r="N30" s="132">
        <f t="shared" si="3"/>
        <v>-0.1</v>
      </c>
      <c r="O30" s="133" t="str">
        <f t="shared" si="14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15"/>
        <v>0</v>
      </c>
      <c r="X30" s="136">
        <f t="shared" si="15"/>
        <v>0</v>
      </c>
      <c r="Y30" s="136">
        <f t="shared" si="15"/>
        <v>0</v>
      </c>
      <c r="Z30" s="136">
        <f t="shared" si="15"/>
        <v>0</v>
      </c>
      <c r="AA30" s="137">
        <f t="shared" si="15"/>
        <v>0</v>
      </c>
      <c r="AB30" s="138">
        <f t="shared" si="15"/>
        <v>0</v>
      </c>
      <c r="AC30" s="136">
        <f t="shared" si="15"/>
        <v>0</v>
      </c>
      <c r="AD30" s="136">
        <f t="shared" si="15"/>
        <v>0</v>
      </c>
      <c r="AE30" s="137">
        <f t="shared" si="15"/>
        <v>0</v>
      </c>
      <c r="AF30" s="135">
        <f t="shared" si="15"/>
        <v>0</v>
      </c>
      <c r="AG30" s="136">
        <f t="shared" si="15"/>
        <v>0</v>
      </c>
      <c r="AH30" s="136">
        <f t="shared" si="15"/>
        <v>0</v>
      </c>
      <c r="AI30" s="137">
        <f t="shared" si="15"/>
        <v>0</v>
      </c>
      <c r="AJ30" s="135">
        <f t="shared" si="15"/>
        <v>0</v>
      </c>
      <c r="AK30" s="138">
        <f t="shared" si="15"/>
        <v>0</v>
      </c>
      <c r="AL30" s="136">
        <f t="shared" si="15"/>
        <v>0</v>
      </c>
      <c r="AM30" s="136">
        <f t="shared" si="15"/>
        <v>0</v>
      </c>
      <c r="AN30" s="194">
        <f t="shared" si="15"/>
        <v>0</v>
      </c>
      <c r="AO30" s="138">
        <f t="shared" si="15"/>
        <v>0</v>
      </c>
      <c r="AP30" s="136">
        <f t="shared" si="15"/>
        <v>0</v>
      </c>
      <c r="AQ30" s="136">
        <f t="shared" si="15"/>
        <v>0</v>
      </c>
      <c r="AR30" s="137">
        <f t="shared" si="16"/>
        <v>0</v>
      </c>
      <c r="AS30" s="135">
        <f t="shared" si="16"/>
        <v>0</v>
      </c>
      <c r="AT30" s="136">
        <f t="shared" si="16"/>
        <v>0</v>
      </c>
      <c r="AU30" s="136">
        <f t="shared" si="16"/>
        <v>0</v>
      </c>
      <c r="AV30" s="137">
        <f t="shared" si="16"/>
        <v>0</v>
      </c>
      <c r="AW30" s="135">
        <f t="shared" si="16"/>
        <v>0</v>
      </c>
      <c r="AX30" s="136">
        <f t="shared" si="16"/>
        <v>0</v>
      </c>
      <c r="AY30" s="136">
        <f t="shared" si="16"/>
        <v>0</v>
      </c>
      <c r="AZ30" s="136">
        <f t="shared" si="16"/>
        <v>0</v>
      </c>
      <c r="BA30" s="137">
        <f t="shared" si="16"/>
        <v>0</v>
      </c>
      <c r="BB30" s="138">
        <f t="shared" si="16"/>
        <v>0</v>
      </c>
      <c r="BC30" s="136">
        <f t="shared" si="16"/>
        <v>0</v>
      </c>
      <c r="BD30" s="136">
        <f t="shared" si="16"/>
        <v>0</v>
      </c>
      <c r="BE30" s="137">
        <f t="shared" si="16"/>
        <v>0</v>
      </c>
      <c r="BF30" s="135">
        <f t="shared" si="16"/>
        <v>0</v>
      </c>
      <c r="BG30" s="136">
        <f t="shared" si="16"/>
        <v>0</v>
      </c>
      <c r="BH30" s="136">
        <f t="shared" si="17"/>
        <v>0</v>
      </c>
      <c r="BI30" s="137">
        <f t="shared" si="17"/>
        <v>0</v>
      </c>
      <c r="BJ30" s="138">
        <f t="shared" si="17"/>
        <v>0</v>
      </c>
      <c r="BK30" s="136">
        <f t="shared" si="17"/>
        <v>0</v>
      </c>
      <c r="BL30" s="136">
        <f t="shared" si="17"/>
        <v>0</v>
      </c>
      <c r="BM30" s="136">
        <f t="shared" si="17"/>
        <v>0</v>
      </c>
      <c r="BN30" s="137">
        <f t="shared" si="17"/>
        <v>0</v>
      </c>
      <c r="BO30" s="138">
        <f t="shared" si="17"/>
        <v>0</v>
      </c>
      <c r="BP30" s="136">
        <f t="shared" si="17"/>
        <v>0</v>
      </c>
      <c r="BQ30" s="136">
        <f t="shared" si="17"/>
        <v>0</v>
      </c>
      <c r="BR30" s="137">
        <f t="shared" si="17"/>
        <v>0</v>
      </c>
      <c r="BS30" s="138">
        <f t="shared" si="17"/>
        <v>0</v>
      </c>
      <c r="BT30" s="136">
        <f t="shared" si="17"/>
        <v>0</v>
      </c>
      <c r="BU30" s="136">
        <f t="shared" si="17"/>
        <v>0</v>
      </c>
      <c r="BV30" s="136">
        <f t="shared" si="17"/>
        <v>0</v>
      </c>
      <c r="BW30" s="137">
        <f t="shared" si="17"/>
        <v>0</v>
      </c>
      <c r="BX30" s="138">
        <f t="shared" si="17"/>
        <v>0</v>
      </c>
      <c r="BY30" s="136">
        <f t="shared" si="17"/>
        <v>0</v>
      </c>
      <c r="BZ30" s="136">
        <f t="shared" si="17"/>
        <v>0</v>
      </c>
      <c r="CA30" s="137">
        <f t="shared" si="17"/>
        <v>0</v>
      </c>
      <c r="CB30" s="135">
        <f t="shared" si="17"/>
        <v>0</v>
      </c>
      <c r="CC30" s="136">
        <f t="shared" si="17"/>
        <v>0</v>
      </c>
      <c r="CD30" s="136">
        <f t="shared" si="17"/>
        <v>0</v>
      </c>
      <c r="CE30" s="137">
        <f t="shared" si="17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11"/>
        <v>1</v>
      </c>
      <c r="K31" s="101">
        <v>0</v>
      </c>
      <c r="L31" s="132">
        <f t="shared" si="12"/>
        <v>0.1</v>
      </c>
      <c r="M31" s="132">
        <f t="shared" si="13"/>
        <v>0</v>
      </c>
      <c r="N31" s="132">
        <f t="shared" si="3"/>
        <v>-0.1</v>
      </c>
      <c r="O31" s="133" t="str">
        <f t="shared" si="14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15"/>
        <v>0</v>
      </c>
      <c r="X31" s="136">
        <f t="shared" si="15"/>
        <v>0</v>
      </c>
      <c r="Y31" s="136">
        <f t="shared" si="15"/>
        <v>0</v>
      </c>
      <c r="Z31" s="136">
        <f t="shared" si="15"/>
        <v>0</v>
      </c>
      <c r="AA31" s="137">
        <f t="shared" si="15"/>
        <v>0</v>
      </c>
      <c r="AB31" s="138">
        <f t="shared" si="15"/>
        <v>0</v>
      </c>
      <c r="AC31" s="136">
        <f t="shared" si="15"/>
        <v>0</v>
      </c>
      <c r="AD31" s="136">
        <f t="shared" si="15"/>
        <v>0</v>
      </c>
      <c r="AE31" s="137">
        <f t="shared" si="15"/>
        <v>0</v>
      </c>
      <c r="AF31" s="135">
        <f t="shared" si="15"/>
        <v>0</v>
      </c>
      <c r="AG31" s="136">
        <f t="shared" si="15"/>
        <v>0</v>
      </c>
      <c r="AH31" s="136">
        <f t="shared" si="15"/>
        <v>0</v>
      </c>
      <c r="AI31" s="137">
        <f t="shared" si="15"/>
        <v>0</v>
      </c>
      <c r="AJ31" s="135">
        <f t="shared" si="15"/>
        <v>0</v>
      </c>
      <c r="AK31" s="138">
        <f t="shared" si="15"/>
        <v>0</v>
      </c>
      <c r="AL31" s="136">
        <f t="shared" si="15"/>
        <v>0</v>
      </c>
      <c r="AM31" s="136">
        <f t="shared" si="15"/>
        <v>0</v>
      </c>
      <c r="AN31" s="194">
        <f t="shared" si="15"/>
        <v>0</v>
      </c>
      <c r="AO31" s="138">
        <f t="shared" si="15"/>
        <v>0</v>
      </c>
      <c r="AP31" s="136">
        <f t="shared" si="15"/>
        <v>0</v>
      </c>
      <c r="AQ31" s="136">
        <f t="shared" si="15"/>
        <v>0</v>
      </c>
      <c r="AR31" s="137">
        <f t="shared" si="16"/>
        <v>0</v>
      </c>
      <c r="AS31" s="135">
        <f t="shared" si="16"/>
        <v>0</v>
      </c>
      <c r="AT31" s="136">
        <f t="shared" si="16"/>
        <v>0</v>
      </c>
      <c r="AU31" s="136">
        <f t="shared" si="16"/>
        <v>0</v>
      </c>
      <c r="AV31" s="137">
        <f t="shared" si="16"/>
        <v>0</v>
      </c>
      <c r="AW31" s="135">
        <f t="shared" si="16"/>
        <v>0</v>
      </c>
      <c r="AX31" s="136">
        <f t="shared" si="16"/>
        <v>0</v>
      </c>
      <c r="AY31" s="136">
        <f t="shared" si="16"/>
        <v>0</v>
      </c>
      <c r="AZ31" s="136">
        <f t="shared" si="16"/>
        <v>0</v>
      </c>
      <c r="BA31" s="137">
        <f t="shared" si="16"/>
        <v>0</v>
      </c>
      <c r="BB31" s="138">
        <f t="shared" si="16"/>
        <v>0</v>
      </c>
      <c r="BC31" s="136">
        <f t="shared" si="16"/>
        <v>0</v>
      </c>
      <c r="BD31" s="136">
        <f t="shared" si="16"/>
        <v>0</v>
      </c>
      <c r="BE31" s="137">
        <f t="shared" si="16"/>
        <v>0</v>
      </c>
      <c r="BF31" s="135">
        <f t="shared" si="16"/>
        <v>0</v>
      </c>
      <c r="BG31" s="136">
        <f t="shared" si="16"/>
        <v>0</v>
      </c>
      <c r="BH31" s="136">
        <f t="shared" si="17"/>
        <v>0</v>
      </c>
      <c r="BI31" s="137">
        <f t="shared" si="17"/>
        <v>0</v>
      </c>
      <c r="BJ31" s="138">
        <f t="shared" si="17"/>
        <v>0</v>
      </c>
      <c r="BK31" s="136">
        <f t="shared" si="17"/>
        <v>0</v>
      </c>
      <c r="BL31" s="136">
        <f t="shared" si="17"/>
        <v>0</v>
      </c>
      <c r="BM31" s="136">
        <f t="shared" si="17"/>
        <v>0</v>
      </c>
      <c r="BN31" s="137">
        <f t="shared" si="17"/>
        <v>0</v>
      </c>
      <c r="BO31" s="138">
        <f t="shared" si="17"/>
        <v>0</v>
      </c>
      <c r="BP31" s="136">
        <f t="shared" si="17"/>
        <v>0</v>
      </c>
      <c r="BQ31" s="136">
        <f t="shared" si="17"/>
        <v>0</v>
      </c>
      <c r="BR31" s="137">
        <f t="shared" si="17"/>
        <v>0</v>
      </c>
      <c r="BS31" s="138">
        <f t="shared" si="17"/>
        <v>0</v>
      </c>
      <c r="BT31" s="136">
        <f t="shared" si="17"/>
        <v>0</v>
      </c>
      <c r="BU31" s="136">
        <f t="shared" si="17"/>
        <v>0</v>
      </c>
      <c r="BV31" s="136">
        <f t="shared" si="17"/>
        <v>0</v>
      </c>
      <c r="BW31" s="137">
        <f t="shared" si="17"/>
        <v>0</v>
      </c>
      <c r="BX31" s="138">
        <f t="shared" si="17"/>
        <v>0</v>
      </c>
      <c r="BY31" s="136">
        <f t="shared" si="17"/>
        <v>0</v>
      </c>
      <c r="BZ31" s="136">
        <f t="shared" si="17"/>
        <v>0</v>
      </c>
      <c r="CA31" s="137">
        <f t="shared" si="17"/>
        <v>0</v>
      </c>
      <c r="CB31" s="135">
        <f t="shared" si="17"/>
        <v>0</v>
      </c>
      <c r="CC31" s="136">
        <f t="shared" si="17"/>
        <v>0</v>
      </c>
      <c r="CD31" s="136">
        <f t="shared" si="17"/>
        <v>0</v>
      </c>
      <c r="CE31" s="137">
        <f t="shared" si="17"/>
        <v>0</v>
      </c>
    </row>
    <row r="32" spans="1:83" ht="17.25" thickBot="1">
      <c r="A32" s="139" t="s">
        <v>77</v>
      </c>
      <c r="B32" s="114" t="str">
        <f>진행현황_10.범위명!D15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진행현황_10.범위명!D16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18">IF(CheckDay&gt;=Q33,1,IF(CheckDay&lt;P33, 0,DAYS360(P33,CheckDay+1)/Y33))</f>
        <v>1</v>
      </c>
      <c r="K33" s="101">
        <v>0</v>
      </c>
      <c r="L33" s="132">
        <f t="shared" ref="L33:L42" si="19">I33*J33/100</f>
        <v>0.1</v>
      </c>
      <c r="M33" s="132">
        <f t="shared" ref="M33:M42" si="20">I33*K33/100</f>
        <v>0</v>
      </c>
      <c r="N33" s="132">
        <f t="shared" si="3"/>
        <v>-0.1</v>
      </c>
      <c r="O33" s="133" t="str">
        <f t="shared" ref="O33:O42" si="21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22">IF(OR((AND($P33&lt;=W$7,AND($Q33&lt;=W$8, $Q33&gt;=W$7))),(AND(AND($P33&gt;=W$7, $P33&lt;=W$8),$Q33&gt;=W$8)), AND($P33&gt;=W$7, $Q33&lt;=W$8), AND($P33&lt;=W$7,$Q33&gt;=W$8)),1,0)</f>
        <v>0</v>
      </c>
      <c r="X33" s="136">
        <f t="shared" si="22"/>
        <v>0</v>
      </c>
      <c r="Y33" s="136">
        <f t="shared" si="22"/>
        <v>0</v>
      </c>
      <c r="Z33" s="136">
        <f t="shared" si="22"/>
        <v>0</v>
      </c>
      <c r="AA33" s="137">
        <f t="shared" si="22"/>
        <v>0</v>
      </c>
      <c r="AB33" s="138">
        <f t="shared" si="22"/>
        <v>0</v>
      </c>
      <c r="AC33" s="136">
        <f t="shared" si="22"/>
        <v>0</v>
      </c>
      <c r="AD33" s="136">
        <f t="shared" si="22"/>
        <v>0</v>
      </c>
      <c r="AE33" s="137">
        <f t="shared" si="22"/>
        <v>0</v>
      </c>
      <c r="AF33" s="135">
        <f t="shared" si="22"/>
        <v>0</v>
      </c>
      <c r="AG33" s="136">
        <f t="shared" si="22"/>
        <v>0</v>
      </c>
      <c r="AH33" s="136">
        <f t="shared" si="22"/>
        <v>0</v>
      </c>
      <c r="AI33" s="137">
        <f t="shared" si="22"/>
        <v>0</v>
      </c>
      <c r="AJ33" s="135">
        <f t="shared" si="22"/>
        <v>0</v>
      </c>
      <c r="AK33" s="138">
        <f t="shared" si="22"/>
        <v>0</v>
      </c>
      <c r="AL33" s="136">
        <f t="shared" si="22"/>
        <v>0</v>
      </c>
      <c r="AM33" s="136">
        <f t="shared" si="22"/>
        <v>0</v>
      </c>
      <c r="AN33" s="194">
        <f t="shared" si="22"/>
        <v>0</v>
      </c>
      <c r="AO33" s="138">
        <f t="shared" si="22"/>
        <v>0</v>
      </c>
      <c r="AP33" s="136">
        <f t="shared" si="22"/>
        <v>0</v>
      </c>
      <c r="AQ33" s="136">
        <f t="shared" si="22"/>
        <v>0</v>
      </c>
      <c r="AR33" s="137">
        <f t="shared" ref="AR33:BG42" si="23">IF(OR((AND($P33&lt;=AR$7,AND($Q33&lt;=AR$8, $Q33&gt;=AR$7))),(AND(AND($P33&gt;=AR$7, $P33&lt;=AR$8),$Q33&gt;=AR$8)), AND($P33&gt;=AR$7, $Q33&lt;=AR$8), AND($P33&lt;=AR$7,$Q33&gt;=AR$8)),1,0)</f>
        <v>0</v>
      </c>
      <c r="AS33" s="135">
        <f t="shared" si="23"/>
        <v>0</v>
      </c>
      <c r="AT33" s="136">
        <f t="shared" si="23"/>
        <v>0</v>
      </c>
      <c r="AU33" s="136">
        <f t="shared" si="23"/>
        <v>0</v>
      </c>
      <c r="AV33" s="137">
        <f t="shared" si="23"/>
        <v>0</v>
      </c>
      <c r="AW33" s="135">
        <f t="shared" si="23"/>
        <v>0</v>
      </c>
      <c r="AX33" s="136">
        <f t="shared" si="23"/>
        <v>0</v>
      </c>
      <c r="AY33" s="136">
        <f t="shared" si="23"/>
        <v>0</v>
      </c>
      <c r="AZ33" s="136">
        <f t="shared" si="23"/>
        <v>0</v>
      </c>
      <c r="BA33" s="137">
        <f t="shared" si="23"/>
        <v>0</v>
      </c>
      <c r="BB33" s="138">
        <f t="shared" si="23"/>
        <v>0</v>
      </c>
      <c r="BC33" s="136">
        <f t="shared" si="23"/>
        <v>0</v>
      </c>
      <c r="BD33" s="136">
        <f t="shared" si="23"/>
        <v>0</v>
      </c>
      <c r="BE33" s="137">
        <f t="shared" si="23"/>
        <v>0</v>
      </c>
      <c r="BF33" s="135">
        <f t="shared" si="23"/>
        <v>0</v>
      </c>
      <c r="BG33" s="136">
        <f t="shared" si="23"/>
        <v>0</v>
      </c>
      <c r="BH33" s="136">
        <f t="shared" ref="BH33:CE42" si="24">IF(OR((AND($P33&lt;=BH$7,AND($Q33&lt;=BH$8, $Q33&gt;=BH$7))),(AND(AND($P33&gt;=BH$7, $P33&lt;=BH$8),$Q33&gt;=BH$8)), AND($P33&gt;=BH$7, $Q33&lt;=BH$8), AND($P33&lt;=BH$7,$Q33&gt;=BH$8)),1,0)</f>
        <v>0</v>
      </c>
      <c r="BI33" s="137">
        <f t="shared" si="24"/>
        <v>0</v>
      </c>
      <c r="BJ33" s="138">
        <f t="shared" si="24"/>
        <v>0</v>
      </c>
      <c r="BK33" s="136">
        <f t="shared" si="24"/>
        <v>0</v>
      </c>
      <c r="BL33" s="136">
        <f t="shared" si="24"/>
        <v>0</v>
      </c>
      <c r="BM33" s="136">
        <f t="shared" si="24"/>
        <v>0</v>
      </c>
      <c r="BN33" s="137">
        <f t="shared" si="24"/>
        <v>0</v>
      </c>
      <c r="BO33" s="138">
        <f t="shared" si="24"/>
        <v>0</v>
      </c>
      <c r="BP33" s="136">
        <f t="shared" si="24"/>
        <v>0</v>
      </c>
      <c r="BQ33" s="136">
        <f t="shared" si="24"/>
        <v>0</v>
      </c>
      <c r="BR33" s="137">
        <f t="shared" si="24"/>
        <v>0</v>
      </c>
      <c r="BS33" s="138">
        <f t="shared" si="24"/>
        <v>0</v>
      </c>
      <c r="BT33" s="136">
        <f t="shared" si="24"/>
        <v>0</v>
      </c>
      <c r="BU33" s="136">
        <f t="shared" si="24"/>
        <v>0</v>
      </c>
      <c r="BV33" s="136">
        <f t="shared" si="24"/>
        <v>0</v>
      </c>
      <c r="BW33" s="137">
        <f t="shared" si="24"/>
        <v>0</v>
      </c>
      <c r="BX33" s="138">
        <f t="shared" si="24"/>
        <v>0</v>
      </c>
      <c r="BY33" s="136">
        <f t="shared" si="24"/>
        <v>0</v>
      </c>
      <c r="BZ33" s="136">
        <f t="shared" si="24"/>
        <v>0</v>
      </c>
      <c r="CA33" s="137">
        <f t="shared" si="24"/>
        <v>0</v>
      </c>
      <c r="CB33" s="135">
        <f t="shared" si="24"/>
        <v>0</v>
      </c>
      <c r="CC33" s="136">
        <f t="shared" si="24"/>
        <v>0</v>
      </c>
      <c r="CD33" s="136">
        <f t="shared" si="24"/>
        <v>0</v>
      </c>
      <c r="CE33" s="137">
        <f t="shared" si="24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18"/>
        <v>1</v>
      </c>
      <c r="K34" s="101">
        <v>0</v>
      </c>
      <c r="L34" s="132">
        <f t="shared" si="19"/>
        <v>0.1</v>
      </c>
      <c r="M34" s="132">
        <f t="shared" si="20"/>
        <v>0</v>
      </c>
      <c r="N34" s="132">
        <f t="shared" si="3"/>
        <v>-0.1</v>
      </c>
      <c r="O34" s="133" t="str">
        <f t="shared" si="21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22"/>
        <v>0</v>
      </c>
      <c r="X34" s="136">
        <f t="shared" si="22"/>
        <v>0</v>
      </c>
      <c r="Y34" s="136">
        <f t="shared" si="22"/>
        <v>0</v>
      </c>
      <c r="Z34" s="136">
        <f t="shared" si="22"/>
        <v>0</v>
      </c>
      <c r="AA34" s="137">
        <f t="shared" si="22"/>
        <v>0</v>
      </c>
      <c r="AB34" s="138">
        <f t="shared" si="22"/>
        <v>0</v>
      </c>
      <c r="AC34" s="136">
        <f t="shared" si="22"/>
        <v>0</v>
      </c>
      <c r="AD34" s="136">
        <f t="shared" si="22"/>
        <v>0</v>
      </c>
      <c r="AE34" s="137">
        <f t="shared" si="22"/>
        <v>0</v>
      </c>
      <c r="AF34" s="135">
        <f t="shared" si="22"/>
        <v>0</v>
      </c>
      <c r="AG34" s="136">
        <f t="shared" si="22"/>
        <v>0</v>
      </c>
      <c r="AH34" s="136">
        <f t="shared" si="22"/>
        <v>0</v>
      </c>
      <c r="AI34" s="137">
        <f t="shared" si="22"/>
        <v>0</v>
      </c>
      <c r="AJ34" s="135">
        <f t="shared" si="22"/>
        <v>0</v>
      </c>
      <c r="AK34" s="138">
        <f t="shared" si="22"/>
        <v>0</v>
      </c>
      <c r="AL34" s="136">
        <f t="shared" si="22"/>
        <v>0</v>
      </c>
      <c r="AM34" s="136">
        <f t="shared" si="22"/>
        <v>0</v>
      </c>
      <c r="AN34" s="194">
        <f t="shared" si="22"/>
        <v>0</v>
      </c>
      <c r="AO34" s="138">
        <f t="shared" si="22"/>
        <v>0</v>
      </c>
      <c r="AP34" s="136">
        <f t="shared" si="22"/>
        <v>0</v>
      </c>
      <c r="AQ34" s="136">
        <f t="shared" si="22"/>
        <v>0</v>
      </c>
      <c r="AR34" s="137">
        <f t="shared" si="23"/>
        <v>0</v>
      </c>
      <c r="AS34" s="135">
        <f t="shared" si="23"/>
        <v>0</v>
      </c>
      <c r="AT34" s="136">
        <f t="shared" si="23"/>
        <v>0</v>
      </c>
      <c r="AU34" s="136">
        <f t="shared" si="23"/>
        <v>0</v>
      </c>
      <c r="AV34" s="137">
        <f t="shared" si="23"/>
        <v>0</v>
      </c>
      <c r="AW34" s="135">
        <f t="shared" si="23"/>
        <v>0</v>
      </c>
      <c r="AX34" s="136">
        <f t="shared" si="23"/>
        <v>0</v>
      </c>
      <c r="AY34" s="136">
        <f t="shared" si="23"/>
        <v>0</v>
      </c>
      <c r="AZ34" s="136">
        <f t="shared" si="23"/>
        <v>0</v>
      </c>
      <c r="BA34" s="137">
        <f t="shared" si="23"/>
        <v>0</v>
      </c>
      <c r="BB34" s="138">
        <f t="shared" si="23"/>
        <v>0</v>
      </c>
      <c r="BC34" s="136">
        <f t="shared" si="23"/>
        <v>0</v>
      </c>
      <c r="BD34" s="136">
        <f t="shared" si="23"/>
        <v>0</v>
      </c>
      <c r="BE34" s="137">
        <f t="shared" si="23"/>
        <v>0</v>
      </c>
      <c r="BF34" s="135">
        <f t="shared" si="23"/>
        <v>0</v>
      </c>
      <c r="BG34" s="136">
        <f t="shared" si="23"/>
        <v>0</v>
      </c>
      <c r="BH34" s="136">
        <f t="shared" si="24"/>
        <v>0</v>
      </c>
      <c r="BI34" s="137">
        <f t="shared" si="24"/>
        <v>0</v>
      </c>
      <c r="BJ34" s="138">
        <f t="shared" si="24"/>
        <v>0</v>
      </c>
      <c r="BK34" s="136">
        <f t="shared" si="24"/>
        <v>0</v>
      </c>
      <c r="BL34" s="136">
        <f t="shared" si="24"/>
        <v>0</v>
      </c>
      <c r="BM34" s="136">
        <f t="shared" si="24"/>
        <v>0</v>
      </c>
      <c r="BN34" s="137">
        <f t="shared" si="24"/>
        <v>0</v>
      </c>
      <c r="BO34" s="138">
        <f t="shared" si="24"/>
        <v>0</v>
      </c>
      <c r="BP34" s="136">
        <f t="shared" si="24"/>
        <v>0</v>
      </c>
      <c r="BQ34" s="136">
        <f t="shared" si="24"/>
        <v>0</v>
      </c>
      <c r="BR34" s="137">
        <f t="shared" si="24"/>
        <v>0</v>
      </c>
      <c r="BS34" s="138">
        <f t="shared" si="24"/>
        <v>0</v>
      </c>
      <c r="BT34" s="136">
        <f t="shared" si="24"/>
        <v>0</v>
      </c>
      <c r="BU34" s="136">
        <f t="shared" si="24"/>
        <v>0</v>
      </c>
      <c r="BV34" s="136">
        <f t="shared" si="24"/>
        <v>0</v>
      </c>
      <c r="BW34" s="137">
        <f t="shared" si="24"/>
        <v>0</v>
      </c>
      <c r="BX34" s="138">
        <f t="shared" si="24"/>
        <v>0</v>
      </c>
      <c r="BY34" s="136">
        <f t="shared" si="24"/>
        <v>0</v>
      </c>
      <c r="BZ34" s="136">
        <f t="shared" si="24"/>
        <v>0</v>
      </c>
      <c r="CA34" s="137">
        <f t="shared" si="24"/>
        <v>0</v>
      </c>
      <c r="CB34" s="135">
        <f t="shared" si="24"/>
        <v>0</v>
      </c>
      <c r="CC34" s="136">
        <f t="shared" si="24"/>
        <v>0</v>
      </c>
      <c r="CD34" s="136">
        <f t="shared" si="24"/>
        <v>0</v>
      </c>
      <c r="CE34" s="137">
        <f t="shared" si="24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18"/>
        <v>1</v>
      </c>
      <c r="K35" s="101">
        <v>0</v>
      </c>
      <c r="L35" s="132">
        <f t="shared" si="19"/>
        <v>0.1</v>
      </c>
      <c r="M35" s="132">
        <f t="shared" si="20"/>
        <v>0</v>
      </c>
      <c r="N35" s="132">
        <f t="shared" si="3"/>
        <v>-0.1</v>
      </c>
      <c r="O35" s="133" t="str">
        <f t="shared" si="21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22"/>
        <v>0</v>
      </c>
      <c r="X35" s="136">
        <f t="shared" si="22"/>
        <v>0</v>
      </c>
      <c r="Y35" s="136">
        <f t="shared" si="22"/>
        <v>0</v>
      </c>
      <c r="Z35" s="136">
        <f t="shared" si="22"/>
        <v>0</v>
      </c>
      <c r="AA35" s="137">
        <f t="shared" si="22"/>
        <v>0</v>
      </c>
      <c r="AB35" s="138">
        <f t="shared" si="22"/>
        <v>0</v>
      </c>
      <c r="AC35" s="136">
        <f t="shared" si="22"/>
        <v>0</v>
      </c>
      <c r="AD35" s="136">
        <f t="shared" si="22"/>
        <v>0</v>
      </c>
      <c r="AE35" s="137">
        <f t="shared" si="22"/>
        <v>0</v>
      </c>
      <c r="AF35" s="135">
        <f t="shared" si="22"/>
        <v>0</v>
      </c>
      <c r="AG35" s="136">
        <f t="shared" si="22"/>
        <v>0</v>
      </c>
      <c r="AH35" s="136">
        <f t="shared" si="22"/>
        <v>0</v>
      </c>
      <c r="AI35" s="137">
        <f t="shared" si="22"/>
        <v>0</v>
      </c>
      <c r="AJ35" s="135">
        <f t="shared" si="22"/>
        <v>0</v>
      </c>
      <c r="AK35" s="138">
        <f t="shared" si="22"/>
        <v>0</v>
      </c>
      <c r="AL35" s="136">
        <f t="shared" si="22"/>
        <v>0</v>
      </c>
      <c r="AM35" s="136">
        <f t="shared" si="22"/>
        <v>0</v>
      </c>
      <c r="AN35" s="194">
        <f t="shared" si="22"/>
        <v>0</v>
      </c>
      <c r="AO35" s="138">
        <f t="shared" si="22"/>
        <v>0</v>
      </c>
      <c r="AP35" s="136">
        <f t="shared" si="22"/>
        <v>0</v>
      </c>
      <c r="AQ35" s="136">
        <f t="shared" si="22"/>
        <v>0</v>
      </c>
      <c r="AR35" s="137">
        <f t="shared" si="23"/>
        <v>0</v>
      </c>
      <c r="AS35" s="135">
        <f t="shared" si="23"/>
        <v>0</v>
      </c>
      <c r="AT35" s="136">
        <f t="shared" si="23"/>
        <v>0</v>
      </c>
      <c r="AU35" s="136">
        <f t="shared" si="23"/>
        <v>0</v>
      </c>
      <c r="AV35" s="137">
        <f t="shared" si="23"/>
        <v>0</v>
      </c>
      <c r="AW35" s="135">
        <f t="shared" si="23"/>
        <v>0</v>
      </c>
      <c r="AX35" s="136">
        <f t="shared" si="23"/>
        <v>0</v>
      </c>
      <c r="AY35" s="136">
        <f t="shared" si="23"/>
        <v>0</v>
      </c>
      <c r="AZ35" s="136">
        <f t="shared" si="23"/>
        <v>0</v>
      </c>
      <c r="BA35" s="137">
        <f t="shared" si="23"/>
        <v>0</v>
      </c>
      <c r="BB35" s="138">
        <f t="shared" si="23"/>
        <v>0</v>
      </c>
      <c r="BC35" s="136">
        <f t="shared" si="23"/>
        <v>0</v>
      </c>
      <c r="BD35" s="136">
        <f t="shared" si="23"/>
        <v>0</v>
      </c>
      <c r="BE35" s="137">
        <f t="shared" si="23"/>
        <v>0</v>
      </c>
      <c r="BF35" s="135">
        <f t="shared" si="23"/>
        <v>0</v>
      </c>
      <c r="BG35" s="136">
        <f t="shared" si="23"/>
        <v>0</v>
      </c>
      <c r="BH35" s="136">
        <f t="shared" si="24"/>
        <v>0</v>
      </c>
      <c r="BI35" s="137">
        <f t="shared" si="24"/>
        <v>0</v>
      </c>
      <c r="BJ35" s="138">
        <f t="shared" si="24"/>
        <v>0</v>
      </c>
      <c r="BK35" s="136">
        <f t="shared" si="24"/>
        <v>0</v>
      </c>
      <c r="BL35" s="136">
        <f t="shared" si="24"/>
        <v>0</v>
      </c>
      <c r="BM35" s="136">
        <f t="shared" si="24"/>
        <v>0</v>
      </c>
      <c r="BN35" s="137">
        <f t="shared" si="24"/>
        <v>0</v>
      </c>
      <c r="BO35" s="138">
        <f t="shared" si="24"/>
        <v>0</v>
      </c>
      <c r="BP35" s="136">
        <f t="shared" si="24"/>
        <v>0</v>
      </c>
      <c r="BQ35" s="136">
        <f t="shared" si="24"/>
        <v>0</v>
      </c>
      <c r="BR35" s="137">
        <f t="shared" si="24"/>
        <v>0</v>
      </c>
      <c r="BS35" s="138">
        <f t="shared" si="24"/>
        <v>0</v>
      </c>
      <c r="BT35" s="136">
        <f t="shared" si="24"/>
        <v>0</v>
      </c>
      <c r="BU35" s="136">
        <f t="shared" si="24"/>
        <v>0</v>
      </c>
      <c r="BV35" s="136">
        <f t="shared" si="24"/>
        <v>0</v>
      </c>
      <c r="BW35" s="137">
        <f t="shared" si="24"/>
        <v>0</v>
      </c>
      <c r="BX35" s="138">
        <f t="shared" si="24"/>
        <v>0</v>
      </c>
      <c r="BY35" s="136">
        <f t="shared" si="24"/>
        <v>0</v>
      </c>
      <c r="BZ35" s="136">
        <f t="shared" si="24"/>
        <v>0</v>
      </c>
      <c r="CA35" s="137">
        <f t="shared" si="24"/>
        <v>0</v>
      </c>
      <c r="CB35" s="135">
        <f t="shared" si="24"/>
        <v>0</v>
      </c>
      <c r="CC35" s="136">
        <f t="shared" si="24"/>
        <v>0</v>
      </c>
      <c r="CD35" s="136">
        <f t="shared" si="24"/>
        <v>0</v>
      </c>
      <c r="CE35" s="137">
        <f t="shared" si="24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18"/>
        <v>1</v>
      </c>
      <c r="K36" s="101">
        <v>0</v>
      </c>
      <c r="L36" s="132">
        <f t="shared" si="19"/>
        <v>0.1</v>
      </c>
      <c r="M36" s="132">
        <f t="shared" si="20"/>
        <v>0</v>
      </c>
      <c r="N36" s="132">
        <f t="shared" si="3"/>
        <v>-0.1</v>
      </c>
      <c r="O36" s="133" t="str">
        <f t="shared" si="21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22"/>
        <v>0</v>
      </c>
      <c r="X36" s="136">
        <f t="shared" si="22"/>
        <v>0</v>
      </c>
      <c r="Y36" s="136">
        <f t="shared" si="22"/>
        <v>0</v>
      </c>
      <c r="Z36" s="136">
        <f t="shared" si="22"/>
        <v>0</v>
      </c>
      <c r="AA36" s="137">
        <f t="shared" si="22"/>
        <v>0</v>
      </c>
      <c r="AB36" s="138">
        <f t="shared" si="22"/>
        <v>0</v>
      </c>
      <c r="AC36" s="136">
        <f t="shared" si="22"/>
        <v>0</v>
      </c>
      <c r="AD36" s="136">
        <f t="shared" si="22"/>
        <v>0</v>
      </c>
      <c r="AE36" s="137">
        <f t="shared" si="22"/>
        <v>0</v>
      </c>
      <c r="AF36" s="135">
        <f t="shared" si="22"/>
        <v>0</v>
      </c>
      <c r="AG36" s="136">
        <f t="shared" si="22"/>
        <v>0</v>
      </c>
      <c r="AH36" s="136">
        <f t="shared" si="22"/>
        <v>0</v>
      </c>
      <c r="AI36" s="137">
        <f t="shared" si="22"/>
        <v>0</v>
      </c>
      <c r="AJ36" s="135">
        <f t="shared" si="22"/>
        <v>0</v>
      </c>
      <c r="AK36" s="138">
        <f t="shared" si="22"/>
        <v>0</v>
      </c>
      <c r="AL36" s="136">
        <f t="shared" si="22"/>
        <v>0</v>
      </c>
      <c r="AM36" s="136">
        <f t="shared" si="22"/>
        <v>0</v>
      </c>
      <c r="AN36" s="194">
        <f t="shared" si="22"/>
        <v>0</v>
      </c>
      <c r="AO36" s="138">
        <f t="shared" si="22"/>
        <v>0</v>
      </c>
      <c r="AP36" s="136">
        <f t="shared" si="22"/>
        <v>0</v>
      </c>
      <c r="AQ36" s="136">
        <f t="shared" si="22"/>
        <v>0</v>
      </c>
      <c r="AR36" s="137">
        <f t="shared" si="23"/>
        <v>0</v>
      </c>
      <c r="AS36" s="135">
        <f t="shared" si="23"/>
        <v>0</v>
      </c>
      <c r="AT36" s="136">
        <f t="shared" si="23"/>
        <v>0</v>
      </c>
      <c r="AU36" s="136">
        <f t="shared" si="23"/>
        <v>0</v>
      </c>
      <c r="AV36" s="137">
        <f t="shared" si="23"/>
        <v>0</v>
      </c>
      <c r="AW36" s="135">
        <f t="shared" si="23"/>
        <v>0</v>
      </c>
      <c r="AX36" s="136">
        <f t="shared" si="23"/>
        <v>0</v>
      </c>
      <c r="AY36" s="136">
        <f t="shared" si="23"/>
        <v>0</v>
      </c>
      <c r="AZ36" s="136">
        <f t="shared" si="23"/>
        <v>0</v>
      </c>
      <c r="BA36" s="137">
        <f t="shared" si="23"/>
        <v>0</v>
      </c>
      <c r="BB36" s="138">
        <f t="shared" si="23"/>
        <v>0</v>
      </c>
      <c r="BC36" s="136">
        <f t="shared" si="23"/>
        <v>0</v>
      </c>
      <c r="BD36" s="136">
        <f t="shared" si="23"/>
        <v>0</v>
      </c>
      <c r="BE36" s="137">
        <f t="shared" si="23"/>
        <v>0</v>
      </c>
      <c r="BF36" s="135">
        <f t="shared" si="23"/>
        <v>0</v>
      </c>
      <c r="BG36" s="136">
        <f t="shared" si="23"/>
        <v>0</v>
      </c>
      <c r="BH36" s="136">
        <f t="shared" si="24"/>
        <v>0</v>
      </c>
      <c r="BI36" s="137">
        <f t="shared" si="24"/>
        <v>0</v>
      </c>
      <c r="BJ36" s="138">
        <f t="shared" si="24"/>
        <v>0</v>
      </c>
      <c r="BK36" s="136">
        <f t="shared" si="24"/>
        <v>0</v>
      </c>
      <c r="BL36" s="136">
        <f t="shared" si="24"/>
        <v>0</v>
      </c>
      <c r="BM36" s="136">
        <f t="shared" si="24"/>
        <v>0</v>
      </c>
      <c r="BN36" s="137">
        <f t="shared" si="24"/>
        <v>0</v>
      </c>
      <c r="BO36" s="138">
        <f t="shared" si="24"/>
        <v>0</v>
      </c>
      <c r="BP36" s="136">
        <f t="shared" si="24"/>
        <v>0</v>
      </c>
      <c r="BQ36" s="136">
        <f t="shared" si="24"/>
        <v>0</v>
      </c>
      <c r="BR36" s="137">
        <f t="shared" si="24"/>
        <v>0</v>
      </c>
      <c r="BS36" s="138">
        <f t="shared" si="24"/>
        <v>0</v>
      </c>
      <c r="BT36" s="136">
        <f t="shared" si="24"/>
        <v>0</v>
      </c>
      <c r="BU36" s="136">
        <f t="shared" si="24"/>
        <v>0</v>
      </c>
      <c r="BV36" s="136">
        <f t="shared" si="24"/>
        <v>0</v>
      </c>
      <c r="BW36" s="137">
        <f t="shared" si="24"/>
        <v>0</v>
      </c>
      <c r="BX36" s="138">
        <f t="shared" si="24"/>
        <v>0</v>
      </c>
      <c r="BY36" s="136">
        <f t="shared" si="24"/>
        <v>0</v>
      </c>
      <c r="BZ36" s="136">
        <f t="shared" si="24"/>
        <v>0</v>
      </c>
      <c r="CA36" s="137">
        <f t="shared" si="24"/>
        <v>0</v>
      </c>
      <c r="CB36" s="135">
        <f t="shared" si="24"/>
        <v>0</v>
      </c>
      <c r="CC36" s="136">
        <f t="shared" si="24"/>
        <v>0</v>
      </c>
      <c r="CD36" s="136">
        <f t="shared" si="24"/>
        <v>0</v>
      </c>
      <c r="CE36" s="137">
        <f t="shared" si="24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18"/>
        <v>1</v>
      </c>
      <c r="K37" s="101">
        <v>0</v>
      </c>
      <c r="L37" s="132">
        <f t="shared" si="19"/>
        <v>0.1</v>
      </c>
      <c r="M37" s="132">
        <f t="shared" si="20"/>
        <v>0</v>
      </c>
      <c r="N37" s="132">
        <f t="shared" si="3"/>
        <v>-0.1</v>
      </c>
      <c r="O37" s="133" t="str">
        <f t="shared" si="21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22"/>
        <v>0</v>
      </c>
      <c r="X37" s="136">
        <f t="shared" si="22"/>
        <v>0</v>
      </c>
      <c r="Y37" s="136">
        <f t="shared" si="22"/>
        <v>0</v>
      </c>
      <c r="Z37" s="136">
        <f t="shared" si="22"/>
        <v>0</v>
      </c>
      <c r="AA37" s="137">
        <f t="shared" si="22"/>
        <v>0</v>
      </c>
      <c r="AB37" s="138">
        <f t="shared" si="22"/>
        <v>0</v>
      </c>
      <c r="AC37" s="136">
        <f t="shared" si="22"/>
        <v>0</v>
      </c>
      <c r="AD37" s="136">
        <f t="shared" si="22"/>
        <v>0</v>
      </c>
      <c r="AE37" s="137">
        <f t="shared" si="22"/>
        <v>0</v>
      </c>
      <c r="AF37" s="135">
        <f t="shared" si="22"/>
        <v>0</v>
      </c>
      <c r="AG37" s="136">
        <f t="shared" si="22"/>
        <v>0</v>
      </c>
      <c r="AH37" s="136">
        <f t="shared" si="22"/>
        <v>0</v>
      </c>
      <c r="AI37" s="137">
        <f t="shared" si="22"/>
        <v>0</v>
      </c>
      <c r="AJ37" s="135">
        <f t="shared" si="22"/>
        <v>0</v>
      </c>
      <c r="AK37" s="138">
        <f t="shared" si="22"/>
        <v>0</v>
      </c>
      <c r="AL37" s="136">
        <f t="shared" si="22"/>
        <v>0</v>
      </c>
      <c r="AM37" s="136">
        <f t="shared" si="22"/>
        <v>0</v>
      </c>
      <c r="AN37" s="194">
        <f t="shared" si="22"/>
        <v>0</v>
      </c>
      <c r="AO37" s="138">
        <f t="shared" si="22"/>
        <v>0</v>
      </c>
      <c r="AP37" s="136">
        <f t="shared" si="22"/>
        <v>0</v>
      </c>
      <c r="AQ37" s="136">
        <f t="shared" si="22"/>
        <v>0</v>
      </c>
      <c r="AR37" s="137">
        <f t="shared" si="23"/>
        <v>0</v>
      </c>
      <c r="AS37" s="135">
        <f t="shared" si="23"/>
        <v>0</v>
      </c>
      <c r="AT37" s="136">
        <f t="shared" si="23"/>
        <v>0</v>
      </c>
      <c r="AU37" s="136">
        <f t="shared" si="23"/>
        <v>0</v>
      </c>
      <c r="AV37" s="137">
        <f t="shared" si="23"/>
        <v>0</v>
      </c>
      <c r="AW37" s="135">
        <f t="shared" si="23"/>
        <v>0</v>
      </c>
      <c r="AX37" s="136">
        <f t="shared" si="23"/>
        <v>0</v>
      </c>
      <c r="AY37" s="136">
        <f t="shared" si="23"/>
        <v>0</v>
      </c>
      <c r="AZ37" s="136">
        <f t="shared" si="23"/>
        <v>0</v>
      </c>
      <c r="BA37" s="137">
        <f t="shared" si="23"/>
        <v>0</v>
      </c>
      <c r="BB37" s="138">
        <f t="shared" si="23"/>
        <v>0</v>
      </c>
      <c r="BC37" s="136">
        <f t="shared" si="23"/>
        <v>0</v>
      </c>
      <c r="BD37" s="136">
        <f t="shared" si="23"/>
        <v>0</v>
      </c>
      <c r="BE37" s="137">
        <f t="shared" si="23"/>
        <v>0</v>
      </c>
      <c r="BF37" s="135">
        <f t="shared" si="23"/>
        <v>0</v>
      </c>
      <c r="BG37" s="136">
        <f t="shared" si="23"/>
        <v>0</v>
      </c>
      <c r="BH37" s="136">
        <f t="shared" si="24"/>
        <v>0</v>
      </c>
      <c r="BI37" s="137">
        <f t="shared" si="24"/>
        <v>0</v>
      </c>
      <c r="BJ37" s="138">
        <f t="shared" si="24"/>
        <v>0</v>
      </c>
      <c r="BK37" s="136">
        <f t="shared" si="24"/>
        <v>0</v>
      </c>
      <c r="BL37" s="136">
        <f t="shared" si="24"/>
        <v>0</v>
      </c>
      <c r="BM37" s="136">
        <f t="shared" si="24"/>
        <v>0</v>
      </c>
      <c r="BN37" s="137">
        <f t="shared" si="24"/>
        <v>0</v>
      </c>
      <c r="BO37" s="138">
        <f t="shared" si="24"/>
        <v>0</v>
      </c>
      <c r="BP37" s="136">
        <f t="shared" si="24"/>
        <v>0</v>
      </c>
      <c r="BQ37" s="136">
        <f t="shared" si="24"/>
        <v>0</v>
      </c>
      <c r="BR37" s="137">
        <f t="shared" si="24"/>
        <v>0</v>
      </c>
      <c r="BS37" s="138">
        <f t="shared" si="24"/>
        <v>0</v>
      </c>
      <c r="BT37" s="136">
        <f t="shared" si="24"/>
        <v>0</v>
      </c>
      <c r="BU37" s="136">
        <f t="shared" si="24"/>
        <v>0</v>
      </c>
      <c r="BV37" s="136">
        <f t="shared" si="24"/>
        <v>0</v>
      </c>
      <c r="BW37" s="137">
        <f t="shared" si="24"/>
        <v>0</v>
      </c>
      <c r="BX37" s="138">
        <f t="shared" si="24"/>
        <v>0</v>
      </c>
      <c r="BY37" s="136">
        <f t="shared" si="24"/>
        <v>0</v>
      </c>
      <c r="BZ37" s="136">
        <f t="shared" si="24"/>
        <v>0</v>
      </c>
      <c r="CA37" s="137">
        <f t="shared" si="24"/>
        <v>0</v>
      </c>
      <c r="CB37" s="135">
        <f t="shared" si="24"/>
        <v>0</v>
      </c>
      <c r="CC37" s="136">
        <f t="shared" si="24"/>
        <v>0</v>
      </c>
      <c r="CD37" s="136">
        <f t="shared" si="24"/>
        <v>0</v>
      </c>
      <c r="CE37" s="137">
        <f t="shared" si="24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18"/>
        <v>1</v>
      </c>
      <c r="K38" s="101">
        <v>0</v>
      </c>
      <c r="L38" s="132">
        <f t="shared" si="19"/>
        <v>0.1</v>
      </c>
      <c r="M38" s="132">
        <f t="shared" si="20"/>
        <v>0</v>
      </c>
      <c r="N38" s="132">
        <f t="shared" si="3"/>
        <v>-0.1</v>
      </c>
      <c r="O38" s="133" t="str">
        <f t="shared" si="21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22"/>
        <v>0</v>
      </c>
      <c r="X38" s="136">
        <f t="shared" si="22"/>
        <v>0</v>
      </c>
      <c r="Y38" s="136">
        <f t="shared" si="22"/>
        <v>0</v>
      </c>
      <c r="Z38" s="136">
        <f t="shared" si="22"/>
        <v>0</v>
      </c>
      <c r="AA38" s="137">
        <f t="shared" si="22"/>
        <v>0</v>
      </c>
      <c r="AB38" s="138">
        <f t="shared" si="22"/>
        <v>0</v>
      </c>
      <c r="AC38" s="136">
        <f t="shared" si="22"/>
        <v>0</v>
      </c>
      <c r="AD38" s="136">
        <f t="shared" si="22"/>
        <v>0</v>
      </c>
      <c r="AE38" s="137">
        <f t="shared" si="22"/>
        <v>0</v>
      </c>
      <c r="AF38" s="135">
        <f t="shared" si="22"/>
        <v>0</v>
      </c>
      <c r="AG38" s="136">
        <f t="shared" si="22"/>
        <v>0</v>
      </c>
      <c r="AH38" s="136">
        <f t="shared" si="22"/>
        <v>0</v>
      </c>
      <c r="AI38" s="137">
        <f t="shared" si="22"/>
        <v>0</v>
      </c>
      <c r="AJ38" s="135">
        <f t="shared" si="22"/>
        <v>0</v>
      </c>
      <c r="AK38" s="138">
        <f t="shared" si="22"/>
        <v>0</v>
      </c>
      <c r="AL38" s="136">
        <f t="shared" si="22"/>
        <v>0</v>
      </c>
      <c r="AM38" s="136">
        <f t="shared" si="22"/>
        <v>0</v>
      </c>
      <c r="AN38" s="194">
        <f t="shared" si="22"/>
        <v>0</v>
      </c>
      <c r="AO38" s="138">
        <f t="shared" si="22"/>
        <v>0</v>
      </c>
      <c r="AP38" s="136">
        <f t="shared" si="22"/>
        <v>0</v>
      </c>
      <c r="AQ38" s="136">
        <f t="shared" si="22"/>
        <v>0</v>
      </c>
      <c r="AR38" s="137">
        <f t="shared" si="23"/>
        <v>0</v>
      </c>
      <c r="AS38" s="135">
        <f t="shared" si="23"/>
        <v>0</v>
      </c>
      <c r="AT38" s="136">
        <f t="shared" si="23"/>
        <v>0</v>
      </c>
      <c r="AU38" s="136">
        <f t="shared" si="23"/>
        <v>0</v>
      </c>
      <c r="AV38" s="137">
        <f t="shared" si="23"/>
        <v>0</v>
      </c>
      <c r="AW38" s="135">
        <f t="shared" si="23"/>
        <v>0</v>
      </c>
      <c r="AX38" s="136">
        <f t="shared" si="23"/>
        <v>0</v>
      </c>
      <c r="AY38" s="136">
        <f t="shared" si="23"/>
        <v>0</v>
      </c>
      <c r="AZ38" s="136">
        <f t="shared" si="23"/>
        <v>0</v>
      </c>
      <c r="BA38" s="137">
        <f t="shared" si="23"/>
        <v>0</v>
      </c>
      <c r="BB38" s="138">
        <f t="shared" si="23"/>
        <v>0</v>
      </c>
      <c r="BC38" s="136">
        <f t="shared" si="23"/>
        <v>0</v>
      </c>
      <c r="BD38" s="136">
        <f t="shared" si="23"/>
        <v>0</v>
      </c>
      <c r="BE38" s="137">
        <f t="shared" si="23"/>
        <v>0</v>
      </c>
      <c r="BF38" s="135">
        <f t="shared" si="23"/>
        <v>0</v>
      </c>
      <c r="BG38" s="136">
        <f t="shared" si="23"/>
        <v>0</v>
      </c>
      <c r="BH38" s="136">
        <f t="shared" si="24"/>
        <v>0</v>
      </c>
      <c r="BI38" s="137">
        <f t="shared" si="24"/>
        <v>0</v>
      </c>
      <c r="BJ38" s="138">
        <f t="shared" si="24"/>
        <v>0</v>
      </c>
      <c r="BK38" s="136">
        <f t="shared" si="24"/>
        <v>0</v>
      </c>
      <c r="BL38" s="136">
        <f t="shared" si="24"/>
        <v>0</v>
      </c>
      <c r="BM38" s="136">
        <f t="shared" si="24"/>
        <v>0</v>
      </c>
      <c r="BN38" s="137">
        <f t="shared" si="24"/>
        <v>0</v>
      </c>
      <c r="BO38" s="138">
        <f t="shared" si="24"/>
        <v>0</v>
      </c>
      <c r="BP38" s="136">
        <f t="shared" si="24"/>
        <v>0</v>
      </c>
      <c r="BQ38" s="136">
        <f t="shared" si="24"/>
        <v>0</v>
      </c>
      <c r="BR38" s="137">
        <f t="shared" si="24"/>
        <v>0</v>
      </c>
      <c r="BS38" s="138">
        <f t="shared" si="24"/>
        <v>0</v>
      </c>
      <c r="BT38" s="136">
        <f t="shared" si="24"/>
        <v>0</v>
      </c>
      <c r="BU38" s="136">
        <f t="shared" si="24"/>
        <v>0</v>
      </c>
      <c r="BV38" s="136">
        <f t="shared" si="24"/>
        <v>0</v>
      </c>
      <c r="BW38" s="137">
        <f t="shared" si="24"/>
        <v>0</v>
      </c>
      <c r="BX38" s="138">
        <f t="shared" si="24"/>
        <v>0</v>
      </c>
      <c r="BY38" s="136">
        <f t="shared" si="24"/>
        <v>0</v>
      </c>
      <c r="BZ38" s="136">
        <f t="shared" si="24"/>
        <v>0</v>
      </c>
      <c r="CA38" s="137">
        <f t="shared" si="24"/>
        <v>0</v>
      </c>
      <c r="CB38" s="135">
        <f t="shared" si="24"/>
        <v>0</v>
      </c>
      <c r="CC38" s="136">
        <f t="shared" si="24"/>
        <v>0</v>
      </c>
      <c r="CD38" s="136">
        <f t="shared" si="24"/>
        <v>0</v>
      </c>
      <c r="CE38" s="137">
        <f t="shared" si="24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18"/>
        <v>1</v>
      </c>
      <c r="K39" s="101">
        <v>0</v>
      </c>
      <c r="L39" s="132">
        <f t="shared" si="19"/>
        <v>0.1</v>
      </c>
      <c r="M39" s="132">
        <f t="shared" si="20"/>
        <v>0</v>
      </c>
      <c r="N39" s="132">
        <f t="shared" si="3"/>
        <v>-0.1</v>
      </c>
      <c r="O39" s="133" t="str">
        <f t="shared" si="21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22"/>
        <v>0</v>
      </c>
      <c r="X39" s="136">
        <f t="shared" si="22"/>
        <v>0</v>
      </c>
      <c r="Y39" s="136">
        <f t="shared" si="22"/>
        <v>0</v>
      </c>
      <c r="Z39" s="136">
        <f t="shared" si="22"/>
        <v>0</v>
      </c>
      <c r="AA39" s="137">
        <f t="shared" si="22"/>
        <v>0</v>
      </c>
      <c r="AB39" s="138">
        <f t="shared" si="22"/>
        <v>0</v>
      </c>
      <c r="AC39" s="136">
        <f t="shared" si="22"/>
        <v>0</v>
      </c>
      <c r="AD39" s="136">
        <f t="shared" si="22"/>
        <v>0</v>
      </c>
      <c r="AE39" s="137">
        <f t="shared" si="22"/>
        <v>0</v>
      </c>
      <c r="AF39" s="135">
        <f t="shared" si="22"/>
        <v>0</v>
      </c>
      <c r="AG39" s="136">
        <f t="shared" si="22"/>
        <v>0</v>
      </c>
      <c r="AH39" s="136">
        <f t="shared" si="22"/>
        <v>0</v>
      </c>
      <c r="AI39" s="137">
        <f t="shared" si="22"/>
        <v>0</v>
      </c>
      <c r="AJ39" s="135">
        <f t="shared" si="22"/>
        <v>0</v>
      </c>
      <c r="AK39" s="138">
        <f t="shared" si="22"/>
        <v>0</v>
      </c>
      <c r="AL39" s="136">
        <f t="shared" si="22"/>
        <v>0</v>
      </c>
      <c r="AM39" s="136">
        <f t="shared" si="22"/>
        <v>0</v>
      </c>
      <c r="AN39" s="194">
        <f t="shared" si="22"/>
        <v>0</v>
      </c>
      <c r="AO39" s="138">
        <f t="shared" si="22"/>
        <v>0</v>
      </c>
      <c r="AP39" s="136">
        <f t="shared" si="22"/>
        <v>0</v>
      </c>
      <c r="AQ39" s="136">
        <f t="shared" si="22"/>
        <v>0</v>
      </c>
      <c r="AR39" s="137">
        <f t="shared" si="23"/>
        <v>0</v>
      </c>
      <c r="AS39" s="135">
        <f t="shared" si="23"/>
        <v>0</v>
      </c>
      <c r="AT39" s="136">
        <f t="shared" si="23"/>
        <v>0</v>
      </c>
      <c r="AU39" s="136">
        <f t="shared" si="23"/>
        <v>0</v>
      </c>
      <c r="AV39" s="137">
        <f t="shared" si="23"/>
        <v>0</v>
      </c>
      <c r="AW39" s="135">
        <f t="shared" si="23"/>
        <v>0</v>
      </c>
      <c r="AX39" s="136">
        <f t="shared" si="23"/>
        <v>0</v>
      </c>
      <c r="AY39" s="136">
        <f t="shared" si="23"/>
        <v>0</v>
      </c>
      <c r="AZ39" s="136">
        <f t="shared" si="23"/>
        <v>0</v>
      </c>
      <c r="BA39" s="137">
        <f t="shared" si="23"/>
        <v>0</v>
      </c>
      <c r="BB39" s="138">
        <f t="shared" si="23"/>
        <v>0</v>
      </c>
      <c r="BC39" s="136">
        <f t="shared" si="23"/>
        <v>0</v>
      </c>
      <c r="BD39" s="136">
        <f t="shared" si="23"/>
        <v>0</v>
      </c>
      <c r="BE39" s="137">
        <f t="shared" si="23"/>
        <v>0</v>
      </c>
      <c r="BF39" s="135">
        <f t="shared" si="23"/>
        <v>0</v>
      </c>
      <c r="BG39" s="136">
        <f t="shared" si="23"/>
        <v>0</v>
      </c>
      <c r="BH39" s="136">
        <f t="shared" si="24"/>
        <v>0</v>
      </c>
      <c r="BI39" s="137">
        <f t="shared" si="24"/>
        <v>0</v>
      </c>
      <c r="BJ39" s="138">
        <f t="shared" si="24"/>
        <v>0</v>
      </c>
      <c r="BK39" s="136">
        <f t="shared" si="24"/>
        <v>0</v>
      </c>
      <c r="BL39" s="136">
        <f t="shared" si="24"/>
        <v>0</v>
      </c>
      <c r="BM39" s="136">
        <f t="shared" si="24"/>
        <v>0</v>
      </c>
      <c r="BN39" s="137">
        <f t="shared" si="24"/>
        <v>0</v>
      </c>
      <c r="BO39" s="138">
        <f t="shared" si="24"/>
        <v>0</v>
      </c>
      <c r="BP39" s="136">
        <f t="shared" si="24"/>
        <v>0</v>
      </c>
      <c r="BQ39" s="136">
        <f t="shared" si="24"/>
        <v>0</v>
      </c>
      <c r="BR39" s="137">
        <f t="shared" si="24"/>
        <v>0</v>
      </c>
      <c r="BS39" s="138">
        <f t="shared" si="24"/>
        <v>0</v>
      </c>
      <c r="BT39" s="136">
        <f t="shared" si="24"/>
        <v>0</v>
      </c>
      <c r="BU39" s="136">
        <f t="shared" si="24"/>
        <v>0</v>
      </c>
      <c r="BV39" s="136">
        <f t="shared" si="24"/>
        <v>0</v>
      </c>
      <c r="BW39" s="137">
        <f t="shared" si="24"/>
        <v>0</v>
      </c>
      <c r="BX39" s="138">
        <f t="shared" si="24"/>
        <v>0</v>
      </c>
      <c r="BY39" s="136">
        <f t="shared" si="24"/>
        <v>0</v>
      </c>
      <c r="BZ39" s="136">
        <f t="shared" si="24"/>
        <v>0</v>
      </c>
      <c r="CA39" s="137">
        <f t="shared" si="24"/>
        <v>0</v>
      </c>
      <c r="CB39" s="135">
        <f t="shared" si="24"/>
        <v>0</v>
      </c>
      <c r="CC39" s="136">
        <f t="shared" si="24"/>
        <v>0</v>
      </c>
      <c r="CD39" s="136">
        <f t="shared" si="24"/>
        <v>0</v>
      </c>
      <c r="CE39" s="137">
        <f t="shared" si="24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18"/>
        <v>1</v>
      </c>
      <c r="K40" s="101">
        <v>0</v>
      </c>
      <c r="L40" s="132">
        <f t="shared" si="19"/>
        <v>0.1</v>
      </c>
      <c r="M40" s="132">
        <f t="shared" si="20"/>
        <v>0</v>
      </c>
      <c r="N40" s="132">
        <f t="shared" si="3"/>
        <v>-0.1</v>
      </c>
      <c r="O40" s="133" t="str">
        <f t="shared" si="21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22"/>
        <v>0</v>
      </c>
      <c r="X40" s="136">
        <f t="shared" si="22"/>
        <v>0</v>
      </c>
      <c r="Y40" s="136">
        <f t="shared" si="22"/>
        <v>0</v>
      </c>
      <c r="Z40" s="136">
        <f t="shared" si="22"/>
        <v>0</v>
      </c>
      <c r="AA40" s="137">
        <f t="shared" si="22"/>
        <v>0</v>
      </c>
      <c r="AB40" s="138">
        <f t="shared" si="22"/>
        <v>0</v>
      </c>
      <c r="AC40" s="136">
        <f t="shared" si="22"/>
        <v>0</v>
      </c>
      <c r="AD40" s="136">
        <f t="shared" si="22"/>
        <v>0</v>
      </c>
      <c r="AE40" s="137">
        <f t="shared" si="22"/>
        <v>0</v>
      </c>
      <c r="AF40" s="135">
        <f t="shared" si="22"/>
        <v>0</v>
      </c>
      <c r="AG40" s="136">
        <f t="shared" si="22"/>
        <v>0</v>
      </c>
      <c r="AH40" s="136">
        <f t="shared" si="22"/>
        <v>0</v>
      </c>
      <c r="AI40" s="137">
        <f t="shared" si="22"/>
        <v>0</v>
      </c>
      <c r="AJ40" s="135">
        <f t="shared" si="22"/>
        <v>0</v>
      </c>
      <c r="AK40" s="138">
        <f t="shared" si="22"/>
        <v>0</v>
      </c>
      <c r="AL40" s="136">
        <f t="shared" si="22"/>
        <v>0</v>
      </c>
      <c r="AM40" s="136">
        <f t="shared" si="22"/>
        <v>0</v>
      </c>
      <c r="AN40" s="194">
        <f t="shared" si="22"/>
        <v>0</v>
      </c>
      <c r="AO40" s="138">
        <f t="shared" si="22"/>
        <v>0</v>
      </c>
      <c r="AP40" s="136">
        <f t="shared" si="22"/>
        <v>0</v>
      </c>
      <c r="AQ40" s="136">
        <f t="shared" si="22"/>
        <v>0</v>
      </c>
      <c r="AR40" s="137">
        <f t="shared" si="23"/>
        <v>0</v>
      </c>
      <c r="AS40" s="135">
        <f t="shared" si="23"/>
        <v>0</v>
      </c>
      <c r="AT40" s="136">
        <f t="shared" si="23"/>
        <v>0</v>
      </c>
      <c r="AU40" s="136">
        <f t="shared" si="23"/>
        <v>0</v>
      </c>
      <c r="AV40" s="137">
        <f t="shared" si="23"/>
        <v>0</v>
      </c>
      <c r="AW40" s="135">
        <f t="shared" si="23"/>
        <v>0</v>
      </c>
      <c r="AX40" s="136">
        <f t="shared" si="23"/>
        <v>0</v>
      </c>
      <c r="AY40" s="136">
        <f t="shared" si="23"/>
        <v>0</v>
      </c>
      <c r="AZ40" s="136">
        <f t="shared" si="23"/>
        <v>0</v>
      </c>
      <c r="BA40" s="137">
        <f t="shared" si="23"/>
        <v>0</v>
      </c>
      <c r="BB40" s="138">
        <f t="shared" si="23"/>
        <v>0</v>
      </c>
      <c r="BC40" s="136">
        <f t="shared" si="23"/>
        <v>0</v>
      </c>
      <c r="BD40" s="136">
        <f t="shared" si="23"/>
        <v>0</v>
      </c>
      <c r="BE40" s="137">
        <f t="shared" si="23"/>
        <v>0</v>
      </c>
      <c r="BF40" s="135">
        <f t="shared" si="23"/>
        <v>0</v>
      </c>
      <c r="BG40" s="136">
        <f t="shared" si="23"/>
        <v>0</v>
      </c>
      <c r="BH40" s="136">
        <f t="shared" si="24"/>
        <v>0</v>
      </c>
      <c r="BI40" s="137">
        <f t="shared" si="24"/>
        <v>0</v>
      </c>
      <c r="BJ40" s="138">
        <f t="shared" si="24"/>
        <v>0</v>
      </c>
      <c r="BK40" s="136">
        <f t="shared" si="24"/>
        <v>0</v>
      </c>
      <c r="BL40" s="136">
        <f t="shared" si="24"/>
        <v>0</v>
      </c>
      <c r="BM40" s="136">
        <f t="shared" si="24"/>
        <v>0</v>
      </c>
      <c r="BN40" s="137">
        <f t="shared" si="24"/>
        <v>0</v>
      </c>
      <c r="BO40" s="138">
        <f t="shared" si="24"/>
        <v>0</v>
      </c>
      <c r="BP40" s="136">
        <f t="shared" si="24"/>
        <v>0</v>
      </c>
      <c r="BQ40" s="136">
        <f t="shared" si="24"/>
        <v>0</v>
      </c>
      <c r="BR40" s="137">
        <f t="shared" si="24"/>
        <v>0</v>
      </c>
      <c r="BS40" s="138">
        <f t="shared" si="24"/>
        <v>0</v>
      </c>
      <c r="BT40" s="136">
        <f t="shared" si="24"/>
        <v>0</v>
      </c>
      <c r="BU40" s="136">
        <f t="shared" si="24"/>
        <v>0</v>
      </c>
      <c r="BV40" s="136">
        <f t="shared" si="24"/>
        <v>0</v>
      </c>
      <c r="BW40" s="137">
        <f t="shared" si="24"/>
        <v>0</v>
      </c>
      <c r="BX40" s="138">
        <f t="shared" si="24"/>
        <v>0</v>
      </c>
      <c r="BY40" s="136">
        <f t="shared" si="24"/>
        <v>0</v>
      </c>
      <c r="BZ40" s="136">
        <f t="shared" si="24"/>
        <v>0</v>
      </c>
      <c r="CA40" s="137">
        <f t="shared" si="24"/>
        <v>0</v>
      </c>
      <c r="CB40" s="135">
        <f t="shared" si="24"/>
        <v>0</v>
      </c>
      <c r="CC40" s="136">
        <f t="shared" si="24"/>
        <v>0</v>
      </c>
      <c r="CD40" s="136">
        <f t="shared" si="24"/>
        <v>0</v>
      </c>
      <c r="CE40" s="137">
        <f t="shared" si="24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18"/>
        <v>1</v>
      </c>
      <c r="K41" s="101">
        <v>0</v>
      </c>
      <c r="L41" s="132">
        <f t="shared" si="19"/>
        <v>0.1</v>
      </c>
      <c r="M41" s="132">
        <f t="shared" si="20"/>
        <v>0</v>
      </c>
      <c r="N41" s="132">
        <f t="shared" si="3"/>
        <v>-0.1</v>
      </c>
      <c r="O41" s="133" t="str">
        <f t="shared" si="21"/>
        <v>지연</v>
      </c>
      <c r="P41" s="104"/>
      <c r="Q41" s="104"/>
      <c r="R41" s="104"/>
      <c r="S41" s="104"/>
      <c r="T41" s="94"/>
      <c r="U41" s="134" t="str">
        <f t="shared" si="2"/>
        <v/>
      </c>
      <c r="V41" s="253">
        <f>NETWORKDAYS(P41,Q41,진행현황_전체!C$59:C$77)</f>
        <v>0</v>
      </c>
      <c r="W41" s="135">
        <f t="shared" si="22"/>
        <v>0</v>
      </c>
      <c r="X41" s="136">
        <f t="shared" si="22"/>
        <v>0</v>
      </c>
      <c r="Y41" s="136">
        <f t="shared" si="22"/>
        <v>0</v>
      </c>
      <c r="Z41" s="136">
        <f t="shared" si="22"/>
        <v>0</v>
      </c>
      <c r="AA41" s="137">
        <f t="shared" si="22"/>
        <v>0</v>
      </c>
      <c r="AB41" s="138">
        <f t="shared" si="22"/>
        <v>0</v>
      </c>
      <c r="AC41" s="136">
        <f t="shared" si="22"/>
        <v>0</v>
      </c>
      <c r="AD41" s="136">
        <f t="shared" si="22"/>
        <v>0</v>
      </c>
      <c r="AE41" s="137">
        <f t="shared" si="22"/>
        <v>0</v>
      </c>
      <c r="AF41" s="135">
        <f t="shared" si="22"/>
        <v>0</v>
      </c>
      <c r="AG41" s="136">
        <f t="shared" si="22"/>
        <v>0</v>
      </c>
      <c r="AH41" s="136">
        <f t="shared" si="22"/>
        <v>0</v>
      </c>
      <c r="AI41" s="137">
        <f t="shared" si="22"/>
        <v>0</v>
      </c>
      <c r="AJ41" s="135">
        <f t="shared" si="22"/>
        <v>0</v>
      </c>
      <c r="AK41" s="138">
        <f t="shared" si="22"/>
        <v>0</v>
      </c>
      <c r="AL41" s="136">
        <f t="shared" si="22"/>
        <v>0</v>
      </c>
      <c r="AM41" s="136">
        <f t="shared" si="22"/>
        <v>0</v>
      </c>
      <c r="AN41" s="194">
        <f t="shared" si="22"/>
        <v>0</v>
      </c>
      <c r="AO41" s="138">
        <f t="shared" si="22"/>
        <v>0</v>
      </c>
      <c r="AP41" s="136">
        <f t="shared" si="22"/>
        <v>0</v>
      </c>
      <c r="AQ41" s="136">
        <f t="shared" si="22"/>
        <v>0</v>
      </c>
      <c r="AR41" s="137">
        <f t="shared" si="23"/>
        <v>0</v>
      </c>
      <c r="AS41" s="135">
        <f t="shared" si="23"/>
        <v>0</v>
      </c>
      <c r="AT41" s="136">
        <f t="shared" si="23"/>
        <v>0</v>
      </c>
      <c r="AU41" s="136">
        <f t="shared" si="23"/>
        <v>0</v>
      </c>
      <c r="AV41" s="137">
        <f t="shared" si="23"/>
        <v>0</v>
      </c>
      <c r="AW41" s="135">
        <f t="shared" si="23"/>
        <v>0</v>
      </c>
      <c r="AX41" s="136">
        <f t="shared" si="23"/>
        <v>0</v>
      </c>
      <c r="AY41" s="136">
        <f t="shared" si="23"/>
        <v>0</v>
      </c>
      <c r="AZ41" s="136">
        <f t="shared" si="23"/>
        <v>0</v>
      </c>
      <c r="BA41" s="137">
        <f t="shared" si="23"/>
        <v>0</v>
      </c>
      <c r="BB41" s="138">
        <f t="shared" si="23"/>
        <v>0</v>
      </c>
      <c r="BC41" s="136">
        <f t="shared" si="23"/>
        <v>0</v>
      </c>
      <c r="BD41" s="136">
        <f t="shared" si="23"/>
        <v>0</v>
      </c>
      <c r="BE41" s="137">
        <f t="shared" si="23"/>
        <v>0</v>
      </c>
      <c r="BF41" s="135">
        <f t="shared" si="23"/>
        <v>0</v>
      </c>
      <c r="BG41" s="136">
        <f t="shared" si="23"/>
        <v>0</v>
      </c>
      <c r="BH41" s="136">
        <f t="shared" si="24"/>
        <v>0</v>
      </c>
      <c r="BI41" s="137">
        <f t="shared" si="24"/>
        <v>0</v>
      </c>
      <c r="BJ41" s="138">
        <f t="shared" si="24"/>
        <v>0</v>
      </c>
      <c r="BK41" s="136">
        <f t="shared" si="24"/>
        <v>0</v>
      </c>
      <c r="BL41" s="136">
        <f t="shared" si="24"/>
        <v>0</v>
      </c>
      <c r="BM41" s="136">
        <f t="shared" si="24"/>
        <v>0</v>
      </c>
      <c r="BN41" s="137">
        <f t="shared" si="24"/>
        <v>0</v>
      </c>
      <c r="BO41" s="138">
        <f t="shared" si="24"/>
        <v>0</v>
      </c>
      <c r="BP41" s="136">
        <f t="shared" si="24"/>
        <v>0</v>
      </c>
      <c r="BQ41" s="136">
        <f t="shared" si="24"/>
        <v>0</v>
      </c>
      <c r="BR41" s="137">
        <f t="shared" si="24"/>
        <v>0</v>
      </c>
      <c r="BS41" s="138">
        <f t="shared" si="24"/>
        <v>0</v>
      </c>
      <c r="BT41" s="136">
        <f t="shared" si="24"/>
        <v>0</v>
      </c>
      <c r="BU41" s="136">
        <f t="shared" si="24"/>
        <v>0</v>
      </c>
      <c r="BV41" s="136">
        <f t="shared" si="24"/>
        <v>0</v>
      </c>
      <c r="BW41" s="137">
        <f t="shared" si="24"/>
        <v>0</v>
      </c>
      <c r="BX41" s="138">
        <f t="shared" si="24"/>
        <v>0</v>
      </c>
      <c r="BY41" s="136">
        <f t="shared" si="24"/>
        <v>0</v>
      </c>
      <c r="BZ41" s="136">
        <f t="shared" si="24"/>
        <v>0</v>
      </c>
      <c r="CA41" s="137">
        <f t="shared" si="24"/>
        <v>0</v>
      </c>
      <c r="CB41" s="135">
        <f t="shared" si="24"/>
        <v>0</v>
      </c>
      <c r="CC41" s="136">
        <f t="shared" si="24"/>
        <v>0</v>
      </c>
      <c r="CD41" s="136">
        <f t="shared" si="24"/>
        <v>0</v>
      </c>
      <c r="CE41" s="137">
        <f t="shared" si="24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18"/>
        <v>1</v>
      </c>
      <c r="K42" s="101">
        <v>0</v>
      </c>
      <c r="L42" s="132">
        <f t="shared" si="19"/>
        <v>0.1</v>
      </c>
      <c r="M42" s="132">
        <f t="shared" si="20"/>
        <v>0</v>
      </c>
      <c r="N42" s="132">
        <f t="shared" si="3"/>
        <v>-0.1</v>
      </c>
      <c r="O42" s="133" t="str">
        <f t="shared" si="21"/>
        <v>지연</v>
      </c>
      <c r="P42" s="104"/>
      <c r="Q42" s="104"/>
      <c r="R42" s="104"/>
      <c r="S42" s="104"/>
      <c r="T42" s="94"/>
      <c r="U42" s="134" t="str">
        <f t="shared" si="2"/>
        <v/>
      </c>
      <c r="V42" s="253">
        <f>NETWORKDAYS(P42,Q42,진행현황_전체!C$59:C$77)</f>
        <v>0</v>
      </c>
      <c r="W42" s="135">
        <f t="shared" si="22"/>
        <v>0</v>
      </c>
      <c r="X42" s="136">
        <f t="shared" si="22"/>
        <v>0</v>
      </c>
      <c r="Y42" s="136">
        <f t="shared" si="22"/>
        <v>0</v>
      </c>
      <c r="Z42" s="136">
        <f t="shared" si="22"/>
        <v>0</v>
      </c>
      <c r="AA42" s="137">
        <f t="shared" si="22"/>
        <v>0</v>
      </c>
      <c r="AB42" s="138">
        <f t="shared" si="22"/>
        <v>0</v>
      </c>
      <c r="AC42" s="136">
        <f t="shared" si="22"/>
        <v>0</v>
      </c>
      <c r="AD42" s="136">
        <f t="shared" si="22"/>
        <v>0</v>
      </c>
      <c r="AE42" s="137">
        <f t="shared" si="22"/>
        <v>0</v>
      </c>
      <c r="AF42" s="135">
        <f t="shared" si="22"/>
        <v>0</v>
      </c>
      <c r="AG42" s="136">
        <f t="shared" si="22"/>
        <v>0</v>
      </c>
      <c r="AH42" s="136">
        <f t="shared" si="22"/>
        <v>0</v>
      </c>
      <c r="AI42" s="137">
        <f t="shared" si="22"/>
        <v>0</v>
      </c>
      <c r="AJ42" s="135">
        <f t="shared" si="22"/>
        <v>0</v>
      </c>
      <c r="AK42" s="138">
        <f t="shared" si="22"/>
        <v>0</v>
      </c>
      <c r="AL42" s="136">
        <f t="shared" si="22"/>
        <v>0</v>
      </c>
      <c r="AM42" s="136">
        <f t="shared" si="22"/>
        <v>0</v>
      </c>
      <c r="AN42" s="194">
        <f t="shared" si="22"/>
        <v>0</v>
      </c>
      <c r="AO42" s="138">
        <f t="shared" si="22"/>
        <v>0</v>
      </c>
      <c r="AP42" s="136">
        <f t="shared" si="22"/>
        <v>0</v>
      </c>
      <c r="AQ42" s="136">
        <f t="shared" si="22"/>
        <v>0</v>
      </c>
      <c r="AR42" s="137">
        <f t="shared" si="23"/>
        <v>0</v>
      </c>
      <c r="AS42" s="135">
        <f t="shared" si="23"/>
        <v>0</v>
      </c>
      <c r="AT42" s="136">
        <f t="shared" si="23"/>
        <v>0</v>
      </c>
      <c r="AU42" s="136">
        <f t="shared" si="23"/>
        <v>0</v>
      </c>
      <c r="AV42" s="137">
        <f t="shared" si="23"/>
        <v>0</v>
      </c>
      <c r="AW42" s="135">
        <f t="shared" si="23"/>
        <v>0</v>
      </c>
      <c r="AX42" s="136">
        <f t="shared" si="23"/>
        <v>0</v>
      </c>
      <c r="AY42" s="136">
        <f t="shared" si="23"/>
        <v>0</v>
      </c>
      <c r="AZ42" s="136">
        <f t="shared" si="23"/>
        <v>0</v>
      </c>
      <c r="BA42" s="137">
        <f t="shared" si="23"/>
        <v>0</v>
      </c>
      <c r="BB42" s="138">
        <f t="shared" si="23"/>
        <v>0</v>
      </c>
      <c r="BC42" s="136">
        <f t="shared" si="23"/>
        <v>0</v>
      </c>
      <c r="BD42" s="136">
        <f t="shared" si="23"/>
        <v>0</v>
      </c>
      <c r="BE42" s="137">
        <f t="shared" si="23"/>
        <v>0</v>
      </c>
      <c r="BF42" s="135">
        <f t="shared" si="23"/>
        <v>0</v>
      </c>
      <c r="BG42" s="136">
        <f t="shared" si="23"/>
        <v>0</v>
      </c>
      <c r="BH42" s="136">
        <f t="shared" si="24"/>
        <v>0</v>
      </c>
      <c r="BI42" s="137">
        <f t="shared" si="24"/>
        <v>0</v>
      </c>
      <c r="BJ42" s="138">
        <f t="shared" si="24"/>
        <v>0</v>
      </c>
      <c r="BK42" s="136">
        <f t="shared" si="24"/>
        <v>0</v>
      </c>
      <c r="BL42" s="136">
        <f t="shared" si="24"/>
        <v>0</v>
      </c>
      <c r="BM42" s="136">
        <f t="shared" si="24"/>
        <v>0</v>
      </c>
      <c r="BN42" s="137">
        <f t="shared" si="24"/>
        <v>0</v>
      </c>
      <c r="BO42" s="138">
        <f t="shared" si="24"/>
        <v>0</v>
      </c>
      <c r="BP42" s="136">
        <f t="shared" si="24"/>
        <v>0</v>
      </c>
      <c r="BQ42" s="136">
        <f t="shared" si="24"/>
        <v>0</v>
      </c>
      <c r="BR42" s="137">
        <f t="shared" si="24"/>
        <v>0</v>
      </c>
      <c r="BS42" s="138">
        <f t="shared" si="24"/>
        <v>0</v>
      </c>
      <c r="BT42" s="136">
        <f t="shared" si="24"/>
        <v>0</v>
      </c>
      <c r="BU42" s="136">
        <f t="shared" si="24"/>
        <v>0</v>
      </c>
      <c r="BV42" s="136">
        <f t="shared" si="24"/>
        <v>0</v>
      </c>
      <c r="BW42" s="137">
        <f t="shared" si="24"/>
        <v>0</v>
      </c>
      <c r="BX42" s="138">
        <f t="shared" si="24"/>
        <v>0</v>
      </c>
      <c r="BY42" s="136">
        <f t="shared" si="24"/>
        <v>0</v>
      </c>
      <c r="BZ42" s="136">
        <f t="shared" si="24"/>
        <v>0</v>
      </c>
      <c r="CA42" s="137">
        <f t="shared" si="24"/>
        <v>0</v>
      </c>
      <c r="CB42" s="135">
        <f t="shared" si="24"/>
        <v>0</v>
      </c>
      <c r="CC42" s="136">
        <f t="shared" si="24"/>
        <v>0</v>
      </c>
      <c r="CD42" s="136">
        <f t="shared" si="24"/>
        <v>0</v>
      </c>
      <c r="CE42" s="137">
        <f t="shared" si="24"/>
        <v>0</v>
      </c>
    </row>
    <row r="43" spans="1:83" ht="17.25" thickBot="1">
      <c r="A43" s="139" t="s">
        <v>8</v>
      </c>
      <c r="B43" s="114" t="str">
        <f>진행현황_10.범위명!E15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진행현황_10.범위명!E16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2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25">IF(CheckDay&gt;=Q44,1,IF(CheckDay&lt;P44, 0,DAYS360(P44,CheckDay+1)/Y44))</f>
        <v>1</v>
      </c>
      <c r="K44" s="101">
        <v>0</v>
      </c>
      <c r="L44" s="132">
        <f t="shared" ref="L44:L53" si="26">I44*J44/100</f>
        <v>0.1</v>
      </c>
      <c r="M44" s="132">
        <f t="shared" ref="M44:M53" si="27">I44*K44/100</f>
        <v>0</v>
      </c>
      <c r="N44" s="132">
        <f t="shared" si="3"/>
        <v>-0.1</v>
      </c>
      <c r="O44" s="133" t="str">
        <f t="shared" ref="O44:O53" si="28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2"/>
        <v/>
      </c>
      <c r="V44" s="253">
        <f>NETWORKDAYS(P44,Q44,진행현황_전체!C$59:C$77)</f>
        <v>0</v>
      </c>
      <c r="W44" s="135">
        <f t="shared" ref="W44:AV53" si="29">IF(OR((AND($P44&lt;=W$7,AND($Q44&lt;=W$8, $Q44&gt;=W$7))),(AND(AND($P44&gt;=W$7, $P44&lt;=W$8),$Q44&gt;=W$8)), AND($P44&gt;=W$7, $Q44&lt;=W$8), AND($P44&lt;=W$7,$Q44&gt;=W$8)),1,0)</f>
        <v>0</v>
      </c>
      <c r="X44" s="136">
        <f t="shared" si="29"/>
        <v>0</v>
      </c>
      <c r="Y44" s="136">
        <f t="shared" si="29"/>
        <v>0</v>
      </c>
      <c r="Z44" s="136">
        <f t="shared" si="29"/>
        <v>0</v>
      </c>
      <c r="AA44" s="137">
        <f t="shared" si="29"/>
        <v>0</v>
      </c>
      <c r="AB44" s="138">
        <f t="shared" si="29"/>
        <v>0</v>
      </c>
      <c r="AC44" s="136">
        <f t="shared" si="29"/>
        <v>0</v>
      </c>
      <c r="AD44" s="136">
        <f t="shared" si="29"/>
        <v>0</v>
      </c>
      <c r="AE44" s="137">
        <f t="shared" si="29"/>
        <v>0</v>
      </c>
      <c r="AF44" s="135">
        <f t="shared" si="29"/>
        <v>0</v>
      </c>
      <c r="AG44" s="136">
        <f t="shared" si="29"/>
        <v>0</v>
      </c>
      <c r="AH44" s="136">
        <f t="shared" si="29"/>
        <v>0</v>
      </c>
      <c r="AI44" s="137">
        <f t="shared" si="29"/>
        <v>0</v>
      </c>
      <c r="AJ44" s="135">
        <f t="shared" si="29"/>
        <v>0</v>
      </c>
      <c r="AK44" s="138">
        <f t="shared" si="29"/>
        <v>0</v>
      </c>
      <c r="AL44" s="136">
        <f t="shared" si="29"/>
        <v>0</v>
      </c>
      <c r="AM44" s="136">
        <f t="shared" si="29"/>
        <v>0</v>
      </c>
      <c r="AN44" s="194">
        <f t="shared" si="29"/>
        <v>0</v>
      </c>
      <c r="AO44" s="138">
        <f t="shared" si="29"/>
        <v>0</v>
      </c>
      <c r="AP44" s="136">
        <f t="shared" si="29"/>
        <v>0</v>
      </c>
      <c r="AQ44" s="136">
        <f t="shared" si="29"/>
        <v>0</v>
      </c>
      <c r="AR44" s="137">
        <f t="shared" si="29"/>
        <v>0</v>
      </c>
      <c r="AS44" s="135">
        <f t="shared" si="29"/>
        <v>0</v>
      </c>
      <c r="AT44" s="136">
        <f t="shared" si="29"/>
        <v>0</v>
      </c>
      <c r="AU44" s="136">
        <f t="shared" si="29"/>
        <v>0</v>
      </c>
      <c r="AV44" s="137">
        <f t="shared" si="29"/>
        <v>0</v>
      </c>
      <c r="AW44" s="135">
        <f t="shared" ref="AW44:CE51" si="30">IF(OR((AND($P44&lt;=AW$7,AND($Q44&lt;=AW$8, $Q44&gt;=AW$7))),(AND(AND($P44&gt;=AW$7, $P44&lt;=AW$8),$Q44&gt;=AW$8)), AND($P44&gt;=AW$7, $Q44&lt;=AW$8), AND($P44&lt;=AW$7,$Q44&gt;=AW$8)),1,0)</f>
        <v>0</v>
      </c>
      <c r="AX44" s="136">
        <f t="shared" si="30"/>
        <v>0</v>
      </c>
      <c r="AY44" s="136">
        <f t="shared" si="30"/>
        <v>0</v>
      </c>
      <c r="AZ44" s="136">
        <f t="shared" si="30"/>
        <v>0</v>
      </c>
      <c r="BA44" s="137">
        <f t="shared" si="30"/>
        <v>0</v>
      </c>
      <c r="BB44" s="138">
        <f t="shared" si="30"/>
        <v>0</v>
      </c>
      <c r="BC44" s="136">
        <f t="shared" si="30"/>
        <v>0</v>
      </c>
      <c r="BD44" s="136">
        <f t="shared" si="30"/>
        <v>0</v>
      </c>
      <c r="BE44" s="137">
        <f t="shared" si="30"/>
        <v>0</v>
      </c>
      <c r="BF44" s="135">
        <f t="shared" si="30"/>
        <v>0</v>
      </c>
      <c r="BG44" s="136">
        <f t="shared" si="30"/>
        <v>0</v>
      </c>
      <c r="BH44" s="136">
        <f t="shared" si="30"/>
        <v>0</v>
      </c>
      <c r="BI44" s="137">
        <f t="shared" si="30"/>
        <v>0</v>
      </c>
      <c r="BJ44" s="138">
        <f t="shared" si="30"/>
        <v>0</v>
      </c>
      <c r="BK44" s="136">
        <f t="shared" si="30"/>
        <v>0</v>
      </c>
      <c r="BL44" s="136">
        <f t="shared" si="30"/>
        <v>0</v>
      </c>
      <c r="BM44" s="136">
        <f t="shared" si="30"/>
        <v>0</v>
      </c>
      <c r="BN44" s="137">
        <f t="shared" si="30"/>
        <v>0</v>
      </c>
      <c r="BO44" s="138">
        <f t="shared" si="30"/>
        <v>0</v>
      </c>
      <c r="BP44" s="136">
        <f t="shared" si="30"/>
        <v>0</v>
      </c>
      <c r="BQ44" s="136">
        <f t="shared" si="30"/>
        <v>0</v>
      </c>
      <c r="BR44" s="137">
        <f t="shared" si="30"/>
        <v>0</v>
      </c>
      <c r="BS44" s="138">
        <f t="shared" si="30"/>
        <v>0</v>
      </c>
      <c r="BT44" s="136">
        <f t="shared" si="30"/>
        <v>0</v>
      </c>
      <c r="BU44" s="136">
        <f t="shared" si="30"/>
        <v>0</v>
      </c>
      <c r="BV44" s="136">
        <f t="shared" si="30"/>
        <v>0</v>
      </c>
      <c r="BW44" s="137">
        <f t="shared" si="30"/>
        <v>0</v>
      </c>
      <c r="BX44" s="138">
        <f t="shared" si="30"/>
        <v>0</v>
      </c>
      <c r="BY44" s="136">
        <f t="shared" si="30"/>
        <v>0</v>
      </c>
      <c r="BZ44" s="136">
        <f t="shared" si="30"/>
        <v>0</v>
      </c>
      <c r="CA44" s="137">
        <f t="shared" si="30"/>
        <v>0</v>
      </c>
      <c r="CB44" s="135">
        <f t="shared" si="30"/>
        <v>0</v>
      </c>
      <c r="CC44" s="136">
        <f t="shared" si="30"/>
        <v>0</v>
      </c>
      <c r="CD44" s="136">
        <f t="shared" si="30"/>
        <v>0</v>
      </c>
      <c r="CE44" s="137">
        <f t="shared" si="30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25"/>
        <v>1</v>
      </c>
      <c r="K45" s="101">
        <v>0</v>
      </c>
      <c r="L45" s="132">
        <f t="shared" si="26"/>
        <v>0.1</v>
      </c>
      <c r="M45" s="132">
        <f t="shared" si="27"/>
        <v>0</v>
      </c>
      <c r="N45" s="132">
        <f t="shared" si="3"/>
        <v>-0.1</v>
      </c>
      <c r="O45" s="133" t="str">
        <f t="shared" si="28"/>
        <v>지연</v>
      </c>
      <c r="P45" s="104"/>
      <c r="Q45" s="104"/>
      <c r="R45" s="104"/>
      <c r="S45" s="104"/>
      <c r="T45" s="94"/>
      <c r="U45" s="134" t="str">
        <f t="shared" si="2"/>
        <v/>
      </c>
      <c r="V45" s="253">
        <f>NETWORKDAYS(P45,Q45,진행현황_전체!C$59:C$77)</f>
        <v>0</v>
      </c>
      <c r="W45" s="135">
        <f t="shared" si="29"/>
        <v>0</v>
      </c>
      <c r="X45" s="136">
        <f t="shared" si="29"/>
        <v>0</v>
      </c>
      <c r="Y45" s="136">
        <f t="shared" si="29"/>
        <v>0</v>
      </c>
      <c r="Z45" s="136">
        <f t="shared" si="29"/>
        <v>0</v>
      </c>
      <c r="AA45" s="137">
        <f t="shared" si="29"/>
        <v>0</v>
      </c>
      <c r="AB45" s="138">
        <f t="shared" si="29"/>
        <v>0</v>
      </c>
      <c r="AC45" s="136">
        <f t="shared" si="29"/>
        <v>0</v>
      </c>
      <c r="AD45" s="136">
        <f t="shared" si="29"/>
        <v>0</v>
      </c>
      <c r="AE45" s="137">
        <f t="shared" si="29"/>
        <v>0</v>
      </c>
      <c r="AF45" s="135">
        <f t="shared" si="29"/>
        <v>0</v>
      </c>
      <c r="AG45" s="136">
        <f t="shared" si="29"/>
        <v>0</v>
      </c>
      <c r="AH45" s="136">
        <f t="shared" si="29"/>
        <v>0</v>
      </c>
      <c r="AI45" s="137">
        <f t="shared" si="29"/>
        <v>0</v>
      </c>
      <c r="AJ45" s="135">
        <f t="shared" si="29"/>
        <v>0</v>
      </c>
      <c r="AK45" s="138">
        <f t="shared" si="29"/>
        <v>0</v>
      </c>
      <c r="AL45" s="136">
        <f t="shared" si="29"/>
        <v>0</v>
      </c>
      <c r="AM45" s="136">
        <f t="shared" si="29"/>
        <v>0</v>
      </c>
      <c r="AN45" s="194">
        <f t="shared" si="29"/>
        <v>0</v>
      </c>
      <c r="AO45" s="138">
        <f t="shared" si="29"/>
        <v>0</v>
      </c>
      <c r="AP45" s="136">
        <f t="shared" si="29"/>
        <v>0</v>
      </c>
      <c r="AQ45" s="136">
        <f t="shared" si="29"/>
        <v>0</v>
      </c>
      <c r="AR45" s="137">
        <f t="shared" si="29"/>
        <v>0</v>
      </c>
      <c r="AS45" s="135">
        <f t="shared" si="29"/>
        <v>0</v>
      </c>
      <c r="AT45" s="136">
        <f t="shared" si="29"/>
        <v>0</v>
      </c>
      <c r="AU45" s="136">
        <f t="shared" si="29"/>
        <v>0</v>
      </c>
      <c r="AV45" s="137">
        <f t="shared" si="29"/>
        <v>0</v>
      </c>
      <c r="AW45" s="135">
        <f t="shared" si="30"/>
        <v>0</v>
      </c>
      <c r="AX45" s="136">
        <f t="shared" si="30"/>
        <v>0</v>
      </c>
      <c r="AY45" s="136">
        <f t="shared" si="30"/>
        <v>0</v>
      </c>
      <c r="AZ45" s="136">
        <f t="shared" si="30"/>
        <v>0</v>
      </c>
      <c r="BA45" s="137">
        <f t="shared" si="30"/>
        <v>0</v>
      </c>
      <c r="BB45" s="138">
        <f t="shared" si="30"/>
        <v>0</v>
      </c>
      <c r="BC45" s="136">
        <f t="shared" si="30"/>
        <v>0</v>
      </c>
      <c r="BD45" s="136">
        <f t="shared" si="30"/>
        <v>0</v>
      </c>
      <c r="BE45" s="137">
        <f t="shared" si="30"/>
        <v>0</v>
      </c>
      <c r="BF45" s="135">
        <f t="shared" si="30"/>
        <v>0</v>
      </c>
      <c r="BG45" s="136">
        <f t="shared" si="30"/>
        <v>0</v>
      </c>
      <c r="BH45" s="136">
        <f t="shared" si="30"/>
        <v>0</v>
      </c>
      <c r="BI45" s="137">
        <f t="shared" si="30"/>
        <v>0</v>
      </c>
      <c r="BJ45" s="138">
        <f t="shared" si="30"/>
        <v>0</v>
      </c>
      <c r="BK45" s="136">
        <f t="shared" si="30"/>
        <v>0</v>
      </c>
      <c r="BL45" s="136">
        <f t="shared" si="30"/>
        <v>0</v>
      </c>
      <c r="BM45" s="136">
        <f t="shared" si="30"/>
        <v>0</v>
      </c>
      <c r="BN45" s="137">
        <f t="shared" si="30"/>
        <v>0</v>
      </c>
      <c r="BO45" s="138">
        <f t="shared" si="30"/>
        <v>0</v>
      </c>
      <c r="BP45" s="136">
        <f t="shared" si="30"/>
        <v>0</v>
      </c>
      <c r="BQ45" s="136">
        <f t="shared" si="30"/>
        <v>0</v>
      </c>
      <c r="BR45" s="137">
        <f t="shared" si="30"/>
        <v>0</v>
      </c>
      <c r="BS45" s="138">
        <f t="shared" si="30"/>
        <v>0</v>
      </c>
      <c r="BT45" s="136">
        <f t="shared" si="30"/>
        <v>0</v>
      </c>
      <c r="BU45" s="136">
        <f t="shared" si="30"/>
        <v>0</v>
      </c>
      <c r="BV45" s="136">
        <f t="shared" si="30"/>
        <v>0</v>
      </c>
      <c r="BW45" s="137">
        <f t="shared" si="30"/>
        <v>0</v>
      </c>
      <c r="BX45" s="138">
        <f t="shared" si="30"/>
        <v>0</v>
      </c>
      <c r="BY45" s="136">
        <f t="shared" si="30"/>
        <v>0</v>
      </c>
      <c r="BZ45" s="136">
        <f t="shared" si="30"/>
        <v>0</v>
      </c>
      <c r="CA45" s="137">
        <f t="shared" si="30"/>
        <v>0</v>
      </c>
      <c r="CB45" s="135">
        <f t="shared" si="30"/>
        <v>0</v>
      </c>
      <c r="CC45" s="136">
        <f t="shared" si="30"/>
        <v>0</v>
      </c>
      <c r="CD45" s="136">
        <f t="shared" si="30"/>
        <v>0</v>
      </c>
      <c r="CE45" s="137">
        <f t="shared" si="30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25"/>
        <v>1</v>
      </c>
      <c r="K46" s="101">
        <v>0</v>
      </c>
      <c r="L46" s="132">
        <f t="shared" si="26"/>
        <v>0.1</v>
      </c>
      <c r="M46" s="132">
        <f t="shared" si="27"/>
        <v>0</v>
      </c>
      <c r="N46" s="132">
        <f t="shared" si="3"/>
        <v>-0.1</v>
      </c>
      <c r="O46" s="133" t="str">
        <f t="shared" si="28"/>
        <v>지연</v>
      </c>
      <c r="P46" s="104"/>
      <c r="Q46" s="104"/>
      <c r="R46" s="104"/>
      <c r="S46" s="104"/>
      <c r="T46" s="94"/>
      <c r="U46" s="134" t="str">
        <f t="shared" si="2"/>
        <v/>
      </c>
      <c r="V46" s="253">
        <f>NETWORKDAYS(P46,Q46,진행현황_전체!C$59:C$77)</f>
        <v>0</v>
      </c>
      <c r="W46" s="135">
        <f t="shared" si="29"/>
        <v>0</v>
      </c>
      <c r="X46" s="136">
        <f t="shared" si="29"/>
        <v>0</v>
      </c>
      <c r="Y46" s="136">
        <f t="shared" si="29"/>
        <v>0</v>
      </c>
      <c r="Z46" s="136">
        <f t="shared" si="29"/>
        <v>0</v>
      </c>
      <c r="AA46" s="137">
        <f t="shared" si="29"/>
        <v>0</v>
      </c>
      <c r="AB46" s="138">
        <f t="shared" si="29"/>
        <v>0</v>
      </c>
      <c r="AC46" s="136">
        <f t="shared" si="29"/>
        <v>0</v>
      </c>
      <c r="AD46" s="136">
        <f t="shared" si="29"/>
        <v>0</v>
      </c>
      <c r="AE46" s="137">
        <f t="shared" si="29"/>
        <v>0</v>
      </c>
      <c r="AF46" s="135">
        <f t="shared" si="29"/>
        <v>0</v>
      </c>
      <c r="AG46" s="136">
        <f t="shared" si="29"/>
        <v>0</v>
      </c>
      <c r="AH46" s="136">
        <f t="shared" si="29"/>
        <v>0</v>
      </c>
      <c r="AI46" s="137">
        <f t="shared" si="29"/>
        <v>0</v>
      </c>
      <c r="AJ46" s="135">
        <f t="shared" si="29"/>
        <v>0</v>
      </c>
      <c r="AK46" s="138">
        <f t="shared" si="29"/>
        <v>0</v>
      </c>
      <c r="AL46" s="136">
        <f t="shared" si="29"/>
        <v>0</v>
      </c>
      <c r="AM46" s="136">
        <f t="shared" si="29"/>
        <v>0</v>
      </c>
      <c r="AN46" s="194">
        <f t="shared" si="29"/>
        <v>0</v>
      </c>
      <c r="AO46" s="138">
        <f t="shared" si="29"/>
        <v>0</v>
      </c>
      <c r="AP46" s="136">
        <f t="shared" si="29"/>
        <v>0</v>
      </c>
      <c r="AQ46" s="136">
        <f t="shared" si="29"/>
        <v>0</v>
      </c>
      <c r="AR46" s="137">
        <f t="shared" si="29"/>
        <v>0</v>
      </c>
      <c r="AS46" s="135">
        <f t="shared" si="29"/>
        <v>0</v>
      </c>
      <c r="AT46" s="136">
        <f t="shared" si="29"/>
        <v>0</v>
      </c>
      <c r="AU46" s="136">
        <f t="shared" si="29"/>
        <v>0</v>
      </c>
      <c r="AV46" s="137">
        <f t="shared" si="29"/>
        <v>0</v>
      </c>
      <c r="AW46" s="135">
        <f t="shared" si="30"/>
        <v>0</v>
      </c>
      <c r="AX46" s="136">
        <f t="shared" si="30"/>
        <v>0</v>
      </c>
      <c r="AY46" s="136">
        <f t="shared" si="30"/>
        <v>0</v>
      </c>
      <c r="AZ46" s="136">
        <f t="shared" si="30"/>
        <v>0</v>
      </c>
      <c r="BA46" s="137">
        <f t="shared" si="30"/>
        <v>0</v>
      </c>
      <c r="BB46" s="138">
        <f t="shared" si="30"/>
        <v>0</v>
      </c>
      <c r="BC46" s="136">
        <f t="shared" si="30"/>
        <v>0</v>
      </c>
      <c r="BD46" s="136">
        <f t="shared" si="30"/>
        <v>0</v>
      </c>
      <c r="BE46" s="137">
        <f t="shared" si="30"/>
        <v>0</v>
      </c>
      <c r="BF46" s="135">
        <f t="shared" si="30"/>
        <v>0</v>
      </c>
      <c r="BG46" s="136">
        <f t="shared" si="30"/>
        <v>0</v>
      </c>
      <c r="BH46" s="136">
        <f t="shared" si="30"/>
        <v>0</v>
      </c>
      <c r="BI46" s="137">
        <f t="shared" si="30"/>
        <v>0</v>
      </c>
      <c r="BJ46" s="138">
        <f t="shared" si="30"/>
        <v>0</v>
      </c>
      <c r="BK46" s="136">
        <f t="shared" si="30"/>
        <v>0</v>
      </c>
      <c r="BL46" s="136">
        <f t="shared" si="30"/>
        <v>0</v>
      </c>
      <c r="BM46" s="136">
        <f t="shared" si="30"/>
        <v>0</v>
      </c>
      <c r="BN46" s="137">
        <f t="shared" si="30"/>
        <v>0</v>
      </c>
      <c r="BO46" s="138">
        <f t="shared" si="30"/>
        <v>0</v>
      </c>
      <c r="BP46" s="136">
        <f t="shared" si="30"/>
        <v>0</v>
      </c>
      <c r="BQ46" s="136">
        <f t="shared" si="30"/>
        <v>0</v>
      </c>
      <c r="BR46" s="137">
        <f t="shared" si="30"/>
        <v>0</v>
      </c>
      <c r="BS46" s="138">
        <f t="shared" si="30"/>
        <v>0</v>
      </c>
      <c r="BT46" s="136">
        <f t="shared" si="30"/>
        <v>0</v>
      </c>
      <c r="BU46" s="136">
        <f t="shared" si="30"/>
        <v>0</v>
      </c>
      <c r="BV46" s="136">
        <f t="shared" si="30"/>
        <v>0</v>
      </c>
      <c r="BW46" s="137">
        <f t="shared" si="30"/>
        <v>0</v>
      </c>
      <c r="BX46" s="138">
        <f t="shared" si="30"/>
        <v>0</v>
      </c>
      <c r="BY46" s="136">
        <f t="shared" si="30"/>
        <v>0</v>
      </c>
      <c r="BZ46" s="136">
        <f t="shared" si="30"/>
        <v>0</v>
      </c>
      <c r="CA46" s="137">
        <f t="shared" si="30"/>
        <v>0</v>
      </c>
      <c r="CB46" s="135">
        <f t="shared" si="30"/>
        <v>0</v>
      </c>
      <c r="CC46" s="136">
        <f t="shared" si="30"/>
        <v>0</v>
      </c>
      <c r="CD46" s="136">
        <f t="shared" si="30"/>
        <v>0</v>
      </c>
      <c r="CE46" s="137">
        <f t="shared" si="30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25"/>
        <v>1</v>
      </c>
      <c r="K47" s="101">
        <v>0</v>
      </c>
      <c r="L47" s="132">
        <f t="shared" si="26"/>
        <v>0.1</v>
      </c>
      <c r="M47" s="132">
        <f t="shared" si="27"/>
        <v>0</v>
      </c>
      <c r="N47" s="132">
        <f t="shared" si="3"/>
        <v>-0.1</v>
      </c>
      <c r="O47" s="133" t="str">
        <f t="shared" si="28"/>
        <v>지연</v>
      </c>
      <c r="P47" s="104"/>
      <c r="Q47" s="104"/>
      <c r="R47" s="104"/>
      <c r="S47" s="104"/>
      <c r="T47" s="130"/>
      <c r="U47" s="134" t="str">
        <f t="shared" si="2"/>
        <v/>
      </c>
      <c r="V47" s="253">
        <f>NETWORKDAYS(P47,Q47,진행현황_전체!C$59:C$77)</f>
        <v>0</v>
      </c>
      <c r="W47" s="135">
        <f t="shared" si="29"/>
        <v>0</v>
      </c>
      <c r="X47" s="136">
        <f t="shared" si="29"/>
        <v>0</v>
      </c>
      <c r="Y47" s="136">
        <f t="shared" si="29"/>
        <v>0</v>
      </c>
      <c r="Z47" s="136">
        <f t="shared" si="29"/>
        <v>0</v>
      </c>
      <c r="AA47" s="137">
        <f t="shared" si="29"/>
        <v>0</v>
      </c>
      <c r="AB47" s="138">
        <f t="shared" si="29"/>
        <v>0</v>
      </c>
      <c r="AC47" s="136">
        <f t="shared" si="29"/>
        <v>0</v>
      </c>
      <c r="AD47" s="136">
        <f t="shared" si="29"/>
        <v>0</v>
      </c>
      <c r="AE47" s="137">
        <f t="shared" si="29"/>
        <v>0</v>
      </c>
      <c r="AF47" s="135">
        <f t="shared" si="29"/>
        <v>0</v>
      </c>
      <c r="AG47" s="136">
        <f t="shared" si="29"/>
        <v>0</v>
      </c>
      <c r="AH47" s="136">
        <f t="shared" si="29"/>
        <v>0</v>
      </c>
      <c r="AI47" s="137">
        <f t="shared" si="29"/>
        <v>0</v>
      </c>
      <c r="AJ47" s="135">
        <f t="shared" si="29"/>
        <v>0</v>
      </c>
      <c r="AK47" s="138">
        <f t="shared" si="29"/>
        <v>0</v>
      </c>
      <c r="AL47" s="136">
        <f t="shared" si="29"/>
        <v>0</v>
      </c>
      <c r="AM47" s="136">
        <f t="shared" si="29"/>
        <v>0</v>
      </c>
      <c r="AN47" s="194">
        <f t="shared" si="29"/>
        <v>0</v>
      </c>
      <c r="AO47" s="138">
        <f t="shared" si="29"/>
        <v>0</v>
      </c>
      <c r="AP47" s="136">
        <f t="shared" si="29"/>
        <v>0</v>
      </c>
      <c r="AQ47" s="136">
        <f t="shared" si="29"/>
        <v>0</v>
      </c>
      <c r="AR47" s="137">
        <f t="shared" si="29"/>
        <v>0</v>
      </c>
      <c r="AS47" s="135">
        <f t="shared" si="29"/>
        <v>0</v>
      </c>
      <c r="AT47" s="136">
        <f t="shared" si="29"/>
        <v>0</v>
      </c>
      <c r="AU47" s="136">
        <f t="shared" si="29"/>
        <v>0</v>
      </c>
      <c r="AV47" s="137">
        <f t="shared" si="29"/>
        <v>0</v>
      </c>
      <c r="AW47" s="135">
        <f t="shared" si="30"/>
        <v>0</v>
      </c>
      <c r="AX47" s="136">
        <f t="shared" si="30"/>
        <v>0</v>
      </c>
      <c r="AY47" s="136">
        <f t="shared" si="30"/>
        <v>0</v>
      </c>
      <c r="AZ47" s="136">
        <f t="shared" si="30"/>
        <v>0</v>
      </c>
      <c r="BA47" s="137">
        <f t="shared" si="30"/>
        <v>0</v>
      </c>
      <c r="BB47" s="138">
        <f t="shared" si="30"/>
        <v>0</v>
      </c>
      <c r="BC47" s="136">
        <f t="shared" si="30"/>
        <v>0</v>
      </c>
      <c r="BD47" s="136">
        <f t="shared" si="30"/>
        <v>0</v>
      </c>
      <c r="BE47" s="137">
        <f t="shared" si="30"/>
        <v>0</v>
      </c>
      <c r="BF47" s="135">
        <f t="shared" si="30"/>
        <v>0</v>
      </c>
      <c r="BG47" s="136">
        <f t="shared" si="30"/>
        <v>0</v>
      </c>
      <c r="BH47" s="136">
        <f t="shared" si="30"/>
        <v>0</v>
      </c>
      <c r="BI47" s="137">
        <f t="shared" si="30"/>
        <v>0</v>
      </c>
      <c r="BJ47" s="138">
        <f t="shared" si="30"/>
        <v>0</v>
      </c>
      <c r="BK47" s="136">
        <f t="shared" si="30"/>
        <v>0</v>
      </c>
      <c r="BL47" s="136">
        <f t="shared" si="30"/>
        <v>0</v>
      </c>
      <c r="BM47" s="136">
        <f t="shared" si="30"/>
        <v>0</v>
      </c>
      <c r="BN47" s="137">
        <f t="shared" si="30"/>
        <v>0</v>
      </c>
      <c r="BO47" s="138">
        <f t="shared" si="30"/>
        <v>0</v>
      </c>
      <c r="BP47" s="136">
        <f t="shared" si="30"/>
        <v>0</v>
      </c>
      <c r="BQ47" s="136">
        <f t="shared" si="30"/>
        <v>0</v>
      </c>
      <c r="BR47" s="137">
        <f t="shared" si="30"/>
        <v>0</v>
      </c>
      <c r="BS47" s="138">
        <f t="shared" si="30"/>
        <v>0</v>
      </c>
      <c r="BT47" s="136">
        <f t="shared" si="30"/>
        <v>0</v>
      </c>
      <c r="BU47" s="136">
        <f t="shared" si="30"/>
        <v>0</v>
      </c>
      <c r="BV47" s="136">
        <f t="shared" si="30"/>
        <v>0</v>
      </c>
      <c r="BW47" s="137">
        <f t="shared" si="30"/>
        <v>0</v>
      </c>
      <c r="BX47" s="138">
        <f t="shared" si="30"/>
        <v>0</v>
      </c>
      <c r="BY47" s="136">
        <f t="shared" si="30"/>
        <v>0</v>
      </c>
      <c r="BZ47" s="136">
        <f t="shared" si="30"/>
        <v>0</v>
      </c>
      <c r="CA47" s="137">
        <f t="shared" si="30"/>
        <v>0</v>
      </c>
      <c r="CB47" s="135">
        <f t="shared" si="30"/>
        <v>0</v>
      </c>
      <c r="CC47" s="136">
        <f t="shared" si="30"/>
        <v>0</v>
      </c>
      <c r="CD47" s="136">
        <f t="shared" si="30"/>
        <v>0</v>
      </c>
      <c r="CE47" s="137">
        <f t="shared" si="30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25"/>
        <v>1</v>
      </c>
      <c r="K48" s="101">
        <v>0</v>
      </c>
      <c r="L48" s="132">
        <f t="shared" si="26"/>
        <v>0.1</v>
      </c>
      <c r="M48" s="132">
        <f t="shared" si="27"/>
        <v>0</v>
      </c>
      <c r="N48" s="132">
        <f t="shared" si="3"/>
        <v>-0.1</v>
      </c>
      <c r="O48" s="133" t="str">
        <f t="shared" si="28"/>
        <v>지연</v>
      </c>
      <c r="P48" s="104"/>
      <c r="Q48" s="104"/>
      <c r="R48" s="104"/>
      <c r="S48" s="104"/>
      <c r="T48" s="94"/>
      <c r="U48" s="134" t="str">
        <f t="shared" si="2"/>
        <v/>
      </c>
      <c r="V48" s="253">
        <f>NETWORKDAYS(P48,Q48,진행현황_전체!C$59:C$77)</f>
        <v>0</v>
      </c>
      <c r="W48" s="135">
        <f t="shared" si="29"/>
        <v>0</v>
      </c>
      <c r="X48" s="136">
        <f t="shared" si="29"/>
        <v>0</v>
      </c>
      <c r="Y48" s="136">
        <f t="shared" si="29"/>
        <v>0</v>
      </c>
      <c r="Z48" s="136">
        <f t="shared" si="29"/>
        <v>0</v>
      </c>
      <c r="AA48" s="137">
        <f t="shared" si="29"/>
        <v>0</v>
      </c>
      <c r="AB48" s="138">
        <f t="shared" si="29"/>
        <v>0</v>
      </c>
      <c r="AC48" s="136">
        <f t="shared" si="29"/>
        <v>0</v>
      </c>
      <c r="AD48" s="136">
        <f t="shared" si="29"/>
        <v>0</v>
      </c>
      <c r="AE48" s="137">
        <f t="shared" si="29"/>
        <v>0</v>
      </c>
      <c r="AF48" s="135">
        <f t="shared" si="29"/>
        <v>0</v>
      </c>
      <c r="AG48" s="136">
        <f t="shared" si="29"/>
        <v>0</v>
      </c>
      <c r="AH48" s="136">
        <f t="shared" si="29"/>
        <v>0</v>
      </c>
      <c r="AI48" s="137">
        <f t="shared" si="29"/>
        <v>0</v>
      </c>
      <c r="AJ48" s="135">
        <f t="shared" si="29"/>
        <v>0</v>
      </c>
      <c r="AK48" s="138">
        <f t="shared" si="29"/>
        <v>0</v>
      </c>
      <c r="AL48" s="136">
        <f t="shared" si="29"/>
        <v>0</v>
      </c>
      <c r="AM48" s="136">
        <f t="shared" si="29"/>
        <v>0</v>
      </c>
      <c r="AN48" s="194">
        <f t="shared" si="29"/>
        <v>0</v>
      </c>
      <c r="AO48" s="138">
        <f t="shared" si="29"/>
        <v>0</v>
      </c>
      <c r="AP48" s="136">
        <f t="shared" si="29"/>
        <v>0</v>
      </c>
      <c r="AQ48" s="136">
        <f t="shared" si="29"/>
        <v>0</v>
      </c>
      <c r="AR48" s="137">
        <f t="shared" si="29"/>
        <v>0</v>
      </c>
      <c r="AS48" s="135">
        <f t="shared" si="29"/>
        <v>0</v>
      </c>
      <c r="AT48" s="136">
        <f t="shared" si="29"/>
        <v>0</v>
      </c>
      <c r="AU48" s="136">
        <f t="shared" si="29"/>
        <v>0</v>
      </c>
      <c r="AV48" s="137">
        <f t="shared" si="29"/>
        <v>0</v>
      </c>
      <c r="AW48" s="135">
        <f t="shared" si="30"/>
        <v>0</v>
      </c>
      <c r="AX48" s="136">
        <f t="shared" si="30"/>
        <v>0</v>
      </c>
      <c r="AY48" s="136">
        <f t="shared" si="30"/>
        <v>0</v>
      </c>
      <c r="AZ48" s="136">
        <f t="shared" si="30"/>
        <v>0</v>
      </c>
      <c r="BA48" s="137">
        <f t="shared" si="30"/>
        <v>0</v>
      </c>
      <c r="BB48" s="138">
        <f t="shared" si="30"/>
        <v>0</v>
      </c>
      <c r="BC48" s="136">
        <f t="shared" si="30"/>
        <v>0</v>
      </c>
      <c r="BD48" s="136">
        <f t="shared" si="30"/>
        <v>0</v>
      </c>
      <c r="BE48" s="137">
        <f t="shared" si="30"/>
        <v>0</v>
      </c>
      <c r="BF48" s="135">
        <f t="shared" si="30"/>
        <v>0</v>
      </c>
      <c r="BG48" s="136">
        <f t="shared" si="30"/>
        <v>0</v>
      </c>
      <c r="BH48" s="136">
        <f t="shared" si="30"/>
        <v>0</v>
      </c>
      <c r="BI48" s="137">
        <f t="shared" si="30"/>
        <v>0</v>
      </c>
      <c r="BJ48" s="138">
        <f t="shared" si="30"/>
        <v>0</v>
      </c>
      <c r="BK48" s="136">
        <f t="shared" si="30"/>
        <v>0</v>
      </c>
      <c r="BL48" s="136">
        <f t="shared" si="30"/>
        <v>0</v>
      </c>
      <c r="BM48" s="136">
        <f t="shared" si="30"/>
        <v>0</v>
      </c>
      <c r="BN48" s="137">
        <f t="shared" si="30"/>
        <v>0</v>
      </c>
      <c r="BO48" s="138">
        <f t="shared" si="30"/>
        <v>0</v>
      </c>
      <c r="BP48" s="136">
        <f t="shared" si="30"/>
        <v>0</v>
      </c>
      <c r="BQ48" s="136">
        <f t="shared" si="30"/>
        <v>0</v>
      </c>
      <c r="BR48" s="137">
        <f t="shared" si="30"/>
        <v>0</v>
      </c>
      <c r="BS48" s="138">
        <f t="shared" si="30"/>
        <v>0</v>
      </c>
      <c r="BT48" s="136">
        <f t="shared" si="30"/>
        <v>0</v>
      </c>
      <c r="BU48" s="136">
        <f t="shared" si="30"/>
        <v>0</v>
      </c>
      <c r="BV48" s="136">
        <f t="shared" si="30"/>
        <v>0</v>
      </c>
      <c r="BW48" s="137">
        <f t="shared" si="30"/>
        <v>0</v>
      </c>
      <c r="BX48" s="138">
        <f t="shared" si="30"/>
        <v>0</v>
      </c>
      <c r="BY48" s="136">
        <f t="shared" si="30"/>
        <v>0</v>
      </c>
      <c r="BZ48" s="136">
        <f t="shared" si="30"/>
        <v>0</v>
      </c>
      <c r="CA48" s="137">
        <f t="shared" si="30"/>
        <v>0</v>
      </c>
      <c r="CB48" s="135">
        <f t="shared" si="30"/>
        <v>0</v>
      </c>
      <c r="CC48" s="136">
        <f t="shared" si="30"/>
        <v>0</v>
      </c>
      <c r="CD48" s="136">
        <f t="shared" si="30"/>
        <v>0</v>
      </c>
      <c r="CE48" s="137">
        <f t="shared" si="30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25"/>
        <v>1</v>
      </c>
      <c r="K49" s="101">
        <v>0</v>
      </c>
      <c r="L49" s="132">
        <f t="shared" si="26"/>
        <v>0.1</v>
      </c>
      <c r="M49" s="132">
        <f t="shared" si="27"/>
        <v>0</v>
      </c>
      <c r="N49" s="132">
        <f t="shared" si="3"/>
        <v>-0.1</v>
      </c>
      <c r="O49" s="133" t="str">
        <f t="shared" si="28"/>
        <v>지연</v>
      </c>
      <c r="P49" s="104"/>
      <c r="Q49" s="104"/>
      <c r="R49" s="104"/>
      <c r="S49" s="104"/>
      <c r="T49" s="94"/>
      <c r="U49" s="134" t="str">
        <f t="shared" si="2"/>
        <v/>
      </c>
      <c r="V49" s="253">
        <f>NETWORKDAYS(P49,Q49,진행현황_전체!C$59:C$77)</f>
        <v>0</v>
      </c>
      <c r="W49" s="135">
        <f t="shared" si="29"/>
        <v>0</v>
      </c>
      <c r="X49" s="136">
        <f t="shared" si="29"/>
        <v>0</v>
      </c>
      <c r="Y49" s="136">
        <f t="shared" si="29"/>
        <v>0</v>
      </c>
      <c r="Z49" s="136">
        <f t="shared" si="29"/>
        <v>0</v>
      </c>
      <c r="AA49" s="137">
        <f t="shared" si="29"/>
        <v>0</v>
      </c>
      <c r="AB49" s="138">
        <f t="shared" si="29"/>
        <v>0</v>
      </c>
      <c r="AC49" s="136">
        <f t="shared" si="29"/>
        <v>0</v>
      </c>
      <c r="AD49" s="136">
        <f t="shared" si="29"/>
        <v>0</v>
      </c>
      <c r="AE49" s="137">
        <f t="shared" si="29"/>
        <v>0</v>
      </c>
      <c r="AF49" s="135">
        <f t="shared" si="29"/>
        <v>0</v>
      </c>
      <c r="AG49" s="136">
        <f t="shared" si="29"/>
        <v>0</v>
      </c>
      <c r="AH49" s="136">
        <f t="shared" si="29"/>
        <v>0</v>
      </c>
      <c r="AI49" s="137">
        <f t="shared" si="29"/>
        <v>0</v>
      </c>
      <c r="AJ49" s="135">
        <f t="shared" si="29"/>
        <v>0</v>
      </c>
      <c r="AK49" s="138">
        <f t="shared" si="29"/>
        <v>0</v>
      </c>
      <c r="AL49" s="136">
        <f t="shared" si="29"/>
        <v>0</v>
      </c>
      <c r="AM49" s="136">
        <f t="shared" si="29"/>
        <v>0</v>
      </c>
      <c r="AN49" s="194">
        <f t="shared" si="29"/>
        <v>0</v>
      </c>
      <c r="AO49" s="138">
        <f t="shared" si="29"/>
        <v>0</v>
      </c>
      <c r="AP49" s="136">
        <f t="shared" si="29"/>
        <v>0</v>
      </c>
      <c r="AQ49" s="136">
        <f t="shared" si="29"/>
        <v>0</v>
      </c>
      <c r="AR49" s="137">
        <f t="shared" si="29"/>
        <v>0</v>
      </c>
      <c r="AS49" s="135">
        <f t="shared" si="29"/>
        <v>0</v>
      </c>
      <c r="AT49" s="136">
        <f t="shared" si="29"/>
        <v>0</v>
      </c>
      <c r="AU49" s="136">
        <f t="shared" si="29"/>
        <v>0</v>
      </c>
      <c r="AV49" s="137">
        <f t="shared" si="29"/>
        <v>0</v>
      </c>
      <c r="AW49" s="135">
        <f t="shared" si="30"/>
        <v>0</v>
      </c>
      <c r="AX49" s="136">
        <f t="shared" si="30"/>
        <v>0</v>
      </c>
      <c r="AY49" s="136">
        <f t="shared" si="30"/>
        <v>0</v>
      </c>
      <c r="AZ49" s="136">
        <f t="shared" si="30"/>
        <v>0</v>
      </c>
      <c r="BA49" s="137">
        <f t="shared" si="30"/>
        <v>0</v>
      </c>
      <c r="BB49" s="138">
        <f t="shared" si="30"/>
        <v>0</v>
      </c>
      <c r="BC49" s="136">
        <f t="shared" si="30"/>
        <v>0</v>
      </c>
      <c r="BD49" s="136">
        <f t="shared" si="30"/>
        <v>0</v>
      </c>
      <c r="BE49" s="137">
        <f t="shared" si="30"/>
        <v>0</v>
      </c>
      <c r="BF49" s="135">
        <f t="shared" si="30"/>
        <v>0</v>
      </c>
      <c r="BG49" s="136">
        <f t="shared" si="30"/>
        <v>0</v>
      </c>
      <c r="BH49" s="136">
        <f t="shared" si="30"/>
        <v>0</v>
      </c>
      <c r="BI49" s="137">
        <f t="shared" si="30"/>
        <v>0</v>
      </c>
      <c r="BJ49" s="138">
        <f t="shared" si="30"/>
        <v>0</v>
      </c>
      <c r="BK49" s="136">
        <f t="shared" si="30"/>
        <v>0</v>
      </c>
      <c r="BL49" s="136">
        <f t="shared" si="30"/>
        <v>0</v>
      </c>
      <c r="BM49" s="136">
        <f t="shared" si="30"/>
        <v>0</v>
      </c>
      <c r="BN49" s="137">
        <f t="shared" si="30"/>
        <v>0</v>
      </c>
      <c r="BO49" s="138">
        <f t="shared" si="30"/>
        <v>0</v>
      </c>
      <c r="BP49" s="136">
        <f t="shared" si="30"/>
        <v>0</v>
      </c>
      <c r="BQ49" s="136">
        <f t="shared" si="30"/>
        <v>0</v>
      </c>
      <c r="BR49" s="137">
        <f t="shared" si="30"/>
        <v>0</v>
      </c>
      <c r="BS49" s="138">
        <f t="shared" si="30"/>
        <v>0</v>
      </c>
      <c r="BT49" s="136">
        <f t="shared" si="30"/>
        <v>0</v>
      </c>
      <c r="BU49" s="136">
        <f t="shared" si="30"/>
        <v>0</v>
      </c>
      <c r="BV49" s="136">
        <f t="shared" si="30"/>
        <v>0</v>
      </c>
      <c r="BW49" s="137">
        <f t="shared" si="30"/>
        <v>0</v>
      </c>
      <c r="BX49" s="138">
        <f t="shared" si="30"/>
        <v>0</v>
      </c>
      <c r="BY49" s="136">
        <f t="shared" si="30"/>
        <v>0</v>
      </c>
      <c r="BZ49" s="136">
        <f t="shared" si="30"/>
        <v>0</v>
      </c>
      <c r="CA49" s="137">
        <f t="shared" si="30"/>
        <v>0</v>
      </c>
      <c r="CB49" s="135">
        <f t="shared" si="30"/>
        <v>0</v>
      </c>
      <c r="CC49" s="136">
        <f t="shared" si="30"/>
        <v>0</v>
      </c>
      <c r="CD49" s="136">
        <f t="shared" si="30"/>
        <v>0</v>
      </c>
      <c r="CE49" s="137">
        <f t="shared" si="30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25"/>
        <v>1</v>
      </c>
      <c r="K50" s="101">
        <v>0</v>
      </c>
      <c r="L50" s="132">
        <f t="shared" si="26"/>
        <v>0.1</v>
      </c>
      <c r="M50" s="132">
        <f t="shared" si="27"/>
        <v>0</v>
      </c>
      <c r="N50" s="132">
        <f t="shared" si="3"/>
        <v>-0.1</v>
      </c>
      <c r="O50" s="133" t="str">
        <f t="shared" si="28"/>
        <v>지연</v>
      </c>
      <c r="P50" s="104"/>
      <c r="Q50" s="104"/>
      <c r="R50" s="104"/>
      <c r="S50" s="104"/>
      <c r="T50" s="130"/>
      <c r="U50" s="134" t="str">
        <f t="shared" si="2"/>
        <v/>
      </c>
      <c r="V50" s="253">
        <f>NETWORKDAYS(P50,Q50,진행현황_전체!C$59:C$77)</f>
        <v>0</v>
      </c>
      <c r="W50" s="135">
        <f t="shared" si="29"/>
        <v>0</v>
      </c>
      <c r="X50" s="136">
        <f t="shared" si="29"/>
        <v>0</v>
      </c>
      <c r="Y50" s="136">
        <f t="shared" si="29"/>
        <v>0</v>
      </c>
      <c r="Z50" s="136">
        <f t="shared" si="29"/>
        <v>0</v>
      </c>
      <c r="AA50" s="137">
        <f t="shared" si="29"/>
        <v>0</v>
      </c>
      <c r="AB50" s="138">
        <f t="shared" si="29"/>
        <v>0</v>
      </c>
      <c r="AC50" s="136">
        <f t="shared" si="29"/>
        <v>0</v>
      </c>
      <c r="AD50" s="136">
        <f t="shared" si="29"/>
        <v>0</v>
      </c>
      <c r="AE50" s="137">
        <f t="shared" si="29"/>
        <v>0</v>
      </c>
      <c r="AF50" s="135">
        <f t="shared" si="29"/>
        <v>0</v>
      </c>
      <c r="AG50" s="136">
        <f t="shared" si="29"/>
        <v>0</v>
      </c>
      <c r="AH50" s="136">
        <f t="shared" si="29"/>
        <v>0</v>
      </c>
      <c r="AI50" s="137">
        <f t="shared" si="29"/>
        <v>0</v>
      </c>
      <c r="AJ50" s="135">
        <f t="shared" si="29"/>
        <v>0</v>
      </c>
      <c r="AK50" s="138">
        <f t="shared" si="29"/>
        <v>0</v>
      </c>
      <c r="AL50" s="136">
        <f t="shared" si="29"/>
        <v>0</v>
      </c>
      <c r="AM50" s="136">
        <f t="shared" si="29"/>
        <v>0</v>
      </c>
      <c r="AN50" s="194">
        <f t="shared" si="29"/>
        <v>0</v>
      </c>
      <c r="AO50" s="138">
        <f t="shared" si="29"/>
        <v>0</v>
      </c>
      <c r="AP50" s="136">
        <f t="shared" si="29"/>
        <v>0</v>
      </c>
      <c r="AQ50" s="136">
        <f t="shared" si="29"/>
        <v>0</v>
      </c>
      <c r="AR50" s="137">
        <f t="shared" si="29"/>
        <v>0</v>
      </c>
      <c r="AS50" s="135">
        <f t="shared" si="29"/>
        <v>0</v>
      </c>
      <c r="AT50" s="136">
        <f t="shared" si="29"/>
        <v>0</v>
      </c>
      <c r="AU50" s="136">
        <f t="shared" si="29"/>
        <v>0</v>
      </c>
      <c r="AV50" s="137">
        <f t="shared" si="29"/>
        <v>0</v>
      </c>
      <c r="AW50" s="135">
        <f t="shared" si="30"/>
        <v>0</v>
      </c>
      <c r="AX50" s="136">
        <f t="shared" si="30"/>
        <v>0</v>
      </c>
      <c r="AY50" s="136">
        <f t="shared" si="30"/>
        <v>0</v>
      </c>
      <c r="AZ50" s="136">
        <f t="shared" si="30"/>
        <v>0</v>
      </c>
      <c r="BA50" s="137">
        <f t="shared" si="30"/>
        <v>0</v>
      </c>
      <c r="BB50" s="138">
        <f t="shared" si="30"/>
        <v>0</v>
      </c>
      <c r="BC50" s="136">
        <f t="shared" si="30"/>
        <v>0</v>
      </c>
      <c r="BD50" s="136">
        <f t="shared" si="30"/>
        <v>0</v>
      </c>
      <c r="BE50" s="137">
        <f t="shared" si="30"/>
        <v>0</v>
      </c>
      <c r="BF50" s="135">
        <f t="shared" si="30"/>
        <v>0</v>
      </c>
      <c r="BG50" s="136">
        <f t="shared" si="30"/>
        <v>0</v>
      </c>
      <c r="BH50" s="136">
        <f t="shared" si="30"/>
        <v>0</v>
      </c>
      <c r="BI50" s="137">
        <f t="shared" si="30"/>
        <v>0</v>
      </c>
      <c r="BJ50" s="138">
        <f t="shared" si="30"/>
        <v>0</v>
      </c>
      <c r="BK50" s="136">
        <f t="shared" si="30"/>
        <v>0</v>
      </c>
      <c r="BL50" s="136">
        <f t="shared" si="30"/>
        <v>0</v>
      </c>
      <c r="BM50" s="136">
        <f t="shared" si="30"/>
        <v>0</v>
      </c>
      <c r="BN50" s="137">
        <f t="shared" si="30"/>
        <v>0</v>
      </c>
      <c r="BO50" s="138">
        <f t="shared" si="30"/>
        <v>0</v>
      </c>
      <c r="BP50" s="136">
        <f t="shared" si="30"/>
        <v>0</v>
      </c>
      <c r="BQ50" s="136">
        <f t="shared" si="30"/>
        <v>0</v>
      </c>
      <c r="BR50" s="137">
        <f t="shared" si="30"/>
        <v>0</v>
      </c>
      <c r="BS50" s="138">
        <f t="shared" si="30"/>
        <v>0</v>
      </c>
      <c r="BT50" s="136">
        <f t="shared" si="30"/>
        <v>0</v>
      </c>
      <c r="BU50" s="136">
        <f t="shared" si="30"/>
        <v>0</v>
      </c>
      <c r="BV50" s="136">
        <f t="shared" si="30"/>
        <v>0</v>
      </c>
      <c r="BW50" s="137">
        <f t="shared" si="30"/>
        <v>0</v>
      </c>
      <c r="BX50" s="138">
        <f t="shared" si="30"/>
        <v>0</v>
      </c>
      <c r="BY50" s="136">
        <f t="shared" si="30"/>
        <v>0</v>
      </c>
      <c r="BZ50" s="136">
        <f t="shared" si="30"/>
        <v>0</v>
      </c>
      <c r="CA50" s="137">
        <f t="shared" si="30"/>
        <v>0</v>
      </c>
      <c r="CB50" s="135">
        <f t="shared" si="30"/>
        <v>0</v>
      </c>
      <c r="CC50" s="136">
        <f t="shared" si="30"/>
        <v>0</v>
      </c>
      <c r="CD50" s="136">
        <f t="shared" si="30"/>
        <v>0</v>
      </c>
      <c r="CE50" s="137">
        <f t="shared" si="30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25"/>
        <v>1</v>
      </c>
      <c r="K51" s="101">
        <v>0</v>
      </c>
      <c r="L51" s="132">
        <f t="shared" si="26"/>
        <v>0.1</v>
      </c>
      <c r="M51" s="132">
        <f t="shared" si="27"/>
        <v>0</v>
      </c>
      <c r="N51" s="132">
        <f t="shared" si="3"/>
        <v>-0.1</v>
      </c>
      <c r="O51" s="133" t="str">
        <f t="shared" si="28"/>
        <v>지연</v>
      </c>
      <c r="P51" s="104"/>
      <c r="Q51" s="104"/>
      <c r="R51" s="104"/>
      <c r="S51" s="104"/>
      <c r="T51" s="94"/>
      <c r="U51" s="134" t="str">
        <f t="shared" si="2"/>
        <v/>
      </c>
      <c r="V51" s="253">
        <f>NETWORKDAYS(P51,Q51,진행현황_전체!C$59:C$77)</f>
        <v>0</v>
      </c>
      <c r="W51" s="135">
        <f t="shared" si="29"/>
        <v>0</v>
      </c>
      <c r="X51" s="136">
        <f t="shared" si="29"/>
        <v>0</v>
      </c>
      <c r="Y51" s="136">
        <f t="shared" si="29"/>
        <v>0</v>
      </c>
      <c r="Z51" s="136">
        <f t="shared" si="29"/>
        <v>0</v>
      </c>
      <c r="AA51" s="137">
        <f t="shared" si="29"/>
        <v>0</v>
      </c>
      <c r="AB51" s="138">
        <f t="shared" si="29"/>
        <v>0</v>
      </c>
      <c r="AC51" s="136">
        <f t="shared" si="29"/>
        <v>0</v>
      </c>
      <c r="AD51" s="136">
        <f t="shared" si="29"/>
        <v>0</v>
      </c>
      <c r="AE51" s="137">
        <f t="shared" si="29"/>
        <v>0</v>
      </c>
      <c r="AF51" s="135">
        <f t="shared" si="29"/>
        <v>0</v>
      </c>
      <c r="AG51" s="136">
        <f t="shared" si="29"/>
        <v>0</v>
      </c>
      <c r="AH51" s="136">
        <f t="shared" si="29"/>
        <v>0</v>
      </c>
      <c r="AI51" s="137">
        <f t="shared" si="29"/>
        <v>0</v>
      </c>
      <c r="AJ51" s="135">
        <f t="shared" si="29"/>
        <v>0</v>
      </c>
      <c r="AK51" s="138">
        <f t="shared" si="29"/>
        <v>0</v>
      </c>
      <c r="AL51" s="136">
        <f t="shared" si="29"/>
        <v>0</v>
      </c>
      <c r="AM51" s="136">
        <f t="shared" si="29"/>
        <v>0</v>
      </c>
      <c r="AN51" s="194">
        <f t="shared" si="29"/>
        <v>0</v>
      </c>
      <c r="AO51" s="138">
        <f t="shared" si="29"/>
        <v>0</v>
      </c>
      <c r="AP51" s="136">
        <f t="shared" si="29"/>
        <v>0</v>
      </c>
      <c r="AQ51" s="136">
        <f t="shared" si="29"/>
        <v>0</v>
      </c>
      <c r="AR51" s="137">
        <f t="shared" si="29"/>
        <v>0</v>
      </c>
      <c r="AS51" s="135">
        <f t="shared" si="29"/>
        <v>0</v>
      </c>
      <c r="AT51" s="136">
        <f t="shared" si="29"/>
        <v>0</v>
      </c>
      <c r="AU51" s="136">
        <f t="shared" si="29"/>
        <v>0</v>
      </c>
      <c r="AV51" s="137">
        <f t="shared" si="29"/>
        <v>0</v>
      </c>
      <c r="AW51" s="135">
        <f t="shared" si="30"/>
        <v>0</v>
      </c>
      <c r="AX51" s="136">
        <f t="shared" si="30"/>
        <v>0</v>
      </c>
      <c r="AY51" s="136">
        <f t="shared" si="30"/>
        <v>0</v>
      </c>
      <c r="AZ51" s="136">
        <f t="shared" si="30"/>
        <v>0</v>
      </c>
      <c r="BA51" s="137">
        <f t="shared" si="30"/>
        <v>0</v>
      </c>
      <c r="BB51" s="138">
        <f t="shared" si="30"/>
        <v>0</v>
      </c>
      <c r="BC51" s="136">
        <f t="shared" si="30"/>
        <v>0</v>
      </c>
      <c r="BD51" s="136">
        <f t="shared" si="30"/>
        <v>0</v>
      </c>
      <c r="BE51" s="137">
        <f t="shared" si="30"/>
        <v>0</v>
      </c>
      <c r="BF51" s="135">
        <f t="shared" si="30"/>
        <v>0</v>
      </c>
      <c r="BG51" s="136">
        <f t="shared" ref="BG51:CE53" si="31">IF(OR((AND($P51&lt;=BG$7,AND($Q51&lt;=BG$8, $Q51&gt;=BG$7))),(AND(AND($P51&gt;=BG$7, $P51&lt;=BG$8),$Q51&gt;=BG$8)), AND($P51&gt;=BG$7, $Q51&lt;=BG$8), AND($P51&lt;=BG$7,$Q51&gt;=BG$8)),1,0)</f>
        <v>0</v>
      </c>
      <c r="BH51" s="136">
        <f t="shared" si="31"/>
        <v>0</v>
      </c>
      <c r="BI51" s="137">
        <f t="shared" si="31"/>
        <v>0</v>
      </c>
      <c r="BJ51" s="138">
        <f t="shared" si="31"/>
        <v>0</v>
      </c>
      <c r="BK51" s="136">
        <f t="shared" si="31"/>
        <v>0</v>
      </c>
      <c r="BL51" s="136">
        <f t="shared" si="31"/>
        <v>0</v>
      </c>
      <c r="BM51" s="136">
        <f t="shared" si="31"/>
        <v>0</v>
      </c>
      <c r="BN51" s="137">
        <f t="shared" si="31"/>
        <v>0</v>
      </c>
      <c r="BO51" s="138">
        <f t="shared" si="31"/>
        <v>0</v>
      </c>
      <c r="BP51" s="136">
        <f t="shared" si="31"/>
        <v>0</v>
      </c>
      <c r="BQ51" s="136">
        <f t="shared" si="31"/>
        <v>0</v>
      </c>
      <c r="BR51" s="137">
        <f t="shared" si="31"/>
        <v>0</v>
      </c>
      <c r="BS51" s="138">
        <f t="shared" si="31"/>
        <v>0</v>
      </c>
      <c r="BT51" s="136">
        <f t="shared" si="31"/>
        <v>0</v>
      </c>
      <c r="BU51" s="136">
        <f t="shared" si="31"/>
        <v>0</v>
      </c>
      <c r="BV51" s="136">
        <f t="shared" si="31"/>
        <v>0</v>
      </c>
      <c r="BW51" s="137">
        <f t="shared" si="31"/>
        <v>0</v>
      </c>
      <c r="BX51" s="138">
        <f t="shared" si="31"/>
        <v>0</v>
      </c>
      <c r="BY51" s="136">
        <f t="shared" si="31"/>
        <v>0</v>
      </c>
      <c r="BZ51" s="136">
        <f t="shared" si="31"/>
        <v>0</v>
      </c>
      <c r="CA51" s="137">
        <f t="shared" si="31"/>
        <v>0</v>
      </c>
      <c r="CB51" s="135">
        <f t="shared" si="31"/>
        <v>0</v>
      </c>
      <c r="CC51" s="136">
        <f t="shared" si="31"/>
        <v>0</v>
      </c>
      <c r="CD51" s="136">
        <f t="shared" si="31"/>
        <v>0</v>
      </c>
      <c r="CE51" s="137">
        <f t="shared" si="31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25"/>
        <v>1</v>
      </c>
      <c r="K52" s="101">
        <v>0</v>
      </c>
      <c r="L52" s="132">
        <f t="shared" si="26"/>
        <v>0.1</v>
      </c>
      <c r="M52" s="132">
        <f t="shared" si="27"/>
        <v>0</v>
      </c>
      <c r="N52" s="132">
        <f t="shared" si="3"/>
        <v>-0.1</v>
      </c>
      <c r="O52" s="133" t="str">
        <f t="shared" si="28"/>
        <v>지연</v>
      </c>
      <c r="P52" s="104"/>
      <c r="Q52" s="104"/>
      <c r="R52" s="104"/>
      <c r="S52" s="104"/>
      <c r="T52" s="94"/>
      <c r="U52" s="134" t="str">
        <f t="shared" si="2"/>
        <v/>
      </c>
      <c r="V52" s="253">
        <f>NETWORKDAYS(P52,Q52,진행현황_전체!C$59:C$77)</f>
        <v>0</v>
      </c>
      <c r="W52" s="135">
        <f t="shared" si="29"/>
        <v>0</v>
      </c>
      <c r="X52" s="136">
        <f t="shared" si="29"/>
        <v>0</v>
      </c>
      <c r="Y52" s="136">
        <f t="shared" si="29"/>
        <v>0</v>
      </c>
      <c r="Z52" s="136">
        <f t="shared" si="29"/>
        <v>0</v>
      </c>
      <c r="AA52" s="137">
        <f t="shared" si="29"/>
        <v>0</v>
      </c>
      <c r="AB52" s="138">
        <f t="shared" si="29"/>
        <v>0</v>
      </c>
      <c r="AC52" s="136">
        <f t="shared" si="29"/>
        <v>0</v>
      </c>
      <c r="AD52" s="136">
        <f t="shared" si="29"/>
        <v>0</v>
      </c>
      <c r="AE52" s="137">
        <f t="shared" si="29"/>
        <v>0</v>
      </c>
      <c r="AF52" s="135">
        <f t="shared" si="29"/>
        <v>0</v>
      </c>
      <c r="AG52" s="136">
        <f t="shared" si="29"/>
        <v>0</v>
      </c>
      <c r="AH52" s="136">
        <f t="shared" si="29"/>
        <v>0</v>
      </c>
      <c r="AI52" s="137">
        <f t="shared" si="29"/>
        <v>0</v>
      </c>
      <c r="AJ52" s="135">
        <f t="shared" si="29"/>
        <v>0</v>
      </c>
      <c r="AK52" s="138">
        <f t="shared" si="29"/>
        <v>0</v>
      </c>
      <c r="AL52" s="136">
        <f t="shared" si="29"/>
        <v>0</v>
      </c>
      <c r="AM52" s="136">
        <f t="shared" si="29"/>
        <v>0</v>
      </c>
      <c r="AN52" s="194">
        <f t="shared" si="29"/>
        <v>0</v>
      </c>
      <c r="AO52" s="138">
        <f t="shared" si="29"/>
        <v>0</v>
      </c>
      <c r="AP52" s="136">
        <f t="shared" si="29"/>
        <v>0</v>
      </c>
      <c r="AQ52" s="136">
        <f t="shared" si="29"/>
        <v>0</v>
      </c>
      <c r="AR52" s="137">
        <f t="shared" si="29"/>
        <v>0</v>
      </c>
      <c r="AS52" s="135">
        <f t="shared" si="29"/>
        <v>0</v>
      </c>
      <c r="AT52" s="136">
        <f t="shared" si="29"/>
        <v>0</v>
      </c>
      <c r="AU52" s="136">
        <f t="shared" si="29"/>
        <v>0</v>
      </c>
      <c r="AV52" s="137">
        <f t="shared" si="29"/>
        <v>0</v>
      </c>
      <c r="AW52" s="135">
        <f t="shared" ref="AW52:BS53" si="32">IF(OR((AND($P52&lt;=AW$7,AND($Q52&lt;=AW$8, $Q52&gt;=AW$7))),(AND(AND($P52&gt;=AW$7, $P52&lt;=AW$8),$Q52&gt;=AW$8)), AND($P52&gt;=AW$7, $Q52&lt;=AW$8), AND($P52&lt;=AW$7,$Q52&gt;=AW$8)),1,0)</f>
        <v>0</v>
      </c>
      <c r="AX52" s="136">
        <f t="shared" si="32"/>
        <v>0</v>
      </c>
      <c r="AY52" s="136">
        <f t="shared" si="32"/>
        <v>0</v>
      </c>
      <c r="AZ52" s="136">
        <f t="shared" si="32"/>
        <v>0</v>
      </c>
      <c r="BA52" s="137">
        <f t="shared" si="32"/>
        <v>0</v>
      </c>
      <c r="BB52" s="138">
        <f t="shared" si="32"/>
        <v>0</v>
      </c>
      <c r="BC52" s="136">
        <f t="shared" si="32"/>
        <v>0</v>
      </c>
      <c r="BD52" s="136">
        <f t="shared" si="32"/>
        <v>0</v>
      </c>
      <c r="BE52" s="137">
        <f t="shared" si="32"/>
        <v>0</v>
      </c>
      <c r="BF52" s="135">
        <f t="shared" si="32"/>
        <v>0</v>
      </c>
      <c r="BG52" s="136">
        <f t="shared" si="32"/>
        <v>0</v>
      </c>
      <c r="BH52" s="136">
        <f t="shared" si="32"/>
        <v>0</v>
      </c>
      <c r="BI52" s="137">
        <f t="shared" si="32"/>
        <v>0</v>
      </c>
      <c r="BJ52" s="138">
        <f t="shared" si="32"/>
        <v>0</v>
      </c>
      <c r="BK52" s="136">
        <f t="shared" si="32"/>
        <v>0</v>
      </c>
      <c r="BL52" s="136">
        <f t="shared" si="32"/>
        <v>0</v>
      </c>
      <c r="BM52" s="136">
        <f t="shared" si="32"/>
        <v>0</v>
      </c>
      <c r="BN52" s="137">
        <f t="shared" si="32"/>
        <v>0</v>
      </c>
      <c r="BO52" s="138">
        <f t="shared" si="32"/>
        <v>0</v>
      </c>
      <c r="BP52" s="136">
        <f t="shared" si="32"/>
        <v>0</v>
      </c>
      <c r="BQ52" s="136">
        <f t="shared" si="32"/>
        <v>0</v>
      </c>
      <c r="BR52" s="137">
        <f t="shared" si="31"/>
        <v>0</v>
      </c>
      <c r="BS52" s="138">
        <f t="shared" si="32"/>
        <v>0</v>
      </c>
      <c r="BT52" s="136">
        <f t="shared" si="31"/>
        <v>0</v>
      </c>
      <c r="BU52" s="136">
        <f t="shared" si="31"/>
        <v>0</v>
      </c>
      <c r="BV52" s="136">
        <f t="shared" si="31"/>
        <v>0</v>
      </c>
      <c r="BW52" s="137">
        <f t="shared" si="31"/>
        <v>0</v>
      </c>
      <c r="BX52" s="138">
        <f t="shared" si="31"/>
        <v>0</v>
      </c>
      <c r="BY52" s="136">
        <f t="shared" si="31"/>
        <v>0</v>
      </c>
      <c r="BZ52" s="136">
        <f t="shared" si="31"/>
        <v>0</v>
      </c>
      <c r="CA52" s="137">
        <f t="shared" si="31"/>
        <v>0</v>
      </c>
      <c r="CB52" s="135">
        <f t="shared" si="31"/>
        <v>0</v>
      </c>
      <c r="CC52" s="136">
        <f t="shared" si="31"/>
        <v>0</v>
      </c>
      <c r="CD52" s="136">
        <f t="shared" si="31"/>
        <v>0</v>
      </c>
      <c r="CE52" s="137">
        <f t="shared" si="31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25"/>
        <v>1</v>
      </c>
      <c r="K53" s="101">
        <v>0</v>
      </c>
      <c r="L53" s="132">
        <f t="shared" si="26"/>
        <v>0.1</v>
      </c>
      <c r="M53" s="132">
        <f t="shared" si="27"/>
        <v>0</v>
      </c>
      <c r="N53" s="132">
        <f t="shared" si="3"/>
        <v>-0.1</v>
      </c>
      <c r="O53" s="133" t="str">
        <f t="shared" si="28"/>
        <v>지연</v>
      </c>
      <c r="P53" s="104"/>
      <c r="Q53" s="104"/>
      <c r="R53" s="104"/>
      <c r="S53" s="104"/>
      <c r="T53" s="94"/>
      <c r="U53" s="134" t="str">
        <f t="shared" si="2"/>
        <v/>
      </c>
      <c r="V53" s="253">
        <f>NETWORKDAYS(P53,Q53,진행현황_전체!C$59:C$77)</f>
        <v>0</v>
      </c>
      <c r="W53" s="135">
        <f t="shared" si="29"/>
        <v>0</v>
      </c>
      <c r="X53" s="136">
        <f t="shared" si="29"/>
        <v>0</v>
      </c>
      <c r="Y53" s="136">
        <f t="shared" si="29"/>
        <v>0</v>
      </c>
      <c r="Z53" s="136">
        <f t="shared" si="29"/>
        <v>0</v>
      </c>
      <c r="AA53" s="137">
        <f t="shared" si="29"/>
        <v>0</v>
      </c>
      <c r="AB53" s="138">
        <f t="shared" si="29"/>
        <v>0</v>
      </c>
      <c r="AC53" s="136">
        <f t="shared" si="29"/>
        <v>0</v>
      </c>
      <c r="AD53" s="136">
        <f t="shared" si="29"/>
        <v>0</v>
      </c>
      <c r="AE53" s="137">
        <f t="shared" si="29"/>
        <v>0</v>
      </c>
      <c r="AF53" s="135">
        <f t="shared" si="29"/>
        <v>0</v>
      </c>
      <c r="AG53" s="136">
        <f t="shared" si="29"/>
        <v>0</v>
      </c>
      <c r="AH53" s="136">
        <f t="shared" si="29"/>
        <v>0</v>
      </c>
      <c r="AI53" s="137">
        <f t="shared" si="29"/>
        <v>0</v>
      </c>
      <c r="AJ53" s="135">
        <f t="shared" si="29"/>
        <v>0</v>
      </c>
      <c r="AK53" s="138">
        <f t="shared" si="29"/>
        <v>0</v>
      </c>
      <c r="AL53" s="136">
        <f t="shared" si="29"/>
        <v>0</v>
      </c>
      <c r="AM53" s="136">
        <f t="shared" si="29"/>
        <v>0</v>
      </c>
      <c r="AN53" s="194">
        <f t="shared" si="29"/>
        <v>0</v>
      </c>
      <c r="AO53" s="138">
        <f t="shared" si="29"/>
        <v>0</v>
      </c>
      <c r="AP53" s="136">
        <f t="shared" si="29"/>
        <v>0</v>
      </c>
      <c r="AQ53" s="136">
        <f t="shared" si="29"/>
        <v>0</v>
      </c>
      <c r="AR53" s="137">
        <f t="shared" ref="AR53:AV53" si="33">IF(OR((AND($P53&lt;=AR$7,AND($Q53&lt;=AR$8, $Q53&gt;=AR$7))),(AND(AND($P53&gt;=AR$7, $P53&lt;=AR$8),$Q53&gt;=AR$8)), AND($P53&gt;=AR$7, $Q53&lt;=AR$8), AND($P53&lt;=AR$7,$Q53&gt;=AR$8)),1,0)</f>
        <v>0</v>
      </c>
      <c r="AS53" s="135">
        <f t="shared" si="33"/>
        <v>0</v>
      </c>
      <c r="AT53" s="136">
        <f t="shared" si="33"/>
        <v>0</v>
      </c>
      <c r="AU53" s="136">
        <f t="shared" si="33"/>
        <v>0</v>
      </c>
      <c r="AV53" s="137">
        <f t="shared" si="33"/>
        <v>0</v>
      </c>
      <c r="AW53" s="135">
        <f t="shared" si="32"/>
        <v>0</v>
      </c>
      <c r="AX53" s="136">
        <f t="shared" si="32"/>
        <v>0</v>
      </c>
      <c r="AY53" s="136">
        <f t="shared" si="32"/>
        <v>0</v>
      </c>
      <c r="AZ53" s="136">
        <f t="shared" si="32"/>
        <v>0</v>
      </c>
      <c r="BA53" s="137">
        <f t="shared" si="32"/>
        <v>0</v>
      </c>
      <c r="BB53" s="138">
        <f t="shared" si="32"/>
        <v>0</v>
      </c>
      <c r="BC53" s="136">
        <f t="shared" si="32"/>
        <v>0</v>
      </c>
      <c r="BD53" s="136">
        <f t="shared" si="32"/>
        <v>0</v>
      </c>
      <c r="BE53" s="137">
        <f t="shared" si="32"/>
        <v>0</v>
      </c>
      <c r="BF53" s="135">
        <f t="shared" si="32"/>
        <v>0</v>
      </c>
      <c r="BG53" s="136">
        <f t="shared" si="32"/>
        <v>0</v>
      </c>
      <c r="BH53" s="136">
        <f t="shared" si="32"/>
        <v>0</v>
      </c>
      <c r="BI53" s="137">
        <f t="shared" si="32"/>
        <v>0</v>
      </c>
      <c r="BJ53" s="138">
        <f t="shared" si="32"/>
        <v>0</v>
      </c>
      <c r="BK53" s="136">
        <f t="shared" si="32"/>
        <v>0</v>
      </c>
      <c r="BL53" s="136">
        <f t="shared" si="32"/>
        <v>0</v>
      </c>
      <c r="BM53" s="136">
        <f t="shared" si="32"/>
        <v>0</v>
      </c>
      <c r="BN53" s="137">
        <f t="shared" si="32"/>
        <v>0</v>
      </c>
      <c r="BO53" s="138">
        <f t="shared" si="32"/>
        <v>0</v>
      </c>
      <c r="BP53" s="136">
        <f t="shared" si="32"/>
        <v>0</v>
      </c>
      <c r="BQ53" s="136">
        <f t="shared" si="32"/>
        <v>0</v>
      </c>
      <c r="BR53" s="137">
        <f t="shared" si="31"/>
        <v>0</v>
      </c>
      <c r="BS53" s="138">
        <f t="shared" si="31"/>
        <v>0</v>
      </c>
      <c r="BT53" s="136">
        <f t="shared" si="31"/>
        <v>0</v>
      </c>
      <c r="BU53" s="136">
        <f t="shared" si="31"/>
        <v>0</v>
      </c>
      <c r="BV53" s="136">
        <f t="shared" si="31"/>
        <v>0</v>
      </c>
      <c r="BW53" s="137">
        <f t="shared" si="31"/>
        <v>0</v>
      </c>
      <c r="BX53" s="138">
        <f t="shared" si="31"/>
        <v>0</v>
      </c>
      <c r="BY53" s="136">
        <f t="shared" si="31"/>
        <v>0</v>
      </c>
      <c r="BZ53" s="136">
        <f t="shared" si="31"/>
        <v>0</v>
      </c>
      <c r="CA53" s="137">
        <f t="shared" si="31"/>
        <v>0</v>
      </c>
      <c r="CB53" s="135">
        <f t="shared" si="31"/>
        <v>0</v>
      </c>
      <c r="CC53" s="136">
        <f t="shared" si="31"/>
        <v>0</v>
      </c>
      <c r="CD53" s="136">
        <f t="shared" si="31"/>
        <v>0</v>
      </c>
      <c r="CE53" s="137">
        <f t="shared" si="31"/>
        <v>0</v>
      </c>
    </row>
    <row r="54" spans="1:83" ht="17.25" thickBot="1">
      <c r="A54" s="139" t="s">
        <v>78</v>
      </c>
      <c r="B54" s="114" t="str">
        <f>진행현황_10.범위명!F15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진행현황_10.범위명!F16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2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34">IF(CheckDay&gt;=Q55,1,IF(CheckDay&lt;P55, 0,DAYS360(P55,CheckDay+1)/Y55))</f>
        <v>1</v>
      </c>
      <c r="K55" s="101">
        <v>0</v>
      </c>
      <c r="L55" s="132">
        <f t="shared" ref="L55:L64" si="35">I55*J55/100</f>
        <v>0.1</v>
      </c>
      <c r="M55" s="132">
        <f t="shared" ref="M55:M64" si="36">I55*K55/100</f>
        <v>0</v>
      </c>
      <c r="N55" s="132">
        <f t="shared" si="3"/>
        <v>-0.1</v>
      </c>
      <c r="O55" s="133" t="str">
        <f t="shared" ref="O55:O64" si="37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2"/>
        <v/>
      </c>
      <c r="V55" s="253">
        <f>NETWORKDAYS(P55,Q55,진행현황_전체!C$59:C$77)</f>
        <v>0</v>
      </c>
      <c r="W55" s="135">
        <f t="shared" ref="W55:AQ64" si="38">IF(OR((AND($P55&lt;=W$7,AND($Q55&lt;=W$8, $Q55&gt;=W$7))),(AND(AND($P55&gt;=W$7, $P55&lt;=W$8),$Q55&gt;=W$8)), AND($P55&gt;=W$7, $Q55&lt;=W$8), AND($P55&lt;=W$7,$Q55&gt;=W$8)),1,0)</f>
        <v>0</v>
      </c>
      <c r="X55" s="136">
        <f t="shared" si="38"/>
        <v>0</v>
      </c>
      <c r="Y55" s="136">
        <f t="shared" si="38"/>
        <v>0</v>
      </c>
      <c r="Z55" s="136">
        <f t="shared" si="38"/>
        <v>0</v>
      </c>
      <c r="AA55" s="137">
        <f t="shared" si="38"/>
        <v>0</v>
      </c>
      <c r="AB55" s="138">
        <f t="shared" si="38"/>
        <v>0</v>
      </c>
      <c r="AC55" s="136">
        <f t="shared" si="38"/>
        <v>0</v>
      </c>
      <c r="AD55" s="136">
        <f t="shared" si="38"/>
        <v>0</v>
      </c>
      <c r="AE55" s="137">
        <f t="shared" si="38"/>
        <v>0</v>
      </c>
      <c r="AF55" s="135">
        <f t="shared" si="38"/>
        <v>0</v>
      </c>
      <c r="AG55" s="136">
        <f t="shared" si="38"/>
        <v>0</v>
      </c>
      <c r="AH55" s="136">
        <f t="shared" si="38"/>
        <v>0</v>
      </c>
      <c r="AI55" s="137">
        <f t="shared" si="38"/>
        <v>0</v>
      </c>
      <c r="AJ55" s="135">
        <f t="shared" si="38"/>
        <v>0</v>
      </c>
      <c r="AK55" s="138">
        <f t="shared" si="38"/>
        <v>0</v>
      </c>
      <c r="AL55" s="136">
        <f t="shared" si="38"/>
        <v>0</v>
      </c>
      <c r="AM55" s="136">
        <f t="shared" si="38"/>
        <v>0</v>
      </c>
      <c r="AN55" s="194">
        <f t="shared" si="38"/>
        <v>0</v>
      </c>
      <c r="AO55" s="138">
        <f t="shared" si="38"/>
        <v>0</v>
      </c>
      <c r="AP55" s="136">
        <f t="shared" si="38"/>
        <v>0</v>
      </c>
      <c r="AQ55" s="136">
        <f t="shared" si="38"/>
        <v>0</v>
      </c>
      <c r="AR55" s="137">
        <f t="shared" ref="AR55:BG64" si="39">IF(OR((AND($P55&lt;=AR$7,AND($Q55&lt;=AR$8, $Q55&gt;=AR$7))),(AND(AND($P55&gt;=AR$7, $P55&lt;=AR$8),$Q55&gt;=AR$8)), AND($P55&gt;=AR$7, $Q55&lt;=AR$8), AND($P55&lt;=AR$7,$Q55&gt;=AR$8)),1,0)</f>
        <v>0</v>
      </c>
      <c r="AS55" s="135">
        <f t="shared" si="39"/>
        <v>0</v>
      </c>
      <c r="AT55" s="136">
        <f t="shared" si="39"/>
        <v>0</v>
      </c>
      <c r="AU55" s="136">
        <f t="shared" si="39"/>
        <v>0</v>
      </c>
      <c r="AV55" s="137">
        <f t="shared" si="39"/>
        <v>0</v>
      </c>
      <c r="AW55" s="135">
        <f t="shared" si="39"/>
        <v>0</v>
      </c>
      <c r="AX55" s="136">
        <f t="shared" si="39"/>
        <v>0</v>
      </c>
      <c r="AY55" s="136">
        <f t="shared" si="39"/>
        <v>0</v>
      </c>
      <c r="AZ55" s="136">
        <f t="shared" si="39"/>
        <v>0</v>
      </c>
      <c r="BA55" s="137">
        <f t="shared" si="39"/>
        <v>0</v>
      </c>
      <c r="BB55" s="138">
        <f t="shared" si="39"/>
        <v>0</v>
      </c>
      <c r="BC55" s="136">
        <f t="shared" si="39"/>
        <v>0</v>
      </c>
      <c r="BD55" s="136">
        <f t="shared" si="39"/>
        <v>0</v>
      </c>
      <c r="BE55" s="137">
        <f t="shared" si="39"/>
        <v>0</v>
      </c>
      <c r="BF55" s="135">
        <f t="shared" si="39"/>
        <v>0</v>
      </c>
      <c r="BG55" s="136">
        <f t="shared" si="39"/>
        <v>0</v>
      </c>
      <c r="BH55" s="136">
        <f t="shared" ref="BH55:CE64" si="40">IF(OR((AND($P55&lt;=BH$7,AND($Q55&lt;=BH$8, $Q55&gt;=BH$7))),(AND(AND($P55&gt;=BH$7, $P55&lt;=BH$8),$Q55&gt;=BH$8)), AND($P55&gt;=BH$7, $Q55&lt;=BH$8), AND($P55&lt;=BH$7,$Q55&gt;=BH$8)),1,0)</f>
        <v>0</v>
      </c>
      <c r="BI55" s="137">
        <f t="shared" si="40"/>
        <v>0</v>
      </c>
      <c r="BJ55" s="138">
        <f t="shared" si="40"/>
        <v>0</v>
      </c>
      <c r="BK55" s="136">
        <f t="shared" si="40"/>
        <v>0</v>
      </c>
      <c r="BL55" s="136">
        <f t="shared" si="40"/>
        <v>0</v>
      </c>
      <c r="BM55" s="136">
        <f t="shared" si="40"/>
        <v>0</v>
      </c>
      <c r="BN55" s="137">
        <f t="shared" si="40"/>
        <v>0</v>
      </c>
      <c r="BO55" s="138">
        <f t="shared" si="40"/>
        <v>0</v>
      </c>
      <c r="BP55" s="136">
        <f t="shared" si="40"/>
        <v>0</v>
      </c>
      <c r="BQ55" s="136">
        <f t="shared" si="40"/>
        <v>0</v>
      </c>
      <c r="BR55" s="137">
        <f t="shared" si="40"/>
        <v>0</v>
      </c>
      <c r="BS55" s="138">
        <f t="shared" si="40"/>
        <v>0</v>
      </c>
      <c r="BT55" s="136">
        <f t="shared" si="40"/>
        <v>0</v>
      </c>
      <c r="BU55" s="136">
        <f t="shared" si="40"/>
        <v>0</v>
      </c>
      <c r="BV55" s="136">
        <f t="shared" si="40"/>
        <v>0</v>
      </c>
      <c r="BW55" s="137">
        <f t="shared" si="40"/>
        <v>0</v>
      </c>
      <c r="BX55" s="138">
        <f t="shared" si="40"/>
        <v>0</v>
      </c>
      <c r="BY55" s="136">
        <f t="shared" si="40"/>
        <v>0</v>
      </c>
      <c r="BZ55" s="136">
        <f t="shared" si="40"/>
        <v>0</v>
      </c>
      <c r="CA55" s="137">
        <f t="shared" si="40"/>
        <v>0</v>
      </c>
      <c r="CB55" s="135">
        <f t="shared" si="40"/>
        <v>0</v>
      </c>
      <c r="CC55" s="136">
        <f t="shared" si="40"/>
        <v>0</v>
      </c>
      <c r="CD55" s="136">
        <f t="shared" si="40"/>
        <v>0</v>
      </c>
      <c r="CE55" s="137">
        <f t="shared" si="40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34"/>
        <v>1</v>
      </c>
      <c r="K56" s="101">
        <v>0</v>
      </c>
      <c r="L56" s="132">
        <f t="shared" si="35"/>
        <v>0.1</v>
      </c>
      <c r="M56" s="132">
        <f t="shared" si="36"/>
        <v>0</v>
      </c>
      <c r="N56" s="132">
        <f t="shared" si="3"/>
        <v>-0.1</v>
      </c>
      <c r="O56" s="133" t="str">
        <f t="shared" si="37"/>
        <v>지연</v>
      </c>
      <c r="P56" s="104"/>
      <c r="Q56" s="104"/>
      <c r="R56" s="104"/>
      <c r="S56" s="104"/>
      <c r="T56" s="94"/>
      <c r="U56" s="134" t="str">
        <f t="shared" si="2"/>
        <v/>
      </c>
      <c r="V56" s="253">
        <f>NETWORKDAYS(P56,Q56,진행현황_전체!C$59:C$77)</f>
        <v>0</v>
      </c>
      <c r="W56" s="135">
        <f t="shared" si="38"/>
        <v>0</v>
      </c>
      <c r="X56" s="136">
        <f t="shared" si="38"/>
        <v>0</v>
      </c>
      <c r="Y56" s="136">
        <f t="shared" si="38"/>
        <v>0</v>
      </c>
      <c r="Z56" s="136">
        <f t="shared" si="38"/>
        <v>0</v>
      </c>
      <c r="AA56" s="137">
        <f t="shared" si="38"/>
        <v>0</v>
      </c>
      <c r="AB56" s="138">
        <f t="shared" si="38"/>
        <v>0</v>
      </c>
      <c r="AC56" s="136">
        <f t="shared" si="38"/>
        <v>0</v>
      </c>
      <c r="AD56" s="136">
        <f t="shared" si="38"/>
        <v>0</v>
      </c>
      <c r="AE56" s="137">
        <f t="shared" si="38"/>
        <v>0</v>
      </c>
      <c r="AF56" s="135">
        <f t="shared" si="38"/>
        <v>0</v>
      </c>
      <c r="AG56" s="136">
        <f t="shared" si="38"/>
        <v>0</v>
      </c>
      <c r="AH56" s="136">
        <f t="shared" si="38"/>
        <v>0</v>
      </c>
      <c r="AI56" s="137">
        <f t="shared" si="38"/>
        <v>0</v>
      </c>
      <c r="AJ56" s="135">
        <f t="shared" si="38"/>
        <v>0</v>
      </c>
      <c r="AK56" s="138">
        <f t="shared" si="38"/>
        <v>0</v>
      </c>
      <c r="AL56" s="136">
        <f t="shared" si="38"/>
        <v>0</v>
      </c>
      <c r="AM56" s="136">
        <f t="shared" si="38"/>
        <v>0</v>
      </c>
      <c r="AN56" s="194">
        <f t="shared" si="38"/>
        <v>0</v>
      </c>
      <c r="AO56" s="138">
        <f t="shared" si="38"/>
        <v>0</v>
      </c>
      <c r="AP56" s="136">
        <f t="shared" si="38"/>
        <v>0</v>
      </c>
      <c r="AQ56" s="136">
        <f t="shared" si="38"/>
        <v>0</v>
      </c>
      <c r="AR56" s="137">
        <f t="shared" si="39"/>
        <v>0</v>
      </c>
      <c r="AS56" s="135">
        <f t="shared" si="39"/>
        <v>0</v>
      </c>
      <c r="AT56" s="136">
        <f t="shared" si="39"/>
        <v>0</v>
      </c>
      <c r="AU56" s="136">
        <f t="shared" si="39"/>
        <v>0</v>
      </c>
      <c r="AV56" s="137">
        <f t="shared" si="39"/>
        <v>0</v>
      </c>
      <c r="AW56" s="135">
        <f t="shared" si="39"/>
        <v>0</v>
      </c>
      <c r="AX56" s="136">
        <f t="shared" si="39"/>
        <v>0</v>
      </c>
      <c r="AY56" s="136">
        <f t="shared" si="39"/>
        <v>0</v>
      </c>
      <c r="AZ56" s="136">
        <f t="shared" si="39"/>
        <v>0</v>
      </c>
      <c r="BA56" s="137">
        <f t="shared" si="39"/>
        <v>0</v>
      </c>
      <c r="BB56" s="138">
        <f t="shared" si="39"/>
        <v>0</v>
      </c>
      <c r="BC56" s="136">
        <f t="shared" si="39"/>
        <v>0</v>
      </c>
      <c r="BD56" s="136">
        <f t="shared" si="39"/>
        <v>0</v>
      </c>
      <c r="BE56" s="137">
        <f t="shared" si="39"/>
        <v>0</v>
      </c>
      <c r="BF56" s="135">
        <f t="shared" si="39"/>
        <v>0</v>
      </c>
      <c r="BG56" s="136">
        <f t="shared" si="39"/>
        <v>0</v>
      </c>
      <c r="BH56" s="136">
        <f t="shared" si="40"/>
        <v>0</v>
      </c>
      <c r="BI56" s="137">
        <f t="shared" si="40"/>
        <v>0</v>
      </c>
      <c r="BJ56" s="138">
        <f t="shared" si="40"/>
        <v>0</v>
      </c>
      <c r="BK56" s="136">
        <f t="shared" si="40"/>
        <v>0</v>
      </c>
      <c r="BL56" s="136">
        <f t="shared" si="40"/>
        <v>0</v>
      </c>
      <c r="BM56" s="136">
        <f t="shared" si="40"/>
        <v>0</v>
      </c>
      <c r="BN56" s="137">
        <f t="shared" si="40"/>
        <v>0</v>
      </c>
      <c r="BO56" s="138">
        <f t="shared" si="40"/>
        <v>0</v>
      </c>
      <c r="BP56" s="136">
        <f t="shared" si="40"/>
        <v>0</v>
      </c>
      <c r="BQ56" s="136">
        <f t="shared" si="40"/>
        <v>0</v>
      </c>
      <c r="BR56" s="137">
        <f t="shared" si="40"/>
        <v>0</v>
      </c>
      <c r="BS56" s="138">
        <f t="shared" si="40"/>
        <v>0</v>
      </c>
      <c r="BT56" s="136">
        <f t="shared" si="40"/>
        <v>0</v>
      </c>
      <c r="BU56" s="136">
        <f t="shared" si="40"/>
        <v>0</v>
      </c>
      <c r="BV56" s="136">
        <f t="shared" si="40"/>
        <v>0</v>
      </c>
      <c r="BW56" s="137">
        <f t="shared" si="40"/>
        <v>0</v>
      </c>
      <c r="BX56" s="138">
        <f t="shared" si="40"/>
        <v>0</v>
      </c>
      <c r="BY56" s="136">
        <f t="shared" si="40"/>
        <v>0</v>
      </c>
      <c r="BZ56" s="136">
        <f t="shared" si="40"/>
        <v>0</v>
      </c>
      <c r="CA56" s="137">
        <f t="shared" si="40"/>
        <v>0</v>
      </c>
      <c r="CB56" s="135">
        <f t="shared" si="40"/>
        <v>0</v>
      </c>
      <c r="CC56" s="136">
        <f t="shared" si="40"/>
        <v>0</v>
      </c>
      <c r="CD56" s="136">
        <f t="shared" si="40"/>
        <v>0</v>
      </c>
      <c r="CE56" s="137">
        <f t="shared" si="40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34"/>
        <v>1</v>
      </c>
      <c r="K57" s="101">
        <v>0</v>
      </c>
      <c r="L57" s="132">
        <f t="shared" si="35"/>
        <v>0.1</v>
      </c>
      <c r="M57" s="132">
        <f t="shared" si="36"/>
        <v>0</v>
      </c>
      <c r="N57" s="132">
        <f t="shared" si="3"/>
        <v>-0.1</v>
      </c>
      <c r="O57" s="133" t="str">
        <f t="shared" si="37"/>
        <v>지연</v>
      </c>
      <c r="P57" s="104"/>
      <c r="Q57" s="104"/>
      <c r="R57" s="104"/>
      <c r="S57" s="104"/>
      <c r="T57" s="94"/>
      <c r="U57" s="134" t="str">
        <f t="shared" si="2"/>
        <v/>
      </c>
      <c r="V57" s="253">
        <f>NETWORKDAYS(P57,Q57,진행현황_전체!C$59:C$77)</f>
        <v>0</v>
      </c>
      <c r="W57" s="135">
        <f t="shared" si="38"/>
        <v>0</v>
      </c>
      <c r="X57" s="136">
        <f t="shared" si="38"/>
        <v>0</v>
      </c>
      <c r="Y57" s="136">
        <f t="shared" si="38"/>
        <v>0</v>
      </c>
      <c r="Z57" s="136">
        <f t="shared" si="38"/>
        <v>0</v>
      </c>
      <c r="AA57" s="137">
        <f t="shared" si="38"/>
        <v>0</v>
      </c>
      <c r="AB57" s="138">
        <f t="shared" si="38"/>
        <v>0</v>
      </c>
      <c r="AC57" s="136">
        <f t="shared" si="38"/>
        <v>0</v>
      </c>
      <c r="AD57" s="136">
        <f t="shared" si="38"/>
        <v>0</v>
      </c>
      <c r="AE57" s="137">
        <f t="shared" si="38"/>
        <v>0</v>
      </c>
      <c r="AF57" s="135">
        <f t="shared" si="38"/>
        <v>0</v>
      </c>
      <c r="AG57" s="136">
        <f t="shared" si="38"/>
        <v>0</v>
      </c>
      <c r="AH57" s="136">
        <f t="shared" si="38"/>
        <v>0</v>
      </c>
      <c r="AI57" s="137">
        <f t="shared" si="38"/>
        <v>0</v>
      </c>
      <c r="AJ57" s="135">
        <f t="shared" si="38"/>
        <v>0</v>
      </c>
      <c r="AK57" s="138">
        <f t="shared" si="38"/>
        <v>0</v>
      </c>
      <c r="AL57" s="136">
        <f t="shared" si="38"/>
        <v>0</v>
      </c>
      <c r="AM57" s="136">
        <f t="shared" si="38"/>
        <v>0</v>
      </c>
      <c r="AN57" s="194">
        <f t="shared" si="38"/>
        <v>0</v>
      </c>
      <c r="AO57" s="138">
        <f t="shared" si="38"/>
        <v>0</v>
      </c>
      <c r="AP57" s="136">
        <f t="shared" si="38"/>
        <v>0</v>
      </c>
      <c r="AQ57" s="136">
        <f t="shared" si="38"/>
        <v>0</v>
      </c>
      <c r="AR57" s="137">
        <f t="shared" si="39"/>
        <v>0</v>
      </c>
      <c r="AS57" s="135">
        <f t="shared" si="39"/>
        <v>0</v>
      </c>
      <c r="AT57" s="136">
        <f t="shared" si="39"/>
        <v>0</v>
      </c>
      <c r="AU57" s="136">
        <f t="shared" si="39"/>
        <v>0</v>
      </c>
      <c r="AV57" s="137">
        <f t="shared" si="39"/>
        <v>0</v>
      </c>
      <c r="AW57" s="135">
        <f t="shared" si="39"/>
        <v>0</v>
      </c>
      <c r="AX57" s="136">
        <f t="shared" si="39"/>
        <v>0</v>
      </c>
      <c r="AY57" s="136">
        <f t="shared" si="39"/>
        <v>0</v>
      </c>
      <c r="AZ57" s="136">
        <f t="shared" si="39"/>
        <v>0</v>
      </c>
      <c r="BA57" s="137">
        <f t="shared" si="39"/>
        <v>0</v>
      </c>
      <c r="BB57" s="138">
        <f t="shared" si="39"/>
        <v>0</v>
      </c>
      <c r="BC57" s="136">
        <f t="shared" si="39"/>
        <v>0</v>
      </c>
      <c r="BD57" s="136">
        <f t="shared" si="39"/>
        <v>0</v>
      </c>
      <c r="BE57" s="137">
        <f t="shared" si="39"/>
        <v>0</v>
      </c>
      <c r="BF57" s="135">
        <f t="shared" si="39"/>
        <v>0</v>
      </c>
      <c r="BG57" s="136">
        <f t="shared" si="39"/>
        <v>0</v>
      </c>
      <c r="BH57" s="136">
        <f t="shared" si="40"/>
        <v>0</v>
      </c>
      <c r="BI57" s="137">
        <f t="shared" si="40"/>
        <v>0</v>
      </c>
      <c r="BJ57" s="138">
        <f t="shared" si="40"/>
        <v>0</v>
      </c>
      <c r="BK57" s="136">
        <f t="shared" si="40"/>
        <v>0</v>
      </c>
      <c r="BL57" s="136">
        <f t="shared" si="40"/>
        <v>0</v>
      </c>
      <c r="BM57" s="136">
        <f t="shared" si="40"/>
        <v>0</v>
      </c>
      <c r="BN57" s="137">
        <f t="shared" si="40"/>
        <v>0</v>
      </c>
      <c r="BO57" s="138">
        <f t="shared" si="40"/>
        <v>0</v>
      </c>
      <c r="BP57" s="136">
        <f t="shared" si="40"/>
        <v>0</v>
      </c>
      <c r="BQ57" s="136">
        <f t="shared" si="40"/>
        <v>0</v>
      </c>
      <c r="BR57" s="137">
        <f t="shared" si="40"/>
        <v>0</v>
      </c>
      <c r="BS57" s="138">
        <f t="shared" si="40"/>
        <v>0</v>
      </c>
      <c r="BT57" s="136">
        <f t="shared" si="40"/>
        <v>0</v>
      </c>
      <c r="BU57" s="136">
        <f t="shared" si="40"/>
        <v>0</v>
      </c>
      <c r="BV57" s="136">
        <f t="shared" si="40"/>
        <v>0</v>
      </c>
      <c r="BW57" s="137">
        <f t="shared" si="40"/>
        <v>0</v>
      </c>
      <c r="BX57" s="138">
        <f t="shared" si="40"/>
        <v>0</v>
      </c>
      <c r="BY57" s="136">
        <f t="shared" si="40"/>
        <v>0</v>
      </c>
      <c r="BZ57" s="136">
        <f t="shared" si="40"/>
        <v>0</v>
      </c>
      <c r="CA57" s="137">
        <f t="shared" si="40"/>
        <v>0</v>
      </c>
      <c r="CB57" s="135">
        <f t="shared" si="40"/>
        <v>0</v>
      </c>
      <c r="CC57" s="136">
        <f t="shared" si="40"/>
        <v>0</v>
      </c>
      <c r="CD57" s="136">
        <f t="shared" si="40"/>
        <v>0</v>
      </c>
      <c r="CE57" s="137">
        <f t="shared" si="40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34"/>
        <v>1</v>
      </c>
      <c r="K58" s="101">
        <v>0</v>
      </c>
      <c r="L58" s="132">
        <f t="shared" si="35"/>
        <v>0.1</v>
      </c>
      <c r="M58" s="132">
        <f t="shared" si="36"/>
        <v>0</v>
      </c>
      <c r="N58" s="132">
        <f t="shared" si="3"/>
        <v>-0.1</v>
      </c>
      <c r="O58" s="133" t="str">
        <f t="shared" si="37"/>
        <v>지연</v>
      </c>
      <c r="P58" s="104"/>
      <c r="Q58" s="104"/>
      <c r="R58" s="104"/>
      <c r="S58" s="104"/>
      <c r="T58" s="94"/>
      <c r="U58" s="134" t="str">
        <f t="shared" si="2"/>
        <v/>
      </c>
      <c r="V58" s="253">
        <f>NETWORKDAYS(P58,Q58,진행현황_전체!C$59:C$77)</f>
        <v>0</v>
      </c>
      <c r="W58" s="135">
        <f t="shared" si="38"/>
        <v>0</v>
      </c>
      <c r="X58" s="136">
        <f t="shared" si="38"/>
        <v>0</v>
      </c>
      <c r="Y58" s="136">
        <f t="shared" si="38"/>
        <v>0</v>
      </c>
      <c r="Z58" s="136">
        <f t="shared" si="38"/>
        <v>0</v>
      </c>
      <c r="AA58" s="137">
        <f t="shared" si="38"/>
        <v>0</v>
      </c>
      <c r="AB58" s="138">
        <f t="shared" si="38"/>
        <v>0</v>
      </c>
      <c r="AC58" s="136">
        <f t="shared" si="38"/>
        <v>0</v>
      </c>
      <c r="AD58" s="136">
        <f t="shared" si="38"/>
        <v>0</v>
      </c>
      <c r="AE58" s="137">
        <f t="shared" si="38"/>
        <v>0</v>
      </c>
      <c r="AF58" s="135">
        <f t="shared" si="38"/>
        <v>0</v>
      </c>
      <c r="AG58" s="136">
        <f t="shared" si="38"/>
        <v>0</v>
      </c>
      <c r="AH58" s="136">
        <f t="shared" si="38"/>
        <v>0</v>
      </c>
      <c r="AI58" s="137">
        <f t="shared" si="38"/>
        <v>0</v>
      </c>
      <c r="AJ58" s="135">
        <f t="shared" si="38"/>
        <v>0</v>
      </c>
      <c r="AK58" s="138">
        <f t="shared" si="38"/>
        <v>0</v>
      </c>
      <c r="AL58" s="136">
        <f t="shared" si="38"/>
        <v>0</v>
      </c>
      <c r="AM58" s="136">
        <f t="shared" si="38"/>
        <v>0</v>
      </c>
      <c r="AN58" s="194">
        <f t="shared" si="38"/>
        <v>0</v>
      </c>
      <c r="AO58" s="138">
        <f t="shared" si="38"/>
        <v>0</v>
      </c>
      <c r="AP58" s="136">
        <f t="shared" si="38"/>
        <v>0</v>
      </c>
      <c r="AQ58" s="136">
        <f t="shared" si="38"/>
        <v>0</v>
      </c>
      <c r="AR58" s="137">
        <f t="shared" si="39"/>
        <v>0</v>
      </c>
      <c r="AS58" s="135">
        <f t="shared" si="39"/>
        <v>0</v>
      </c>
      <c r="AT58" s="136">
        <f t="shared" si="39"/>
        <v>0</v>
      </c>
      <c r="AU58" s="136">
        <f t="shared" si="39"/>
        <v>0</v>
      </c>
      <c r="AV58" s="137">
        <f t="shared" si="39"/>
        <v>0</v>
      </c>
      <c r="AW58" s="135">
        <f t="shared" si="39"/>
        <v>0</v>
      </c>
      <c r="AX58" s="136">
        <f t="shared" si="39"/>
        <v>0</v>
      </c>
      <c r="AY58" s="136">
        <f t="shared" si="39"/>
        <v>0</v>
      </c>
      <c r="AZ58" s="136">
        <f t="shared" si="39"/>
        <v>0</v>
      </c>
      <c r="BA58" s="137">
        <f t="shared" si="39"/>
        <v>0</v>
      </c>
      <c r="BB58" s="138">
        <f t="shared" si="39"/>
        <v>0</v>
      </c>
      <c r="BC58" s="136">
        <f t="shared" si="39"/>
        <v>0</v>
      </c>
      <c r="BD58" s="136">
        <f t="shared" si="39"/>
        <v>0</v>
      </c>
      <c r="BE58" s="137">
        <f t="shared" si="39"/>
        <v>0</v>
      </c>
      <c r="BF58" s="135">
        <f t="shared" si="39"/>
        <v>0</v>
      </c>
      <c r="BG58" s="136">
        <f t="shared" si="39"/>
        <v>0</v>
      </c>
      <c r="BH58" s="136">
        <f t="shared" si="40"/>
        <v>0</v>
      </c>
      <c r="BI58" s="137">
        <f t="shared" si="40"/>
        <v>0</v>
      </c>
      <c r="BJ58" s="138">
        <f t="shared" si="40"/>
        <v>0</v>
      </c>
      <c r="BK58" s="136">
        <f t="shared" si="40"/>
        <v>0</v>
      </c>
      <c r="BL58" s="136">
        <f t="shared" si="40"/>
        <v>0</v>
      </c>
      <c r="BM58" s="136">
        <f t="shared" si="40"/>
        <v>0</v>
      </c>
      <c r="BN58" s="137">
        <f t="shared" si="40"/>
        <v>0</v>
      </c>
      <c r="BO58" s="138">
        <f t="shared" si="40"/>
        <v>0</v>
      </c>
      <c r="BP58" s="136">
        <f t="shared" si="40"/>
        <v>0</v>
      </c>
      <c r="BQ58" s="136">
        <f t="shared" si="40"/>
        <v>0</v>
      </c>
      <c r="BR58" s="137">
        <f t="shared" si="40"/>
        <v>0</v>
      </c>
      <c r="BS58" s="138">
        <f t="shared" si="40"/>
        <v>0</v>
      </c>
      <c r="BT58" s="136">
        <f t="shared" si="40"/>
        <v>0</v>
      </c>
      <c r="BU58" s="136">
        <f t="shared" si="40"/>
        <v>0</v>
      </c>
      <c r="BV58" s="136">
        <f t="shared" si="40"/>
        <v>0</v>
      </c>
      <c r="BW58" s="137">
        <f t="shared" si="40"/>
        <v>0</v>
      </c>
      <c r="BX58" s="138">
        <f t="shared" si="40"/>
        <v>0</v>
      </c>
      <c r="BY58" s="136">
        <f t="shared" si="40"/>
        <v>0</v>
      </c>
      <c r="BZ58" s="136">
        <f t="shared" si="40"/>
        <v>0</v>
      </c>
      <c r="CA58" s="137">
        <f t="shared" si="40"/>
        <v>0</v>
      </c>
      <c r="CB58" s="135">
        <f t="shared" si="40"/>
        <v>0</v>
      </c>
      <c r="CC58" s="136">
        <f t="shared" si="40"/>
        <v>0</v>
      </c>
      <c r="CD58" s="136">
        <f t="shared" si="40"/>
        <v>0</v>
      </c>
      <c r="CE58" s="137">
        <f t="shared" si="40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34"/>
        <v>1</v>
      </c>
      <c r="K59" s="101">
        <v>0</v>
      </c>
      <c r="L59" s="132">
        <f t="shared" si="35"/>
        <v>0.1</v>
      </c>
      <c r="M59" s="132">
        <f t="shared" si="36"/>
        <v>0</v>
      </c>
      <c r="N59" s="132">
        <f t="shared" si="3"/>
        <v>-0.1</v>
      </c>
      <c r="O59" s="133" t="str">
        <f t="shared" si="37"/>
        <v>지연</v>
      </c>
      <c r="P59" s="104"/>
      <c r="Q59" s="104"/>
      <c r="R59" s="104"/>
      <c r="S59" s="104"/>
      <c r="T59" s="94"/>
      <c r="U59" s="134" t="str">
        <f t="shared" si="2"/>
        <v/>
      </c>
      <c r="V59" s="253">
        <f>NETWORKDAYS(P59,Q59,진행현황_전체!C$59:C$77)</f>
        <v>0</v>
      </c>
      <c r="W59" s="135">
        <f t="shared" si="38"/>
        <v>0</v>
      </c>
      <c r="X59" s="136">
        <f t="shared" si="38"/>
        <v>0</v>
      </c>
      <c r="Y59" s="136">
        <f t="shared" si="38"/>
        <v>0</v>
      </c>
      <c r="Z59" s="136">
        <f t="shared" si="38"/>
        <v>0</v>
      </c>
      <c r="AA59" s="137">
        <f t="shared" si="38"/>
        <v>0</v>
      </c>
      <c r="AB59" s="138">
        <f t="shared" si="38"/>
        <v>0</v>
      </c>
      <c r="AC59" s="136">
        <f t="shared" si="38"/>
        <v>0</v>
      </c>
      <c r="AD59" s="136">
        <f t="shared" si="38"/>
        <v>0</v>
      </c>
      <c r="AE59" s="137">
        <f t="shared" si="38"/>
        <v>0</v>
      </c>
      <c r="AF59" s="135">
        <f t="shared" si="38"/>
        <v>0</v>
      </c>
      <c r="AG59" s="136">
        <f t="shared" si="38"/>
        <v>0</v>
      </c>
      <c r="AH59" s="136">
        <f t="shared" si="38"/>
        <v>0</v>
      </c>
      <c r="AI59" s="137">
        <f t="shared" si="38"/>
        <v>0</v>
      </c>
      <c r="AJ59" s="135">
        <f t="shared" si="38"/>
        <v>0</v>
      </c>
      <c r="AK59" s="138">
        <f t="shared" si="38"/>
        <v>0</v>
      </c>
      <c r="AL59" s="136">
        <f t="shared" si="38"/>
        <v>0</v>
      </c>
      <c r="AM59" s="136">
        <f t="shared" si="38"/>
        <v>0</v>
      </c>
      <c r="AN59" s="194">
        <f t="shared" si="38"/>
        <v>0</v>
      </c>
      <c r="AO59" s="138">
        <f t="shared" si="38"/>
        <v>0</v>
      </c>
      <c r="AP59" s="136">
        <f t="shared" si="38"/>
        <v>0</v>
      </c>
      <c r="AQ59" s="136">
        <f t="shared" si="38"/>
        <v>0</v>
      </c>
      <c r="AR59" s="137">
        <f t="shared" si="39"/>
        <v>0</v>
      </c>
      <c r="AS59" s="135">
        <f t="shared" si="39"/>
        <v>0</v>
      </c>
      <c r="AT59" s="136">
        <f t="shared" si="39"/>
        <v>0</v>
      </c>
      <c r="AU59" s="136">
        <f t="shared" si="39"/>
        <v>0</v>
      </c>
      <c r="AV59" s="137">
        <f t="shared" si="39"/>
        <v>0</v>
      </c>
      <c r="AW59" s="135">
        <f t="shared" si="39"/>
        <v>0</v>
      </c>
      <c r="AX59" s="136">
        <f t="shared" si="39"/>
        <v>0</v>
      </c>
      <c r="AY59" s="136">
        <f t="shared" si="39"/>
        <v>0</v>
      </c>
      <c r="AZ59" s="136">
        <f t="shared" si="39"/>
        <v>0</v>
      </c>
      <c r="BA59" s="137">
        <f t="shared" si="39"/>
        <v>0</v>
      </c>
      <c r="BB59" s="138">
        <f t="shared" si="39"/>
        <v>0</v>
      </c>
      <c r="BC59" s="136">
        <f t="shared" si="39"/>
        <v>0</v>
      </c>
      <c r="BD59" s="136">
        <f t="shared" si="39"/>
        <v>0</v>
      </c>
      <c r="BE59" s="137">
        <f t="shared" si="39"/>
        <v>0</v>
      </c>
      <c r="BF59" s="135">
        <f t="shared" si="39"/>
        <v>0</v>
      </c>
      <c r="BG59" s="136">
        <f t="shared" si="39"/>
        <v>0</v>
      </c>
      <c r="BH59" s="136">
        <f t="shared" si="40"/>
        <v>0</v>
      </c>
      <c r="BI59" s="137">
        <f t="shared" si="40"/>
        <v>0</v>
      </c>
      <c r="BJ59" s="138">
        <f t="shared" si="40"/>
        <v>0</v>
      </c>
      <c r="BK59" s="136">
        <f t="shared" si="40"/>
        <v>0</v>
      </c>
      <c r="BL59" s="136">
        <f t="shared" si="40"/>
        <v>0</v>
      </c>
      <c r="BM59" s="136">
        <f t="shared" si="40"/>
        <v>0</v>
      </c>
      <c r="BN59" s="137">
        <f t="shared" si="40"/>
        <v>0</v>
      </c>
      <c r="BO59" s="138">
        <f t="shared" si="40"/>
        <v>0</v>
      </c>
      <c r="BP59" s="136">
        <f t="shared" si="40"/>
        <v>0</v>
      </c>
      <c r="BQ59" s="136">
        <f t="shared" si="40"/>
        <v>0</v>
      </c>
      <c r="BR59" s="137">
        <f t="shared" si="40"/>
        <v>0</v>
      </c>
      <c r="BS59" s="138">
        <f t="shared" si="40"/>
        <v>0</v>
      </c>
      <c r="BT59" s="136">
        <f t="shared" si="40"/>
        <v>0</v>
      </c>
      <c r="BU59" s="136">
        <f t="shared" si="40"/>
        <v>0</v>
      </c>
      <c r="BV59" s="136">
        <f t="shared" si="40"/>
        <v>0</v>
      </c>
      <c r="BW59" s="137">
        <f t="shared" si="40"/>
        <v>0</v>
      </c>
      <c r="BX59" s="138">
        <f t="shared" si="40"/>
        <v>0</v>
      </c>
      <c r="BY59" s="136">
        <f t="shared" si="40"/>
        <v>0</v>
      </c>
      <c r="BZ59" s="136">
        <f t="shared" si="40"/>
        <v>0</v>
      </c>
      <c r="CA59" s="137">
        <f t="shared" si="40"/>
        <v>0</v>
      </c>
      <c r="CB59" s="135">
        <f t="shared" si="40"/>
        <v>0</v>
      </c>
      <c r="CC59" s="136">
        <f t="shared" si="40"/>
        <v>0</v>
      </c>
      <c r="CD59" s="136">
        <f t="shared" si="40"/>
        <v>0</v>
      </c>
      <c r="CE59" s="137">
        <f t="shared" si="40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34"/>
        <v>1</v>
      </c>
      <c r="K60" s="101">
        <v>0</v>
      </c>
      <c r="L60" s="132">
        <f t="shared" si="35"/>
        <v>0.1</v>
      </c>
      <c r="M60" s="132">
        <f t="shared" si="36"/>
        <v>0</v>
      </c>
      <c r="N60" s="132">
        <f t="shared" si="3"/>
        <v>-0.1</v>
      </c>
      <c r="O60" s="133" t="str">
        <f t="shared" si="37"/>
        <v>지연</v>
      </c>
      <c r="P60" s="104"/>
      <c r="Q60" s="104"/>
      <c r="R60" s="104"/>
      <c r="S60" s="104"/>
      <c r="T60" s="130"/>
      <c r="U60" s="134" t="str">
        <f t="shared" si="2"/>
        <v/>
      </c>
      <c r="V60" s="253">
        <f>NETWORKDAYS(P60,Q60,진행현황_전체!C$59:C$77)</f>
        <v>0</v>
      </c>
      <c r="W60" s="135">
        <f t="shared" si="38"/>
        <v>0</v>
      </c>
      <c r="X60" s="136">
        <f t="shared" si="38"/>
        <v>0</v>
      </c>
      <c r="Y60" s="136">
        <f t="shared" si="38"/>
        <v>0</v>
      </c>
      <c r="Z60" s="136">
        <f t="shared" si="38"/>
        <v>0</v>
      </c>
      <c r="AA60" s="137">
        <f t="shared" si="38"/>
        <v>0</v>
      </c>
      <c r="AB60" s="138">
        <f t="shared" si="38"/>
        <v>0</v>
      </c>
      <c r="AC60" s="136">
        <f t="shared" si="38"/>
        <v>0</v>
      </c>
      <c r="AD60" s="136">
        <f t="shared" si="38"/>
        <v>0</v>
      </c>
      <c r="AE60" s="137">
        <f t="shared" si="38"/>
        <v>0</v>
      </c>
      <c r="AF60" s="135">
        <f t="shared" si="38"/>
        <v>0</v>
      </c>
      <c r="AG60" s="136">
        <f t="shared" si="38"/>
        <v>0</v>
      </c>
      <c r="AH60" s="136">
        <f t="shared" si="38"/>
        <v>0</v>
      </c>
      <c r="AI60" s="137">
        <f t="shared" si="38"/>
        <v>0</v>
      </c>
      <c r="AJ60" s="135">
        <f t="shared" si="38"/>
        <v>0</v>
      </c>
      <c r="AK60" s="138">
        <f t="shared" si="38"/>
        <v>0</v>
      </c>
      <c r="AL60" s="136">
        <f t="shared" si="38"/>
        <v>0</v>
      </c>
      <c r="AM60" s="136">
        <f t="shared" si="38"/>
        <v>0</v>
      </c>
      <c r="AN60" s="194">
        <f t="shared" si="38"/>
        <v>0</v>
      </c>
      <c r="AO60" s="138">
        <f t="shared" si="38"/>
        <v>0</v>
      </c>
      <c r="AP60" s="136">
        <f t="shared" si="38"/>
        <v>0</v>
      </c>
      <c r="AQ60" s="136">
        <f t="shared" si="38"/>
        <v>0</v>
      </c>
      <c r="AR60" s="137">
        <f t="shared" si="39"/>
        <v>0</v>
      </c>
      <c r="AS60" s="135">
        <f t="shared" si="39"/>
        <v>0</v>
      </c>
      <c r="AT60" s="136">
        <f t="shared" si="39"/>
        <v>0</v>
      </c>
      <c r="AU60" s="136">
        <f t="shared" si="39"/>
        <v>0</v>
      </c>
      <c r="AV60" s="137">
        <f t="shared" si="39"/>
        <v>0</v>
      </c>
      <c r="AW60" s="135">
        <f t="shared" si="39"/>
        <v>0</v>
      </c>
      <c r="AX60" s="136">
        <f t="shared" si="39"/>
        <v>0</v>
      </c>
      <c r="AY60" s="136">
        <f t="shared" si="39"/>
        <v>0</v>
      </c>
      <c r="AZ60" s="136">
        <f t="shared" si="39"/>
        <v>0</v>
      </c>
      <c r="BA60" s="137">
        <f t="shared" si="39"/>
        <v>0</v>
      </c>
      <c r="BB60" s="138">
        <f t="shared" si="39"/>
        <v>0</v>
      </c>
      <c r="BC60" s="136">
        <f t="shared" si="39"/>
        <v>0</v>
      </c>
      <c r="BD60" s="136">
        <f t="shared" si="39"/>
        <v>0</v>
      </c>
      <c r="BE60" s="137">
        <f t="shared" si="39"/>
        <v>0</v>
      </c>
      <c r="BF60" s="135">
        <f t="shared" si="39"/>
        <v>0</v>
      </c>
      <c r="BG60" s="136">
        <f t="shared" si="39"/>
        <v>0</v>
      </c>
      <c r="BH60" s="136">
        <f t="shared" si="40"/>
        <v>0</v>
      </c>
      <c r="BI60" s="137">
        <f t="shared" si="40"/>
        <v>0</v>
      </c>
      <c r="BJ60" s="138">
        <f t="shared" si="40"/>
        <v>0</v>
      </c>
      <c r="BK60" s="136">
        <f t="shared" si="40"/>
        <v>0</v>
      </c>
      <c r="BL60" s="136">
        <f t="shared" si="40"/>
        <v>0</v>
      </c>
      <c r="BM60" s="136">
        <f t="shared" si="40"/>
        <v>0</v>
      </c>
      <c r="BN60" s="137">
        <f t="shared" si="40"/>
        <v>0</v>
      </c>
      <c r="BO60" s="138">
        <f t="shared" si="40"/>
        <v>0</v>
      </c>
      <c r="BP60" s="136">
        <f t="shared" si="40"/>
        <v>0</v>
      </c>
      <c r="BQ60" s="136">
        <f t="shared" si="40"/>
        <v>0</v>
      </c>
      <c r="BR60" s="137">
        <f t="shared" si="40"/>
        <v>0</v>
      </c>
      <c r="BS60" s="138">
        <f t="shared" si="40"/>
        <v>0</v>
      </c>
      <c r="BT60" s="136">
        <f t="shared" si="40"/>
        <v>0</v>
      </c>
      <c r="BU60" s="136">
        <f t="shared" si="40"/>
        <v>0</v>
      </c>
      <c r="BV60" s="136">
        <f t="shared" si="40"/>
        <v>0</v>
      </c>
      <c r="BW60" s="137">
        <f t="shared" si="40"/>
        <v>0</v>
      </c>
      <c r="BX60" s="138">
        <f t="shared" si="40"/>
        <v>0</v>
      </c>
      <c r="BY60" s="136">
        <f t="shared" si="40"/>
        <v>0</v>
      </c>
      <c r="BZ60" s="136">
        <f t="shared" si="40"/>
        <v>0</v>
      </c>
      <c r="CA60" s="137">
        <f t="shared" si="40"/>
        <v>0</v>
      </c>
      <c r="CB60" s="135">
        <f t="shared" si="40"/>
        <v>0</v>
      </c>
      <c r="CC60" s="136">
        <f t="shared" si="40"/>
        <v>0</v>
      </c>
      <c r="CD60" s="136">
        <f t="shared" si="40"/>
        <v>0</v>
      </c>
      <c r="CE60" s="137">
        <f t="shared" si="40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34"/>
        <v>1</v>
      </c>
      <c r="K61" s="101">
        <v>0</v>
      </c>
      <c r="L61" s="132">
        <f t="shared" si="35"/>
        <v>0.1</v>
      </c>
      <c r="M61" s="132">
        <f t="shared" si="36"/>
        <v>0</v>
      </c>
      <c r="N61" s="132">
        <f t="shared" si="3"/>
        <v>-0.1</v>
      </c>
      <c r="O61" s="133" t="str">
        <f t="shared" si="37"/>
        <v>지연</v>
      </c>
      <c r="P61" s="104"/>
      <c r="Q61" s="104"/>
      <c r="R61" s="104"/>
      <c r="S61" s="104"/>
      <c r="T61" s="94"/>
      <c r="U61" s="134" t="str">
        <f t="shared" si="2"/>
        <v/>
      </c>
      <c r="V61" s="253">
        <f>NETWORKDAYS(P61,Q61,진행현황_전체!C$59:C$77)</f>
        <v>0</v>
      </c>
      <c r="W61" s="135">
        <f t="shared" si="38"/>
        <v>0</v>
      </c>
      <c r="X61" s="136">
        <f t="shared" si="38"/>
        <v>0</v>
      </c>
      <c r="Y61" s="136">
        <f t="shared" si="38"/>
        <v>0</v>
      </c>
      <c r="Z61" s="136">
        <f t="shared" si="38"/>
        <v>0</v>
      </c>
      <c r="AA61" s="137">
        <f t="shared" si="38"/>
        <v>0</v>
      </c>
      <c r="AB61" s="138">
        <f t="shared" si="38"/>
        <v>0</v>
      </c>
      <c r="AC61" s="136">
        <f t="shared" si="38"/>
        <v>0</v>
      </c>
      <c r="AD61" s="136">
        <f t="shared" si="38"/>
        <v>0</v>
      </c>
      <c r="AE61" s="137">
        <f t="shared" si="38"/>
        <v>0</v>
      </c>
      <c r="AF61" s="135">
        <f t="shared" si="38"/>
        <v>0</v>
      </c>
      <c r="AG61" s="136">
        <f t="shared" si="38"/>
        <v>0</v>
      </c>
      <c r="AH61" s="136">
        <f t="shared" si="38"/>
        <v>0</v>
      </c>
      <c r="AI61" s="137">
        <f t="shared" si="38"/>
        <v>0</v>
      </c>
      <c r="AJ61" s="135">
        <f t="shared" si="38"/>
        <v>0</v>
      </c>
      <c r="AK61" s="138">
        <f t="shared" si="38"/>
        <v>0</v>
      </c>
      <c r="AL61" s="136">
        <f t="shared" si="38"/>
        <v>0</v>
      </c>
      <c r="AM61" s="136">
        <f t="shared" si="38"/>
        <v>0</v>
      </c>
      <c r="AN61" s="194">
        <f t="shared" si="38"/>
        <v>0</v>
      </c>
      <c r="AO61" s="138">
        <f t="shared" si="38"/>
        <v>0</v>
      </c>
      <c r="AP61" s="136">
        <f t="shared" si="38"/>
        <v>0</v>
      </c>
      <c r="AQ61" s="136">
        <f t="shared" si="38"/>
        <v>0</v>
      </c>
      <c r="AR61" s="137">
        <f t="shared" si="39"/>
        <v>0</v>
      </c>
      <c r="AS61" s="135">
        <f t="shared" si="39"/>
        <v>0</v>
      </c>
      <c r="AT61" s="136">
        <f t="shared" si="39"/>
        <v>0</v>
      </c>
      <c r="AU61" s="136">
        <f t="shared" si="39"/>
        <v>0</v>
      </c>
      <c r="AV61" s="137">
        <f t="shared" si="39"/>
        <v>0</v>
      </c>
      <c r="AW61" s="135">
        <f t="shared" si="39"/>
        <v>0</v>
      </c>
      <c r="AX61" s="136">
        <f t="shared" si="39"/>
        <v>0</v>
      </c>
      <c r="AY61" s="136">
        <f t="shared" si="39"/>
        <v>0</v>
      </c>
      <c r="AZ61" s="136">
        <f t="shared" si="39"/>
        <v>0</v>
      </c>
      <c r="BA61" s="137">
        <f t="shared" si="39"/>
        <v>0</v>
      </c>
      <c r="BB61" s="138">
        <f t="shared" si="39"/>
        <v>0</v>
      </c>
      <c r="BC61" s="136">
        <f t="shared" si="39"/>
        <v>0</v>
      </c>
      <c r="BD61" s="136">
        <f t="shared" si="39"/>
        <v>0</v>
      </c>
      <c r="BE61" s="137">
        <f t="shared" si="39"/>
        <v>0</v>
      </c>
      <c r="BF61" s="135">
        <f t="shared" si="39"/>
        <v>0</v>
      </c>
      <c r="BG61" s="136">
        <f t="shared" si="39"/>
        <v>0</v>
      </c>
      <c r="BH61" s="136">
        <f t="shared" si="40"/>
        <v>0</v>
      </c>
      <c r="BI61" s="137">
        <f t="shared" si="40"/>
        <v>0</v>
      </c>
      <c r="BJ61" s="138">
        <f t="shared" si="40"/>
        <v>0</v>
      </c>
      <c r="BK61" s="136">
        <f t="shared" si="40"/>
        <v>0</v>
      </c>
      <c r="BL61" s="136">
        <f t="shared" si="40"/>
        <v>0</v>
      </c>
      <c r="BM61" s="136">
        <f t="shared" si="40"/>
        <v>0</v>
      </c>
      <c r="BN61" s="137">
        <f t="shared" si="40"/>
        <v>0</v>
      </c>
      <c r="BO61" s="138">
        <f t="shared" si="40"/>
        <v>0</v>
      </c>
      <c r="BP61" s="136">
        <f t="shared" si="40"/>
        <v>0</v>
      </c>
      <c r="BQ61" s="136">
        <f t="shared" si="40"/>
        <v>0</v>
      </c>
      <c r="BR61" s="137">
        <f t="shared" si="40"/>
        <v>0</v>
      </c>
      <c r="BS61" s="138">
        <f t="shared" si="40"/>
        <v>0</v>
      </c>
      <c r="BT61" s="136">
        <f t="shared" si="40"/>
        <v>0</v>
      </c>
      <c r="BU61" s="136">
        <f t="shared" si="40"/>
        <v>0</v>
      </c>
      <c r="BV61" s="136">
        <f t="shared" si="40"/>
        <v>0</v>
      </c>
      <c r="BW61" s="137">
        <f t="shared" si="40"/>
        <v>0</v>
      </c>
      <c r="BX61" s="138">
        <f t="shared" si="40"/>
        <v>0</v>
      </c>
      <c r="BY61" s="136">
        <f t="shared" si="40"/>
        <v>0</v>
      </c>
      <c r="BZ61" s="136">
        <f t="shared" si="40"/>
        <v>0</v>
      </c>
      <c r="CA61" s="137">
        <f t="shared" si="40"/>
        <v>0</v>
      </c>
      <c r="CB61" s="135">
        <f t="shared" si="40"/>
        <v>0</v>
      </c>
      <c r="CC61" s="136">
        <f t="shared" si="40"/>
        <v>0</v>
      </c>
      <c r="CD61" s="136">
        <f t="shared" si="40"/>
        <v>0</v>
      </c>
      <c r="CE61" s="137">
        <f t="shared" si="40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34"/>
        <v>1</v>
      </c>
      <c r="K62" s="101">
        <v>0</v>
      </c>
      <c r="L62" s="132">
        <f t="shared" si="35"/>
        <v>0.1</v>
      </c>
      <c r="M62" s="132">
        <f t="shared" si="36"/>
        <v>0</v>
      </c>
      <c r="N62" s="132">
        <f t="shared" si="3"/>
        <v>-0.1</v>
      </c>
      <c r="O62" s="133" t="str">
        <f t="shared" si="37"/>
        <v>지연</v>
      </c>
      <c r="P62" s="104"/>
      <c r="Q62" s="104"/>
      <c r="R62" s="104"/>
      <c r="S62" s="104"/>
      <c r="T62" s="94"/>
      <c r="U62" s="134" t="str">
        <f t="shared" si="2"/>
        <v/>
      </c>
      <c r="V62" s="253">
        <f>NETWORKDAYS(P62,Q62,진행현황_전체!C$59:C$77)</f>
        <v>0</v>
      </c>
      <c r="W62" s="135">
        <f t="shared" si="38"/>
        <v>0</v>
      </c>
      <c r="X62" s="136">
        <f t="shared" si="38"/>
        <v>0</v>
      </c>
      <c r="Y62" s="136">
        <f t="shared" si="38"/>
        <v>0</v>
      </c>
      <c r="Z62" s="136">
        <f t="shared" si="38"/>
        <v>0</v>
      </c>
      <c r="AA62" s="137">
        <f t="shared" si="38"/>
        <v>0</v>
      </c>
      <c r="AB62" s="138">
        <f t="shared" si="38"/>
        <v>0</v>
      </c>
      <c r="AC62" s="136">
        <f t="shared" si="38"/>
        <v>0</v>
      </c>
      <c r="AD62" s="136">
        <f t="shared" si="38"/>
        <v>0</v>
      </c>
      <c r="AE62" s="137">
        <f t="shared" si="38"/>
        <v>0</v>
      </c>
      <c r="AF62" s="135">
        <f t="shared" si="38"/>
        <v>0</v>
      </c>
      <c r="AG62" s="136">
        <f t="shared" si="38"/>
        <v>0</v>
      </c>
      <c r="AH62" s="136">
        <f t="shared" si="38"/>
        <v>0</v>
      </c>
      <c r="AI62" s="137">
        <f t="shared" si="38"/>
        <v>0</v>
      </c>
      <c r="AJ62" s="135">
        <f t="shared" si="38"/>
        <v>0</v>
      </c>
      <c r="AK62" s="138">
        <f t="shared" si="38"/>
        <v>0</v>
      </c>
      <c r="AL62" s="136">
        <f t="shared" si="38"/>
        <v>0</v>
      </c>
      <c r="AM62" s="136">
        <f t="shared" si="38"/>
        <v>0</v>
      </c>
      <c r="AN62" s="194">
        <f t="shared" si="38"/>
        <v>0</v>
      </c>
      <c r="AO62" s="138">
        <f t="shared" si="38"/>
        <v>0</v>
      </c>
      <c r="AP62" s="136">
        <f t="shared" si="38"/>
        <v>0</v>
      </c>
      <c r="AQ62" s="136">
        <f t="shared" si="38"/>
        <v>0</v>
      </c>
      <c r="AR62" s="137">
        <f t="shared" si="39"/>
        <v>0</v>
      </c>
      <c r="AS62" s="135">
        <f t="shared" si="39"/>
        <v>0</v>
      </c>
      <c r="AT62" s="136">
        <f t="shared" si="39"/>
        <v>0</v>
      </c>
      <c r="AU62" s="136">
        <f t="shared" si="39"/>
        <v>0</v>
      </c>
      <c r="AV62" s="137">
        <f t="shared" si="39"/>
        <v>0</v>
      </c>
      <c r="AW62" s="135">
        <f t="shared" si="39"/>
        <v>0</v>
      </c>
      <c r="AX62" s="136">
        <f t="shared" si="39"/>
        <v>0</v>
      </c>
      <c r="AY62" s="136">
        <f t="shared" si="39"/>
        <v>0</v>
      </c>
      <c r="AZ62" s="136">
        <f t="shared" si="39"/>
        <v>0</v>
      </c>
      <c r="BA62" s="137">
        <f t="shared" si="39"/>
        <v>0</v>
      </c>
      <c r="BB62" s="138">
        <f t="shared" si="39"/>
        <v>0</v>
      </c>
      <c r="BC62" s="136">
        <f t="shared" si="39"/>
        <v>0</v>
      </c>
      <c r="BD62" s="136">
        <f t="shared" si="39"/>
        <v>0</v>
      </c>
      <c r="BE62" s="137">
        <f t="shared" si="39"/>
        <v>0</v>
      </c>
      <c r="BF62" s="135">
        <f t="shared" si="39"/>
        <v>0</v>
      </c>
      <c r="BG62" s="136">
        <f t="shared" si="39"/>
        <v>0</v>
      </c>
      <c r="BH62" s="136">
        <f t="shared" si="40"/>
        <v>0</v>
      </c>
      <c r="BI62" s="137">
        <f t="shared" si="40"/>
        <v>0</v>
      </c>
      <c r="BJ62" s="138">
        <f t="shared" si="40"/>
        <v>0</v>
      </c>
      <c r="BK62" s="136">
        <f t="shared" si="40"/>
        <v>0</v>
      </c>
      <c r="BL62" s="136">
        <f t="shared" si="40"/>
        <v>0</v>
      </c>
      <c r="BM62" s="136">
        <f t="shared" si="40"/>
        <v>0</v>
      </c>
      <c r="BN62" s="137">
        <f t="shared" si="40"/>
        <v>0</v>
      </c>
      <c r="BO62" s="138">
        <f t="shared" si="40"/>
        <v>0</v>
      </c>
      <c r="BP62" s="136">
        <f t="shared" si="40"/>
        <v>0</v>
      </c>
      <c r="BQ62" s="136">
        <f t="shared" si="40"/>
        <v>0</v>
      </c>
      <c r="BR62" s="137">
        <f t="shared" si="40"/>
        <v>0</v>
      </c>
      <c r="BS62" s="138">
        <f t="shared" si="40"/>
        <v>0</v>
      </c>
      <c r="BT62" s="136">
        <f t="shared" si="40"/>
        <v>0</v>
      </c>
      <c r="BU62" s="136">
        <f t="shared" si="40"/>
        <v>0</v>
      </c>
      <c r="BV62" s="136">
        <f t="shared" si="40"/>
        <v>0</v>
      </c>
      <c r="BW62" s="137">
        <f t="shared" si="40"/>
        <v>0</v>
      </c>
      <c r="BX62" s="138">
        <f t="shared" si="40"/>
        <v>0</v>
      </c>
      <c r="BY62" s="136">
        <f t="shared" si="40"/>
        <v>0</v>
      </c>
      <c r="BZ62" s="136">
        <f t="shared" si="40"/>
        <v>0</v>
      </c>
      <c r="CA62" s="137">
        <f t="shared" si="40"/>
        <v>0</v>
      </c>
      <c r="CB62" s="135">
        <f t="shared" si="40"/>
        <v>0</v>
      </c>
      <c r="CC62" s="136">
        <f t="shared" si="40"/>
        <v>0</v>
      </c>
      <c r="CD62" s="136">
        <f t="shared" si="40"/>
        <v>0</v>
      </c>
      <c r="CE62" s="137">
        <f t="shared" si="40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34"/>
        <v>1</v>
      </c>
      <c r="K63" s="101">
        <v>0</v>
      </c>
      <c r="L63" s="132">
        <f t="shared" si="35"/>
        <v>0.1</v>
      </c>
      <c r="M63" s="132">
        <f t="shared" si="36"/>
        <v>0</v>
      </c>
      <c r="N63" s="132">
        <f t="shared" si="3"/>
        <v>-0.1</v>
      </c>
      <c r="O63" s="133" t="str">
        <f t="shared" si="37"/>
        <v>지연</v>
      </c>
      <c r="P63" s="104"/>
      <c r="Q63" s="104"/>
      <c r="R63" s="104"/>
      <c r="S63" s="104"/>
      <c r="T63" s="130"/>
      <c r="U63" s="134" t="str">
        <f t="shared" si="2"/>
        <v/>
      </c>
      <c r="V63" s="253">
        <f>NETWORKDAYS(P63,Q63,진행현황_전체!C$59:C$77)</f>
        <v>0</v>
      </c>
      <c r="W63" s="135">
        <f t="shared" si="38"/>
        <v>0</v>
      </c>
      <c r="X63" s="136">
        <f t="shared" si="38"/>
        <v>0</v>
      </c>
      <c r="Y63" s="136">
        <f t="shared" si="38"/>
        <v>0</v>
      </c>
      <c r="Z63" s="136">
        <f t="shared" si="38"/>
        <v>0</v>
      </c>
      <c r="AA63" s="137">
        <f t="shared" si="38"/>
        <v>0</v>
      </c>
      <c r="AB63" s="138">
        <f t="shared" si="38"/>
        <v>0</v>
      </c>
      <c r="AC63" s="136">
        <f t="shared" si="38"/>
        <v>0</v>
      </c>
      <c r="AD63" s="136">
        <f t="shared" si="38"/>
        <v>0</v>
      </c>
      <c r="AE63" s="137">
        <f t="shared" si="38"/>
        <v>0</v>
      </c>
      <c r="AF63" s="135">
        <f t="shared" si="38"/>
        <v>0</v>
      </c>
      <c r="AG63" s="136">
        <f t="shared" si="38"/>
        <v>0</v>
      </c>
      <c r="AH63" s="136">
        <f t="shared" si="38"/>
        <v>0</v>
      </c>
      <c r="AI63" s="137">
        <f t="shared" si="38"/>
        <v>0</v>
      </c>
      <c r="AJ63" s="135">
        <f t="shared" si="38"/>
        <v>0</v>
      </c>
      <c r="AK63" s="138">
        <f t="shared" si="38"/>
        <v>0</v>
      </c>
      <c r="AL63" s="136">
        <f t="shared" si="38"/>
        <v>0</v>
      </c>
      <c r="AM63" s="136">
        <f t="shared" si="38"/>
        <v>0</v>
      </c>
      <c r="AN63" s="194">
        <f t="shared" si="38"/>
        <v>0</v>
      </c>
      <c r="AO63" s="138">
        <f t="shared" si="38"/>
        <v>0</v>
      </c>
      <c r="AP63" s="136">
        <f t="shared" si="38"/>
        <v>0</v>
      </c>
      <c r="AQ63" s="136">
        <f t="shared" si="38"/>
        <v>0</v>
      </c>
      <c r="AR63" s="137">
        <f t="shared" si="39"/>
        <v>0</v>
      </c>
      <c r="AS63" s="135">
        <f t="shared" si="39"/>
        <v>0</v>
      </c>
      <c r="AT63" s="136">
        <f t="shared" si="39"/>
        <v>0</v>
      </c>
      <c r="AU63" s="136">
        <f t="shared" si="39"/>
        <v>0</v>
      </c>
      <c r="AV63" s="137">
        <f t="shared" si="39"/>
        <v>0</v>
      </c>
      <c r="AW63" s="135">
        <f t="shared" si="39"/>
        <v>0</v>
      </c>
      <c r="AX63" s="136">
        <f t="shared" si="39"/>
        <v>0</v>
      </c>
      <c r="AY63" s="136">
        <f t="shared" si="39"/>
        <v>0</v>
      </c>
      <c r="AZ63" s="136">
        <f t="shared" si="39"/>
        <v>0</v>
      </c>
      <c r="BA63" s="137">
        <f t="shared" si="39"/>
        <v>0</v>
      </c>
      <c r="BB63" s="138">
        <f t="shared" si="39"/>
        <v>0</v>
      </c>
      <c r="BC63" s="136">
        <f t="shared" si="39"/>
        <v>0</v>
      </c>
      <c r="BD63" s="136">
        <f t="shared" si="39"/>
        <v>0</v>
      </c>
      <c r="BE63" s="137">
        <f t="shared" si="39"/>
        <v>0</v>
      </c>
      <c r="BF63" s="135">
        <f t="shared" si="39"/>
        <v>0</v>
      </c>
      <c r="BG63" s="136">
        <f t="shared" si="39"/>
        <v>0</v>
      </c>
      <c r="BH63" s="136">
        <f t="shared" si="40"/>
        <v>0</v>
      </c>
      <c r="BI63" s="137">
        <f t="shared" si="40"/>
        <v>0</v>
      </c>
      <c r="BJ63" s="138">
        <f t="shared" si="40"/>
        <v>0</v>
      </c>
      <c r="BK63" s="136">
        <f t="shared" si="40"/>
        <v>0</v>
      </c>
      <c r="BL63" s="136">
        <f t="shared" si="40"/>
        <v>0</v>
      </c>
      <c r="BM63" s="136">
        <f t="shared" si="40"/>
        <v>0</v>
      </c>
      <c r="BN63" s="137">
        <f t="shared" si="40"/>
        <v>0</v>
      </c>
      <c r="BO63" s="138">
        <f t="shared" si="40"/>
        <v>0</v>
      </c>
      <c r="BP63" s="136">
        <f t="shared" si="40"/>
        <v>0</v>
      </c>
      <c r="BQ63" s="136">
        <f t="shared" si="40"/>
        <v>0</v>
      </c>
      <c r="BR63" s="137">
        <f t="shared" si="40"/>
        <v>0</v>
      </c>
      <c r="BS63" s="138">
        <f t="shared" si="40"/>
        <v>0</v>
      </c>
      <c r="BT63" s="136">
        <f t="shared" si="40"/>
        <v>0</v>
      </c>
      <c r="BU63" s="136">
        <f t="shared" si="40"/>
        <v>0</v>
      </c>
      <c r="BV63" s="136">
        <f t="shared" si="40"/>
        <v>0</v>
      </c>
      <c r="BW63" s="137">
        <f t="shared" si="40"/>
        <v>0</v>
      </c>
      <c r="BX63" s="138">
        <f t="shared" si="40"/>
        <v>0</v>
      </c>
      <c r="BY63" s="136">
        <f t="shared" si="40"/>
        <v>0</v>
      </c>
      <c r="BZ63" s="136">
        <f t="shared" si="40"/>
        <v>0</v>
      </c>
      <c r="CA63" s="137">
        <f t="shared" si="40"/>
        <v>0</v>
      </c>
      <c r="CB63" s="135">
        <f t="shared" si="40"/>
        <v>0</v>
      </c>
      <c r="CC63" s="136">
        <f t="shared" si="40"/>
        <v>0</v>
      </c>
      <c r="CD63" s="136">
        <f t="shared" si="40"/>
        <v>0</v>
      </c>
      <c r="CE63" s="137">
        <f t="shared" si="40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34"/>
        <v>1</v>
      </c>
      <c r="K64" s="101">
        <v>0</v>
      </c>
      <c r="L64" s="132">
        <f t="shared" si="35"/>
        <v>0.1</v>
      </c>
      <c r="M64" s="132">
        <f t="shared" si="36"/>
        <v>0</v>
      </c>
      <c r="N64" s="132">
        <f t="shared" si="3"/>
        <v>-0.1</v>
      </c>
      <c r="O64" s="133" t="str">
        <f t="shared" si="37"/>
        <v>지연</v>
      </c>
      <c r="P64" s="104"/>
      <c r="Q64" s="104"/>
      <c r="R64" s="104"/>
      <c r="S64" s="104"/>
      <c r="T64" s="94"/>
      <c r="U64" s="134" t="str">
        <f t="shared" si="2"/>
        <v/>
      </c>
      <c r="V64" s="253">
        <f>NETWORKDAYS(P64,Q64,진행현황_전체!C$59:C$77)</f>
        <v>0</v>
      </c>
      <c r="W64" s="135">
        <f t="shared" si="38"/>
        <v>0</v>
      </c>
      <c r="X64" s="136">
        <f t="shared" si="38"/>
        <v>0</v>
      </c>
      <c r="Y64" s="136">
        <f t="shared" si="38"/>
        <v>0</v>
      </c>
      <c r="Z64" s="136">
        <f t="shared" si="38"/>
        <v>0</v>
      </c>
      <c r="AA64" s="137">
        <f t="shared" si="38"/>
        <v>0</v>
      </c>
      <c r="AB64" s="138">
        <f t="shared" si="38"/>
        <v>0</v>
      </c>
      <c r="AC64" s="136">
        <f t="shared" si="38"/>
        <v>0</v>
      </c>
      <c r="AD64" s="136">
        <f t="shared" si="38"/>
        <v>0</v>
      </c>
      <c r="AE64" s="137">
        <f t="shared" si="38"/>
        <v>0</v>
      </c>
      <c r="AF64" s="135">
        <f t="shared" si="38"/>
        <v>0</v>
      </c>
      <c r="AG64" s="136">
        <f t="shared" si="38"/>
        <v>0</v>
      </c>
      <c r="AH64" s="136">
        <f t="shared" si="38"/>
        <v>0</v>
      </c>
      <c r="AI64" s="137">
        <f t="shared" si="38"/>
        <v>0</v>
      </c>
      <c r="AJ64" s="135">
        <f t="shared" si="38"/>
        <v>0</v>
      </c>
      <c r="AK64" s="138">
        <f t="shared" si="38"/>
        <v>0</v>
      </c>
      <c r="AL64" s="136">
        <f t="shared" si="38"/>
        <v>0</v>
      </c>
      <c r="AM64" s="136">
        <f t="shared" si="38"/>
        <v>0</v>
      </c>
      <c r="AN64" s="194">
        <f t="shared" si="38"/>
        <v>0</v>
      </c>
      <c r="AO64" s="138">
        <f t="shared" si="38"/>
        <v>0</v>
      </c>
      <c r="AP64" s="136">
        <f t="shared" si="38"/>
        <v>0</v>
      </c>
      <c r="AQ64" s="136">
        <f t="shared" si="38"/>
        <v>0</v>
      </c>
      <c r="AR64" s="137">
        <f t="shared" si="39"/>
        <v>0</v>
      </c>
      <c r="AS64" s="135">
        <f t="shared" si="39"/>
        <v>0</v>
      </c>
      <c r="AT64" s="136">
        <f t="shared" si="39"/>
        <v>0</v>
      </c>
      <c r="AU64" s="136">
        <f t="shared" si="39"/>
        <v>0</v>
      </c>
      <c r="AV64" s="137">
        <f t="shared" si="39"/>
        <v>0</v>
      </c>
      <c r="AW64" s="135">
        <f t="shared" si="39"/>
        <v>0</v>
      </c>
      <c r="AX64" s="136">
        <f t="shared" si="39"/>
        <v>0</v>
      </c>
      <c r="AY64" s="136">
        <f t="shared" si="39"/>
        <v>0</v>
      </c>
      <c r="AZ64" s="136">
        <f t="shared" si="39"/>
        <v>0</v>
      </c>
      <c r="BA64" s="137">
        <f t="shared" si="39"/>
        <v>0</v>
      </c>
      <c r="BB64" s="138">
        <f t="shared" si="39"/>
        <v>0</v>
      </c>
      <c r="BC64" s="136">
        <f t="shared" si="39"/>
        <v>0</v>
      </c>
      <c r="BD64" s="136">
        <f t="shared" si="39"/>
        <v>0</v>
      </c>
      <c r="BE64" s="137">
        <f t="shared" si="39"/>
        <v>0</v>
      </c>
      <c r="BF64" s="135">
        <f t="shared" si="39"/>
        <v>0</v>
      </c>
      <c r="BG64" s="136">
        <f t="shared" si="39"/>
        <v>0</v>
      </c>
      <c r="BH64" s="136">
        <f t="shared" si="40"/>
        <v>0</v>
      </c>
      <c r="BI64" s="137">
        <f t="shared" si="40"/>
        <v>0</v>
      </c>
      <c r="BJ64" s="138">
        <f t="shared" si="40"/>
        <v>0</v>
      </c>
      <c r="BK64" s="136">
        <f t="shared" si="40"/>
        <v>0</v>
      </c>
      <c r="BL64" s="136">
        <f t="shared" si="40"/>
        <v>0</v>
      </c>
      <c r="BM64" s="136">
        <f t="shared" si="40"/>
        <v>0</v>
      </c>
      <c r="BN64" s="137">
        <f t="shared" si="40"/>
        <v>0</v>
      </c>
      <c r="BO64" s="138">
        <f t="shared" si="40"/>
        <v>0</v>
      </c>
      <c r="BP64" s="136">
        <f t="shared" si="40"/>
        <v>0</v>
      </c>
      <c r="BQ64" s="136">
        <f t="shared" si="40"/>
        <v>0</v>
      </c>
      <c r="BR64" s="137">
        <f t="shared" si="40"/>
        <v>0</v>
      </c>
      <c r="BS64" s="138">
        <f t="shared" si="40"/>
        <v>0</v>
      </c>
      <c r="BT64" s="136">
        <f t="shared" si="40"/>
        <v>0</v>
      </c>
      <c r="BU64" s="136">
        <f t="shared" si="40"/>
        <v>0</v>
      </c>
      <c r="BV64" s="136">
        <f t="shared" si="40"/>
        <v>0</v>
      </c>
      <c r="BW64" s="137">
        <f t="shared" si="40"/>
        <v>0</v>
      </c>
      <c r="BX64" s="138">
        <f t="shared" si="40"/>
        <v>0</v>
      </c>
      <c r="BY64" s="136">
        <f t="shared" si="40"/>
        <v>0</v>
      </c>
      <c r="BZ64" s="136">
        <f t="shared" si="40"/>
        <v>0</v>
      </c>
      <c r="CA64" s="137">
        <f t="shared" si="40"/>
        <v>0</v>
      </c>
      <c r="CB64" s="135">
        <f t="shared" si="40"/>
        <v>0</v>
      </c>
      <c r="CC64" s="136">
        <f t="shared" si="40"/>
        <v>0</v>
      </c>
      <c r="CD64" s="136">
        <f t="shared" si="40"/>
        <v>0</v>
      </c>
      <c r="CE64" s="137">
        <f t="shared" si="40"/>
        <v>0</v>
      </c>
    </row>
    <row r="65" spans="1:83" ht="17.25" thickBot="1">
      <c r="A65" s="139" t="s">
        <v>79</v>
      </c>
      <c r="B65" s="114" t="str">
        <f>진행현황_10.범위명!G15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진행현황_10.범위명!G16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2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41">IF(CheckDay&gt;=Q66,1,IF(CheckDay&lt;P66, 0,DAYS360(P66,CheckDay+1)/Y66))</f>
        <v>1</v>
      </c>
      <c r="K66" s="101">
        <v>0</v>
      </c>
      <c r="L66" s="132">
        <f t="shared" ref="L66:L75" si="42">I66*J66/100</f>
        <v>0.1</v>
      </c>
      <c r="M66" s="132">
        <f t="shared" ref="M66:M75" si="43">I66*K66/100</f>
        <v>0</v>
      </c>
      <c r="N66" s="132">
        <f t="shared" si="3"/>
        <v>-0.1</v>
      </c>
      <c r="O66" s="133" t="str">
        <f t="shared" ref="O66:O75" si="44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2"/>
        <v/>
      </c>
      <c r="V66" s="253">
        <f>NETWORKDAYS(P66,Q66,진행현황_전체!C$59:C$77)</f>
        <v>0</v>
      </c>
      <c r="W66" s="135">
        <f t="shared" ref="W66:AQ75" si="45">IF(OR((AND($P66&lt;=W$7,AND($Q66&lt;=W$8, $Q66&gt;=W$7))),(AND(AND($P66&gt;=W$7, $P66&lt;=W$8),$Q66&gt;=W$8)), AND($P66&gt;=W$7, $Q66&lt;=W$8), AND($P66&lt;=W$7,$Q66&gt;=W$8)),1,0)</f>
        <v>0</v>
      </c>
      <c r="X66" s="136">
        <f t="shared" si="45"/>
        <v>0</v>
      </c>
      <c r="Y66" s="136">
        <f t="shared" si="45"/>
        <v>0</v>
      </c>
      <c r="Z66" s="136">
        <f t="shared" si="45"/>
        <v>0</v>
      </c>
      <c r="AA66" s="137">
        <f t="shared" si="45"/>
        <v>0</v>
      </c>
      <c r="AB66" s="138">
        <f t="shared" si="45"/>
        <v>0</v>
      </c>
      <c r="AC66" s="136">
        <f t="shared" si="45"/>
        <v>0</v>
      </c>
      <c r="AD66" s="136">
        <f t="shared" si="45"/>
        <v>0</v>
      </c>
      <c r="AE66" s="137">
        <f t="shared" si="45"/>
        <v>0</v>
      </c>
      <c r="AF66" s="135">
        <f t="shared" si="45"/>
        <v>0</v>
      </c>
      <c r="AG66" s="136">
        <f t="shared" si="45"/>
        <v>0</v>
      </c>
      <c r="AH66" s="136">
        <f t="shared" si="45"/>
        <v>0</v>
      </c>
      <c r="AI66" s="137">
        <f t="shared" si="45"/>
        <v>0</v>
      </c>
      <c r="AJ66" s="135">
        <f t="shared" si="45"/>
        <v>0</v>
      </c>
      <c r="AK66" s="138">
        <f t="shared" si="45"/>
        <v>0</v>
      </c>
      <c r="AL66" s="136">
        <f t="shared" si="45"/>
        <v>0</v>
      </c>
      <c r="AM66" s="136">
        <f t="shared" si="45"/>
        <v>0</v>
      </c>
      <c r="AN66" s="194">
        <f t="shared" si="45"/>
        <v>0</v>
      </c>
      <c r="AO66" s="138">
        <f t="shared" si="45"/>
        <v>0</v>
      </c>
      <c r="AP66" s="136">
        <f t="shared" si="45"/>
        <v>0</v>
      </c>
      <c r="AQ66" s="136">
        <f t="shared" si="45"/>
        <v>0</v>
      </c>
      <c r="AR66" s="137">
        <f t="shared" ref="AR66:BG75" si="46">IF(OR((AND($P66&lt;=AR$7,AND($Q66&lt;=AR$8, $Q66&gt;=AR$7))),(AND(AND($P66&gt;=AR$7, $P66&lt;=AR$8),$Q66&gt;=AR$8)), AND($P66&gt;=AR$7, $Q66&lt;=AR$8), AND($P66&lt;=AR$7,$Q66&gt;=AR$8)),1,0)</f>
        <v>0</v>
      </c>
      <c r="AS66" s="135">
        <f t="shared" si="46"/>
        <v>0</v>
      </c>
      <c r="AT66" s="136">
        <f t="shared" si="46"/>
        <v>0</v>
      </c>
      <c r="AU66" s="136">
        <f t="shared" si="46"/>
        <v>0</v>
      </c>
      <c r="AV66" s="137">
        <f t="shared" si="46"/>
        <v>0</v>
      </c>
      <c r="AW66" s="135">
        <f t="shared" si="46"/>
        <v>0</v>
      </c>
      <c r="AX66" s="136">
        <f t="shared" si="46"/>
        <v>0</v>
      </c>
      <c r="AY66" s="136">
        <f t="shared" si="46"/>
        <v>0</v>
      </c>
      <c r="AZ66" s="136">
        <f t="shared" si="46"/>
        <v>0</v>
      </c>
      <c r="BA66" s="137">
        <f t="shared" si="46"/>
        <v>0</v>
      </c>
      <c r="BB66" s="138">
        <f t="shared" si="46"/>
        <v>0</v>
      </c>
      <c r="BC66" s="136">
        <f t="shared" si="46"/>
        <v>0</v>
      </c>
      <c r="BD66" s="136">
        <f t="shared" si="46"/>
        <v>0</v>
      </c>
      <c r="BE66" s="137">
        <f t="shared" si="46"/>
        <v>0</v>
      </c>
      <c r="BF66" s="135">
        <f t="shared" si="46"/>
        <v>0</v>
      </c>
      <c r="BG66" s="136">
        <f t="shared" si="46"/>
        <v>0</v>
      </c>
      <c r="BH66" s="136">
        <f t="shared" ref="BH66:CE75" si="47">IF(OR((AND($P66&lt;=BH$7,AND($Q66&lt;=BH$8, $Q66&gt;=BH$7))),(AND(AND($P66&gt;=BH$7, $P66&lt;=BH$8),$Q66&gt;=BH$8)), AND($P66&gt;=BH$7, $Q66&lt;=BH$8), AND($P66&lt;=BH$7,$Q66&gt;=BH$8)),1,0)</f>
        <v>0</v>
      </c>
      <c r="BI66" s="137">
        <f t="shared" si="47"/>
        <v>0</v>
      </c>
      <c r="BJ66" s="138">
        <f t="shared" si="47"/>
        <v>0</v>
      </c>
      <c r="BK66" s="136">
        <f t="shared" si="47"/>
        <v>0</v>
      </c>
      <c r="BL66" s="136">
        <f t="shared" si="47"/>
        <v>0</v>
      </c>
      <c r="BM66" s="136">
        <f t="shared" si="47"/>
        <v>0</v>
      </c>
      <c r="BN66" s="137">
        <f t="shared" si="47"/>
        <v>0</v>
      </c>
      <c r="BO66" s="138">
        <f t="shared" si="47"/>
        <v>0</v>
      </c>
      <c r="BP66" s="136">
        <f t="shared" si="47"/>
        <v>0</v>
      </c>
      <c r="BQ66" s="136">
        <f t="shared" si="47"/>
        <v>0</v>
      </c>
      <c r="BR66" s="137">
        <f t="shared" si="47"/>
        <v>0</v>
      </c>
      <c r="BS66" s="138">
        <f t="shared" si="47"/>
        <v>0</v>
      </c>
      <c r="BT66" s="136">
        <f t="shared" si="47"/>
        <v>0</v>
      </c>
      <c r="BU66" s="136">
        <f t="shared" si="47"/>
        <v>0</v>
      </c>
      <c r="BV66" s="136">
        <f t="shared" si="47"/>
        <v>0</v>
      </c>
      <c r="BW66" s="137">
        <f t="shared" si="47"/>
        <v>0</v>
      </c>
      <c r="BX66" s="138">
        <f t="shared" si="47"/>
        <v>0</v>
      </c>
      <c r="BY66" s="136">
        <f t="shared" si="47"/>
        <v>0</v>
      </c>
      <c r="BZ66" s="136">
        <f t="shared" si="47"/>
        <v>0</v>
      </c>
      <c r="CA66" s="137">
        <f t="shared" si="47"/>
        <v>0</v>
      </c>
      <c r="CB66" s="135">
        <f t="shared" si="47"/>
        <v>0</v>
      </c>
      <c r="CC66" s="136">
        <f t="shared" si="47"/>
        <v>0</v>
      </c>
      <c r="CD66" s="136">
        <f t="shared" si="47"/>
        <v>0</v>
      </c>
      <c r="CE66" s="137">
        <f t="shared" si="47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41"/>
        <v>1</v>
      </c>
      <c r="K67" s="101">
        <v>0</v>
      </c>
      <c r="L67" s="132">
        <f t="shared" si="42"/>
        <v>0.1</v>
      </c>
      <c r="M67" s="132">
        <f t="shared" si="43"/>
        <v>0</v>
      </c>
      <c r="N67" s="132">
        <f t="shared" si="3"/>
        <v>-0.1</v>
      </c>
      <c r="O67" s="133" t="str">
        <f t="shared" si="44"/>
        <v>지연</v>
      </c>
      <c r="P67" s="104"/>
      <c r="Q67" s="104"/>
      <c r="R67" s="104"/>
      <c r="S67" s="104"/>
      <c r="T67" s="94"/>
      <c r="U67" s="134" t="str">
        <f t="shared" si="2"/>
        <v/>
      </c>
      <c r="V67" s="253">
        <f>NETWORKDAYS(P67,Q67,진행현황_전체!C$59:C$77)</f>
        <v>0</v>
      </c>
      <c r="W67" s="135">
        <f t="shared" si="45"/>
        <v>0</v>
      </c>
      <c r="X67" s="136">
        <f t="shared" si="45"/>
        <v>0</v>
      </c>
      <c r="Y67" s="136">
        <f t="shared" si="45"/>
        <v>0</v>
      </c>
      <c r="Z67" s="136">
        <f t="shared" si="45"/>
        <v>0</v>
      </c>
      <c r="AA67" s="137">
        <f t="shared" si="45"/>
        <v>0</v>
      </c>
      <c r="AB67" s="138">
        <f t="shared" si="45"/>
        <v>0</v>
      </c>
      <c r="AC67" s="136">
        <f t="shared" si="45"/>
        <v>0</v>
      </c>
      <c r="AD67" s="136">
        <f t="shared" si="45"/>
        <v>0</v>
      </c>
      <c r="AE67" s="137">
        <f t="shared" si="45"/>
        <v>0</v>
      </c>
      <c r="AF67" s="135">
        <f t="shared" si="45"/>
        <v>0</v>
      </c>
      <c r="AG67" s="136">
        <f t="shared" si="45"/>
        <v>0</v>
      </c>
      <c r="AH67" s="136">
        <f t="shared" si="45"/>
        <v>0</v>
      </c>
      <c r="AI67" s="137">
        <f t="shared" si="45"/>
        <v>0</v>
      </c>
      <c r="AJ67" s="135">
        <f t="shared" si="45"/>
        <v>0</v>
      </c>
      <c r="AK67" s="138">
        <f t="shared" si="45"/>
        <v>0</v>
      </c>
      <c r="AL67" s="136">
        <f t="shared" si="45"/>
        <v>0</v>
      </c>
      <c r="AM67" s="136">
        <f t="shared" si="45"/>
        <v>0</v>
      </c>
      <c r="AN67" s="194">
        <f t="shared" si="45"/>
        <v>0</v>
      </c>
      <c r="AO67" s="138">
        <f t="shared" si="45"/>
        <v>0</v>
      </c>
      <c r="AP67" s="136">
        <f t="shared" si="45"/>
        <v>0</v>
      </c>
      <c r="AQ67" s="136">
        <f t="shared" si="45"/>
        <v>0</v>
      </c>
      <c r="AR67" s="137">
        <f t="shared" si="46"/>
        <v>0</v>
      </c>
      <c r="AS67" s="135">
        <f t="shared" si="46"/>
        <v>0</v>
      </c>
      <c r="AT67" s="136">
        <f t="shared" si="46"/>
        <v>0</v>
      </c>
      <c r="AU67" s="136">
        <f t="shared" si="46"/>
        <v>0</v>
      </c>
      <c r="AV67" s="137">
        <f t="shared" si="46"/>
        <v>0</v>
      </c>
      <c r="AW67" s="135">
        <f t="shared" si="46"/>
        <v>0</v>
      </c>
      <c r="AX67" s="136">
        <f t="shared" si="46"/>
        <v>0</v>
      </c>
      <c r="AY67" s="136">
        <f t="shared" si="46"/>
        <v>0</v>
      </c>
      <c r="AZ67" s="136">
        <f t="shared" si="46"/>
        <v>0</v>
      </c>
      <c r="BA67" s="137">
        <f t="shared" si="46"/>
        <v>0</v>
      </c>
      <c r="BB67" s="138">
        <f t="shared" si="46"/>
        <v>0</v>
      </c>
      <c r="BC67" s="136">
        <f t="shared" si="46"/>
        <v>0</v>
      </c>
      <c r="BD67" s="136">
        <f t="shared" si="46"/>
        <v>0</v>
      </c>
      <c r="BE67" s="137">
        <f t="shared" si="46"/>
        <v>0</v>
      </c>
      <c r="BF67" s="135">
        <f t="shared" si="46"/>
        <v>0</v>
      </c>
      <c r="BG67" s="136">
        <f t="shared" si="46"/>
        <v>0</v>
      </c>
      <c r="BH67" s="136">
        <f t="shared" si="47"/>
        <v>0</v>
      </c>
      <c r="BI67" s="137">
        <f t="shared" si="47"/>
        <v>0</v>
      </c>
      <c r="BJ67" s="138">
        <f t="shared" si="47"/>
        <v>0</v>
      </c>
      <c r="BK67" s="136">
        <f t="shared" si="47"/>
        <v>0</v>
      </c>
      <c r="BL67" s="136">
        <f t="shared" si="47"/>
        <v>0</v>
      </c>
      <c r="BM67" s="136">
        <f t="shared" si="47"/>
        <v>0</v>
      </c>
      <c r="BN67" s="137">
        <f t="shared" si="47"/>
        <v>0</v>
      </c>
      <c r="BO67" s="138">
        <f t="shared" si="47"/>
        <v>0</v>
      </c>
      <c r="BP67" s="136">
        <f t="shared" si="47"/>
        <v>0</v>
      </c>
      <c r="BQ67" s="136">
        <f t="shared" si="47"/>
        <v>0</v>
      </c>
      <c r="BR67" s="137">
        <f t="shared" si="47"/>
        <v>0</v>
      </c>
      <c r="BS67" s="138">
        <f t="shared" si="47"/>
        <v>0</v>
      </c>
      <c r="BT67" s="136">
        <f t="shared" si="47"/>
        <v>0</v>
      </c>
      <c r="BU67" s="136">
        <f t="shared" si="47"/>
        <v>0</v>
      </c>
      <c r="BV67" s="136">
        <f t="shared" si="47"/>
        <v>0</v>
      </c>
      <c r="BW67" s="137">
        <f t="shared" si="47"/>
        <v>0</v>
      </c>
      <c r="BX67" s="138">
        <f t="shared" si="47"/>
        <v>0</v>
      </c>
      <c r="BY67" s="136">
        <f t="shared" si="47"/>
        <v>0</v>
      </c>
      <c r="BZ67" s="136">
        <f t="shared" si="47"/>
        <v>0</v>
      </c>
      <c r="CA67" s="137">
        <f t="shared" si="47"/>
        <v>0</v>
      </c>
      <c r="CB67" s="135">
        <f t="shared" si="47"/>
        <v>0</v>
      </c>
      <c r="CC67" s="136">
        <f t="shared" si="47"/>
        <v>0</v>
      </c>
      <c r="CD67" s="136">
        <f t="shared" si="47"/>
        <v>0</v>
      </c>
      <c r="CE67" s="137">
        <f t="shared" si="47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41"/>
        <v>1</v>
      </c>
      <c r="K68" s="101">
        <v>0</v>
      </c>
      <c r="L68" s="132">
        <f t="shared" si="42"/>
        <v>0.1</v>
      </c>
      <c r="M68" s="132">
        <f t="shared" si="43"/>
        <v>0</v>
      </c>
      <c r="N68" s="132">
        <f t="shared" si="3"/>
        <v>-0.1</v>
      </c>
      <c r="O68" s="133" t="str">
        <f t="shared" si="44"/>
        <v>지연</v>
      </c>
      <c r="P68" s="104"/>
      <c r="Q68" s="104"/>
      <c r="R68" s="104"/>
      <c r="S68" s="104"/>
      <c r="T68" s="94"/>
      <c r="U68" s="134" t="str">
        <f t="shared" si="2"/>
        <v/>
      </c>
      <c r="V68" s="253">
        <f>NETWORKDAYS(P68,Q68,진행현황_전체!C$59:C$77)</f>
        <v>0</v>
      </c>
      <c r="W68" s="135">
        <f t="shared" si="45"/>
        <v>0</v>
      </c>
      <c r="X68" s="136">
        <f t="shared" si="45"/>
        <v>0</v>
      </c>
      <c r="Y68" s="136">
        <f t="shared" si="45"/>
        <v>0</v>
      </c>
      <c r="Z68" s="136">
        <f t="shared" si="45"/>
        <v>0</v>
      </c>
      <c r="AA68" s="137">
        <f t="shared" si="45"/>
        <v>0</v>
      </c>
      <c r="AB68" s="138">
        <f t="shared" si="45"/>
        <v>0</v>
      </c>
      <c r="AC68" s="136">
        <f t="shared" si="45"/>
        <v>0</v>
      </c>
      <c r="AD68" s="136">
        <f t="shared" si="45"/>
        <v>0</v>
      </c>
      <c r="AE68" s="137">
        <f t="shared" si="45"/>
        <v>0</v>
      </c>
      <c r="AF68" s="135">
        <f t="shared" si="45"/>
        <v>0</v>
      </c>
      <c r="AG68" s="136">
        <f t="shared" si="45"/>
        <v>0</v>
      </c>
      <c r="AH68" s="136">
        <f t="shared" si="45"/>
        <v>0</v>
      </c>
      <c r="AI68" s="137">
        <f t="shared" si="45"/>
        <v>0</v>
      </c>
      <c r="AJ68" s="135">
        <f t="shared" si="45"/>
        <v>0</v>
      </c>
      <c r="AK68" s="138">
        <f t="shared" si="45"/>
        <v>0</v>
      </c>
      <c r="AL68" s="136">
        <f t="shared" si="45"/>
        <v>0</v>
      </c>
      <c r="AM68" s="136">
        <f t="shared" si="45"/>
        <v>0</v>
      </c>
      <c r="AN68" s="194">
        <f t="shared" si="45"/>
        <v>0</v>
      </c>
      <c r="AO68" s="138">
        <f t="shared" si="45"/>
        <v>0</v>
      </c>
      <c r="AP68" s="136">
        <f t="shared" si="45"/>
        <v>0</v>
      </c>
      <c r="AQ68" s="136">
        <f t="shared" si="45"/>
        <v>0</v>
      </c>
      <c r="AR68" s="137">
        <f t="shared" si="46"/>
        <v>0</v>
      </c>
      <c r="AS68" s="135">
        <f t="shared" si="46"/>
        <v>0</v>
      </c>
      <c r="AT68" s="136">
        <f t="shared" si="46"/>
        <v>0</v>
      </c>
      <c r="AU68" s="136">
        <f t="shared" si="46"/>
        <v>0</v>
      </c>
      <c r="AV68" s="137">
        <f t="shared" si="46"/>
        <v>0</v>
      </c>
      <c r="AW68" s="135">
        <f t="shared" si="46"/>
        <v>0</v>
      </c>
      <c r="AX68" s="136">
        <f t="shared" si="46"/>
        <v>0</v>
      </c>
      <c r="AY68" s="136">
        <f t="shared" si="46"/>
        <v>0</v>
      </c>
      <c r="AZ68" s="136">
        <f t="shared" si="46"/>
        <v>0</v>
      </c>
      <c r="BA68" s="137">
        <f t="shared" si="46"/>
        <v>0</v>
      </c>
      <c r="BB68" s="138">
        <f t="shared" si="46"/>
        <v>0</v>
      </c>
      <c r="BC68" s="136">
        <f t="shared" si="46"/>
        <v>0</v>
      </c>
      <c r="BD68" s="136">
        <f t="shared" si="46"/>
        <v>0</v>
      </c>
      <c r="BE68" s="137">
        <f t="shared" si="46"/>
        <v>0</v>
      </c>
      <c r="BF68" s="135">
        <f t="shared" si="46"/>
        <v>0</v>
      </c>
      <c r="BG68" s="136">
        <f t="shared" si="46"/>
        <v>0</v>
      </c>
      <c r="BH68" s="136">
        <f t="shared" si="47"/>
        <v>0</v>
      </c>
      <c r="BI68" s="137">
        <f t="shared" si="47"/>
        <v>0</v>
      </c>
      <c r="BJ68" s="138">
        <f t="shared" si="47"/>
        <v>0</v>
      </c>
      <c r="BK68" s="136">
        <f t="shared" si="47"/>
        <v>0</v>
      </c>
      <c r="BL68" s="136">
        <f t="shared" si="47"/>
        <v>0</v>
      </c>
      <c r="BM68" s="136">
        <f t="shared" si="47"/>
        <v>0</v>
      </c>
      <c r="BN68" s="137">
        <f t="shared" si="47"/>
        <v>0</v>
      </c>
      <c r="BO68" s="138">
        <f t="shared" si="47"/>
        <v>0</v>
      </c>
      <c r="BP68" s="136">
        <f t="shared" si="47"/>
        <v>0</v>
      </c>
      <c r="BQ68" s="136">
        <f t="shared" si="47"/>
        <v>0</v>
      </c>
      <c r="BR68" s="137">
        <f t="shared" si="47"/>
        <v>0</v>
      </c>
      <c r="BS68" s="138">
        <f t="shared" si="47"/>
        <v>0</v>
      </c>
      <c r="BT68" s="136">
        <f t="shared" si="47"/>
        <v>0</v>
      </c>
      <c r="BU68" s="136">
        <f t="shared" si="47"/>
        <v>0</v>
      </c>
      <c r="BV68" s="136">
        <f t="shared" si="47"/>
        <v>0</v>
      </c>
      <c r="BW68" s="137">
        <f t="shared" si="47"/>
        <v>0</v>
      </c>
      <c r="BX68" s="138">
        <f t="shared" si="47"/>
        <v>0</v>
      </c>
      <c r="BY68" s="136">
        <f t="shared" si="47"/>
        <v>0</v>
      </c>
      <c r="BZ68" s="136">
        <f t="shared" si="47"/>
        <v>0</v>
      </c>
      <c r="CA68" s="137">
        <f t="shared" si="47"/>
        <v>0</v>
      </c>
      <c r="CB68" s="135">
        <f t="shared" si="47"/>
        <v>0</v>
      </c>
      <c r="CC68" s="136">
        <f t="shared" si="47"/>
        <v>0</v>
      </c>
      <c r="CD68" s="136">
        <f t="shared" si="47"/>
        <v>0</v>
      </c>
      <c r="CE68" s="137">
        <f t="shared" si="47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41"/>
        <v>1</v>
      </c>
      <c r="K69" s="101">
        <v>0</v>
      </c>
      <c r="L69" s="132">
        <f t="shared" si="42"/>
        <v>0.1</v>
      </c>
      <c r="M69" s="132">
        <f t="shared" si="43"/>
        <v>0</v>
      </c>
      <c r="N69" s="132">
        <f t="shared" si="3"/>
        <v>-0.1</v>
      </c>
      <c r="O69" s="133" t="str">
        <f t="shared" si="44"/>
        <v>지연</v>
      </c>
      <c r="P69" s="104"/>
      <c r="Q69" s="104"/>
      <c r="R69" s="104"/>
      <c r="S69" s="104"/>
      <c r="T69" s="94"/>
      <c r="U69" s="134" t="str">
        <f t="shared" si="2"/>
        <v/>
      </c>
      <c r="V69" s="253">
        <f>NETWORKDAYS(P69,Q69,진행현황_전체!C$59:C$77)</f>
        <v>0</v>
      </c>
      <c r="W69" s="135">
        <f t="shared" si="45"/>
        <v>0</v>
      </c>
      <c r="X69" s="136">
        <f t="shared" si="45"/>
        <v>0</v>
      </c>
      <c r="Y69" s="136">
        <f t="shared" si="45"/>
        <v>0</v>
      </c>
      <c r="Z69" s="136">
        <f t="shared" si="45"/>
        <v>0</v>
      </c>
      <c r="AA69" s="137">
        <f t="shared" si="45"/>
        <v>0</v>
      </c>
      <c r="AB69" s="138">
        <f t="shared" si="45"/>
        <v>0</v>
      </c>
      <c r="AC69" s="136">
        <f t="shared" si="45"/>
        <v>0</v>
      </c>
      <c r="AD69" s="136">
        <f t="shared" si="45"/>
        <v>0</v>
      </c>
      <c r="AE69" s="137">
        <f t="shared" si="45"/>
        <v>0</v>
      </c>
      <c r="AF69" s="135">
        <f t="shared" si="45"/>
        <v>0</v>
      </c>
      <c r="AG69" s="136">
        <f t="shared" si="45"/>
        <v>0</v>
      </c>
      <c r="AH69" s="136">
        <f t="shared" si="45"/>
        <v>0</v>
      </c>
      <c r="AI69" s="137">
        <f t="shared" si="45"/>
        <v>0</v>
      </c>
      <c r="AJ69" s="135">
        <f t="shared" si="45"/>
        <v>0</v>
      </c>
      <c r="AK69" s="138">
        <f t="shared" si="45"/>
        <v>0</v>
      </c>
      <c r="AL69" s="136">
        <f t="shared" si="45"/>
        <v>0</v>
      </c>
      <c r="AM69" s="136">
        <f t="shared" si="45"/>
        <v>0</v>
      </c>
      <c r="AN69" s="194">
        <f t="shared" si="45"/>
        <v>0</v>
      </c>
      <c r="AO69" s="138">
        <f t="shared" si="45"/>
        <v>0</v>
      </c>
      <c r="AP69" s="136">
        <f t="shared" si="45"/>
        <v>0</v>
      </c>
      <c r="AQ69" s="136">
        <f t="shared" si="45"/>
        <v>0</v>
      </c>
      <c r="AR69" s="137">
        <f t="shared" si="46"/>
        <v>0</v>
      </c>
      <c r="AS69" s="135">
        <f t="shared" si="46"/>
        <v>0</v>
      </c>
      <c r="AT69" s="136">
        <f t="shared" si="46"/>
        <v>0</v>
      </c>
      <c r="AU69" s="136">
        <f t="shared" si="46"/>
        <v>0</v>
      </c>
      <c r="AV69" s="137">
        <f t="shared" si="46"/>
        <v>0</v>
      </c>
      <c r="AW69" s="135">
        <f t="shared" si="46"/>
        <v>0</v>
      </c>
      <c r="AX69" s="136">
        <f t="shared" si="46"/>
        <v>0</v>
      </c>
      <c r="AY69" s="136">
        <f t="shared" si="46"/>
        <v>0</v>
      </c>
      <c r="AZ69" s="136">
        <f t="shared" si="46"/>
        <v>0</v>
      </c>
      <c r="BA69" s="137">
        <f t="shared" si="46"/>
        <v>0</v>
      </c>
      <c r="BB69" s="138">
        <f t="shared" si="46"/>
        <v>0</v>
      </c>
      <c r="BC69" s="136">
        <f t="shared" si="46"/>
        <v>0</v>
      </c>
      <c r="BD69" s="136">
        <f t="shared" si="46"/>
        <v>0</v>
      </c>
      <c r="BE69" s="137">
        <f t="shared" si="46"/>
        <v>0</v>
      </c>
      <c r="BF69" s="135">
        <f t="shared" si="46"/>
        <v>0</v>
      </c>
      <c r="BG69" s="136">
        <f t="shared" si="46"/>
        <v>0</v>
      </c>
      <c r="BH69" s="136">
        <f t="shared" si="47"/>
        <v>0</v>
      </c>
      <c r="BI69" s="137">
        <f t="shared" si="47"/>
        <v>0</v>
      </c>
      <c r="BJ69" s="138">
        <f t="shared" si="47"/>
        <v>0</v>
      </c>
      <c r="BK69" s="136">
        <f t="shared" si="47"/>
        <v>0</v>
      </c>
      <c r="BL69" s="136">
        <f t="shared" si="47"/>
        <v>0</v>
      </c>
      <c r="BM69" s="136">
        <f t="shared" si="47"/>
        <v>0</v>
      </c>
      <c r="BN69" s="137">
        <f t="shared" si="47"/>
        <v>0</v>
      </c>
      <c r="BO69" s="138">
        <f t="shared" si="47"/>
        <v>0</v>
      </c>
      <c r="BP69" s="136">
        <f t="shared" si="47"/>
        <v>0</v>
      </c>
      <c r="BQ69" s="136">
        <f t="shared" si="47"/>
        <v>0</v>
      </c>
      <c r="BR69" s="137">
        <f t="shared" si="47"/>
        <v>0</v>
      </c>
      <c r="BS69" s="138">
        <f t="shared" si="47"/>
        <v>0</v>
      </c>
      <c r="BT69" s="136">
        <f t="shared" si="47"/>
        <v>0</v>
      </c>
      <c r="BU69" s="136">
        <f t="shared" si="47"/>
        <v>0</v>
      </c>
      <c r="BV69" s="136">
        <f t="shared" si="47"/>
        <v>0</v>
      </c>
      <c r="BW69" s="137">
        <f t="shared" si="47"/>
        <v>0</v>
      </c>
      <c r="BX69" s="138">
        <f t="shared" si="47"/>
        <v>0</v>
      </c>
      <c r="BY69" s="136">
        <f t="shared" si="47"/>
        <v>0</v>
      </c>
      <c r="BZ69" s="136">
        <f t="shared" si="47"/>
        <v>0</v>
      </c>
      <c r="CA69" s="137">
        <f t="shared" si="47"/>
        <v>0</v>
      </c>
      <c r="CB69" s="135">
        <f t="shared" si="47"/>
        <v>0</v>
      </c>
      <c r="CC69" s="136">
        <f t="shared" si="47"/>
        <v>0</v>
      </c>
      <c r="CD69" s="136">
        <f t="shared" si="47"/>
        <v>0</v>
      </c>
      <c r="CE69" s="137">
        <f t="shared" si="47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41"/>
        <v>1</v>
      </c>
      <c r="K70" s="101">
        <v>0</v>
      </c>
      <c r="L70" s="132">
        <f t="shared" si="42"/>
        <v>0.1</v>
      </c>
      <c r="M70" s="132">
        <f t="shared" si="43"/>
        <v>0</v>
      </c>
      <c r="N70" s="132">
        <f t="shared" si="3"/>
        <v>-0.1</v>
      </c>
      <c r="O70" s="133" t="str">
        <f t="shared" si="44"/>
        <v>지연</v>
      </c>
      <c r="P70" s="104"/>
      <c r="Q70" s="104"/>
      <c r="R70" s="104"/>
      <c r="S70" s="104"/>
      <c r="T70" s="94"/>
      <c r="U70" s="134" t="str">
        <f t="shared" si="2"/>
        <v/>
      </c>
      <c r="V70" s="253">
        <f>NETWORKDAYS(P70,Q70,진행현황_전체!C$59:C$77)</f>
        <v>0</v>
      </c>
      <c r="W70" s="135">
        <f t="shared" si="45"/>
        <v>0</v>
      </c>
      <c r="X70" s="136">
        <f t="shared" si="45"/>
        <v>0</v>
      </c>
      <c r="Y70" s="136">
        <f t="shared" si="45"/>
        <v>0</v>
      </c>
      <c r="Z70" s="136">
        <f t="shared" si="45"/>
        <v>0</v>
      </c>
      <c r="AA70" s="137">
        <f t="shared" si="45"/>
        <v>0</v>
      </c>
      <c r="AB70" s="138">
        <f t="shared" si="45"/>
        <v>0</v>
      </c>
      <c r="AC70" s="136">
        <f t="shared" si="45"/>
        <v>0</v>
      </c>
      <c r="AD70" s="136">
        <f t="shared" si="45"/>
        <v>0</v>
      </c>
      <c r="AE70" s="137">
        <f t="shared" si="45"/>
        <v>0</v>
      </c>
      <c r="AF70" s="135">
        <f t="shared" si="45"/>
        <v>0</v>
      </c>
      <c r="AG70" s="136">
        <f t="shared" si="45"/>
        <v>0</v>
      </c>
      <c r="AH70" s="136">
        <f t="shared" si="45"/>
        <v>0</v>
      </c>
      <c r="AI70" s="137">
        <f t="shared" si="45"/>
        <v>0</v>
      </c>
      <c r="AJ70" s="135">
        <f t="shared" si="45"/>
        <v>0</v>
      </c>
      <c r="AK70" s="138">
        <f t="shared" si="45"/>
        <v>0</v>
      </c>
      <c r="AL70" s="136">
        <f t="shared" si="45"/>
        <v>0</v>
      </c>
      <c r="AM70" s="136">
        <f t="shared" si="45"/>
        <v>0</v>
      </c>
      <c r="AN70" s="194">
        <f t="shared" si="45"/>
        <v>0</v>
      </c>
      <c r="AO70" s="138">
        <f t="shared" si="45"/>
        <v>0</v>
      </c>
      <c r="AP70" s="136">
        <f t="shared" si="45"/>
        <v>0</v>
      </c>
      <c r="AQ70" s="136">
        <f t="shared" si="45"/>
        <v>0</v>
      </c>
      <c r="AR70" s="137">
        <f t="shared" si="46"/>
        <v>0</v>
      </c>
      <c r="AS70" s="135">
        <f t="shared" si="46"/>
        <v>0</v>
      </c>
      <c r="AT70" s="136">
        <f t="shared" si="46"/>
        <v>0</v>
      </c>
      <c r="AU70" s="136">
        <f t="shared" si="46"/>
        <v>0</v>
      </c>
      <c r="AV70" s="137">
        <f t="shared" si="46"/>
        <v>0</v>
      </c>
      <c r="AW70" s="135">
        <f t="shared" si="46"/>
        <v>0</v>
      </c>
      <c r="AX70" s="136">
        <f t="shared" si="46"/>
        <v>0</v>
      </c>
      <c r="AY70" s="136">
        <f t="shared" si="46"/>
        <v>0</v>
      </c>
      <c r="AZ70" s="136">
        <f t="shared" si="46"/>
        <v>0</v>
      </c>
      <c r="BA70" s="137">
        <f t="shared" si="46"/>
        <v>0</v>
      </c>
      <c r="BB70" s="138">
        <f t="shared" si="46"/>
        <v>0</v>
      </c>
      <c r="BC70" s="136">
        <f t="shared" si="46"/>
        <v>0</v>
      </c>
      <c r="BD70" s="136">
        <f t="shared" si="46"/>
        <v>0</v>
      </c>
      <c r="BE70" s="137">
        <f t="shared" si="46"/>
        <v>0</v>
      </c>
      <c r="BF70" s="135">
        <f t="shared" si="46"/>
        <v>0</v>
      </c>
      <c r="BG70" s="136">
        <f t="shared" si="46"/>
        <v>0</v>
      </c>
      <c r="BH70" s="136">
        <f t="shared" si="47"/>
        <v>0</v>
      </c>
      <c r="BI70" s="137">
        <f t="shared" si="47"/>
        <v>0</v>
      </c>
      <c r="BJ70" s="138">
        <f t="shared" si="47"/>
        <v>0</v>
      </c>
      <c r="BK70" s="136">
        <f t="shared" si="47"/>
        <v>0</v>
      </c>
      <c r="BL70" s="136">
        <f t="shared" si="47"/>
        <v>0</v>
      </c>
      <c r="BM70" s="136">
        <f t="shared" si="47"/>
        <v>0</v>
      </c>
      <c r="BN70" s="137">
        <f t="shared" si="47"/>
        <v>0</v>
      </c>
      <c r="BO70" s="138">
        <f t="shared" si="47"/>
        <v>0</v>
      </c>
      <c r="BP70" s="136">
        <f t="shared" si="47"/>
        <v>0</v>
      </c>
      <c r="BQ70" s="136">
        <f t="shared" si="47"/>
        <v>0</v>
      </c>
      <c r="BR70" s="137">
        <f t="shared" si="47"/>
        <v>0</v>
      </c>
      <c r="BS70" s="138">
        <f t="shared" si="47"/>
        <v>0</v>
      </c>
      <c r="BT70" s="136">
        <f t="shared" si="47"/>
        <v>0</v>
      </c>
      <c r="BU70" s="136">
        <f t="shared" si="47"/>
        <v>0</v>
      </c>
      <c r="BV70" s="136">
        <f t="shared" si="47"/>
        <v>0</v>
      </c>
      <c r="BW70" s="137">
        <f t="shared" si="47"/>
        <v>0</v>
      </c>
      <c r="BX70" s="138">
        <f t="shared" si="47"/>
        <v>0</v>
      </c>
      <c r="BY70" s="136">
        <f t="shared" si="47"/>
        <v>0</v>
      </c>
      <c r="BZ70" s="136">
        <f t="shared" si="47"/>
        <v>0</v>
      </c>
      <c r="CA70" s="137">
        <f t="shared" si="47"/>
        <v>0</v>
      </c>
      <c r="CB70" s="135">
        <f t="shared" si="47"/>
        <v>0</v>
      </c>
      <c r="CC70" s="136">
        <f t="shared" si="47"/>
        <v>0</v>
      </c>
      <c r="CD70" s="136">
        <f t="shared" si="47"/>
        <v>0</v>
      </c>
      <c r="CE70" s="137">
        <f t="shared" si="47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41"/>
        <v>1</v>
      </c>
      <c r="K71" s="101">
        <v>0</v>
      </c>
      <c r="L71" s="132">
        <f t="shared" si="42"/>
        <v>0.1</v>
      </c>
      <c r="M71" s="132">
        <f t="shared" si="43"/>
        <v>0</v>
      </c>
      <c r="N71" s="132">
        <f t="shared" si="3"/>
        <v>-0.1</v>
      </c>
      <c r="O71" s="133" t="str">
        <f t="shared" si="44"/>
        <v>지연</v>
      </c>
      <c r="P71" s="104"/>
      <c r="Q71" s="104"/>
      <c r="R71" s="104"/>
      <c r="S71" s="104"/>
      <c r="T71" s="130"/>
      <c r="U71" s="134" t="str">
        <f t="shared" si="2"/>
        <v/>
      </c>
      <c r="V71" s="253">
        <f>NETWORKDAYS(P71,Q71,진행현황_전체!C$59:C$77)</f>
        <v>0</v>
      </c>
      <c r="W71" s="135">
        <f t="shared" si="45"/>
        <v>0</v>
      </c>
      <c r="X71" s="136">
        <f t="shared" si="45"/>
        <v>0</v>
      </c>
      <c r="Y71" s="136">
        <f t="shared" si="45"/>
        <v>0</v>
      </c>
      <c r="Z71" s="136">
        <f t="shared" si="45"/>
        <v>0</v>
      </c>
      <c r="AA71" s="137">
        <f t="shared" si="45"/>
        <v>0</v>
      </c>
      <c r="AB71" s="138">
        <f t="shared" si="45"/>
        <v>0</v>
      </c>
      <c r="AC71" s="136">
        <f t="shared" si="45"/>
        <v>0</v>
      </c>
      <c r="AD71" s="136">
        <f t="shared" si="45"/>
        <v>0</v>
      </c>
      <c r="AE71" s="137">
        <f t="shared" si="45"/>
        <v>0</v>
      </c>
      <c r="AF71" s="135">
        <f t="shared" si="45"/>
        <v>0</v>
      </c>
      <c r="AG71" s="136">
        <f t="shared" si="45"/>
        <v>0</v>
      </c>
      <c r="AH71" s="136">
        <f t="shared" si="45"/>
        <v>0</v>
      </c>
      <c r="AI71" s="137">
        <f t="shared" si="45"/>
        <v>0</v>
      </c>
      <c r="AJ71" s="135">
        <f t="shared" si="45"/>
        <v>0</v>
      </c>
      <c r="AK71" s="138">
        <f t="shared" si="45"/>
        <v>0</v>
      </c>
      <c r="AL71" s="136">
        <f t="shared" si="45"/>
        <v>0</v>
      </c>
      <c r="AM71" s="136">
        <f t="shared" si="45"/>
        <v>0</v>
      </c>
      <c r="AN71" s="194">
        <f t="shared" si="45"/>
        <v>0</v>
      </c>
      <c r="AO71" s="138">
        <f t="shared" si="45"/>
        <v>0</v>
      </c>
      <c r="AP71" s="136">
        <f t="shared" si="45"/>
        <v>0</v>
      </c>
      <c r="AQ71" s="136">
        <f t="shared" si="45"/>
        <v>0</v>
      </c>
      <c r="AR71" s="137">
        <f t="shared" si="46"/>
        <v>0</v>
      </c>
      <c r="AS71" s="135">
        <f t="shared" si="46"/>
        <v>0</v>
      </c>
      <c r="AT71" s="136">
        <f t="shared" si="46"/>
        <v>0</v>
      </c>
      <c r="AU71" s="136">
        <f t="shared" si="46"/>
        <v>0</v>
      </c>
      <c r="AV71" s="137">
        <f t="shared" si="46"/>
        <v>0</v>
      </c>
      <c r="AW71" s="135">
        <f t="shared" si="46"/>
        <v>0</v>
      </c>
      <c r="AX71" s="136">
        <f t="shared" si="46"/>
        <v>0</v>
      </c>
      <c r="AY71" s="136">
        <f t="shared" si="46"/>
        <v>0</v>
      </c>
      <c r="AZ71" s="136">
        <f t="shared" si="46"/>
        <v>0</v>
      </c>
      <c r="BA71" s="137">
        <f t="shared" si="46"/>
        <v>0</v>
      </c>
      <c r="BB71" s="138">
        <f t="shared" si="46"/>
        <v>0</v>
      </c>
      <c r="BC71" s="136">
        <f t="shared" si="46"/>
        <v>0</v>
      </c>
      <c r="BD71" s="136">
        <f t="shared" si="46"/>
        <v>0</v>
      </c>
      <c r="BE71" s="137">
        <f t="shared" si="46"/>
        <v>0</v>
      </c>
      <c r="BF71" s="135">
        <f t="shared" si="46"/>
        <v>0</v>
      </c>
      <c r="BG71" s="136">
        <f t="shared" si="46"/>
        <v>0</v>
      </c>
      <c r="BH71" s="136">
        <f t="shared" si="47"/>
        <v>0</v>
      </c>
      <c r="BI71" s="137">
        <f t="shared" si="47"/>
        <v>0</v>
      </c>
      <c r="BJ71" s="138">
        <f t="shared" si="47"/>
        <v>0</v>
      </c>
      <c r="BK71" s="136">
        <f t="shared" si="47"/>
        <v>0</v>
      </c>
      <c r="BL71" s="136">
        <f t="shared" si="47"/>
        <v>0</v>
      </c>
      <c r="BM71" s="136">
        <f t="shared" si="47"/>
        <v>0</v>
      </c>
      <c r="BN71" s="137">
        <f t="shared" si="47"/>
        <v>0</v>
      </c>
      <c r="BO71" s="138">
        <f t="shared" si="47"/>
        <v>0</v>
      </c>
      <c r="BP71" s="136">
        <f t="shared" si="47"/>
        <v>0</v>
      </c>
      <c r="BQ71" s="136">
        <f t="shared" si="47"/>
        <v>0</v>
      </c>
      <c r="BR71" s="137">
        <f t="shared" si="47"/>
        <v>0</v>
      </c>
      <c r="BS71" s="138">
        <f t="shared" si="47"/>
        <v>0</v>
      </c>
      <c r="BT71" s="136">
        <f t="shared" si="47"/>
        <v>0</v>
      </c>
      <c r="BU71" s="136">
        <f t="shared" si="47"/>
        <v>0</v>
      </c>
      <c r="BV71" s="136">
        <f t="shared" si="47"/>
        <v>0</v>
      </c>
      <c r="BW71" s="137">
        <f t="shared" si="47"/>
        <v>0</v>
      </c>
      <c r="BX71" s="138">
        <f t="shared" si="47"/>
        <v>0</v>
      </c>
      <c r="BY71" s="136">
        <f t="shared" si="47"/>
        <v>0</v>
      </c>
      <c r="BZ71" s="136">
        <f t="shared" si="47"/>
        <v>0</v>
      </c>
      <c r="CA71" s="137">
        <f t="shared" si="47"/>
        <v>0</v>
      </c>
      <c r="CB71" s="135">
        <f t="shared" si="47"/>
        <v>0</v>
      </c>
      <c r="CC71" s="136">
        <f t="shared" si="47"/>
        <v>0</v>
      </c>
      <c r="CD71" s="136">
        <f t="shared" si="47"/>
        <v>0</v>
      </c>
      <c r="CE71" s="137">
        <f t="shared" si="47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41"/>
        <v>1</v>
      </c>
      <c r="K72" s="101">
        <v>0</v>
      </c>
      <c r="L72" s="132">
        <f t="shared" si="42"/>
        <v>0.1</v>
      </c>
      <c r="M72" s="132">
        <f t="shared" si="43"/>
        <v>0</v>
      </c>
      <c r="N72" s="132">
        <f t="shared" si="3"/>
        <v>-0.1</v>
      </c>
      <c r="O72" s="133" t="str">
        <f t="shared" si="44"/>
        <v>지연</v>
      </c>
      <c r="P72" s="104"/>
      <c r="Q72" s="104"/>
      <c r="R72" s="104"/>
      <c r="S72" s="104"/>
      <c r="T72" s="94"/>
      <c r="U72" s="134" t="str">
        <f t="shared" si="2"/>
        <v/>
      </c>
      <c r="V72" s="253">
        <f>NETWORKDAYS(P72,Q72,진행현황_전체!C$59:C$77)</f>
        <v>0</v>
      </c>
      <c r="W72" s="135">
        <f t="shared" si="45"/>
        <v>0</v>
      </c>
      <c r="X72" s="136">
        <f t="shared" si="45"/>
        <v>0</v>
      </c>
      <c r="Y72" s="136">
        <f t="shared" si="45"/>
        <v>0</v>
      </c>
      <c r="Z72" s="136">
        <f t="shared" si="45"/>
        <v>0</v>
      </c>
      <c r="AA72" s="137">
        <f t="shared" si="45"/>
        <v>0</v>
      </c>
      <c r="AB72" s="138">
        <f t="shared" si="45"/>
        <v>0</v>
      </c>
      <c r="AC72" s="136">
        <f t="shared" si="45"/>
        <v>0</v>
      </c>
      <c r="AD72" s="136">
        <f t="shared" si="45"/>
        <v>0</v>
      </c>
      <c r="AE72" s="137">
        <f t="shared" si="45"/>
        <v>0</v>
      </c>
      <c r="AF72" s="135">
        <f t="shared" si="45"/>
        <v>0</v>
      </c>
      <c r="AG72" s="136">
        <f t="shared" si="45"/>
        <v>0</v>
      </c>
      <c r="AH72" s="136">
        <f t="shared" si="45"/>
        <v>0</v>
      </c>
      <c r="AI72" s="137">
        <f t="shared" si="45"/>
        <v>0</v>
      </c>
      <c r="AJ72" s="135">
        <f t="shared" si="45"/>
        <v>0</v>
      </c>
      <c r="AK72" s="138">
        <f t="shared" si="45"/>
        <v>0</v>
      </c>
      <c r="AL72" s="136">
        <f t="shared" si="45"/>
        <v>0</v>
      </c>
      <c r="AM72" s="136">
        <f t="shared" si="45"/>
        <v>0</v>
      </c>
      <c r="AN72" s="194">
        <f t="shared" si="45"/>
        <v>0</v>
      </c>
      <c r="AO72" s="138">
        <f t="shared" si="45"/>
        <v>0</v>
      </c>
      <c r="AP72" s="136">
        <f t="shared" si="45"/>
        <v>0</v>
      </c>
      <c r="AQ72" s="136">
        <f t="shared" si="45"/>
        <v>0</v>
      </c>
      <c r="AR72" s="137">
        <f t="shared" si="46"/>
        <v>0</v>
      </c>
      <c r="AS72" s="135">
        <f t="shared" si="46"/>
        <v>0</v>
      </c>
      <c r="AT72" s="136">
        <f t="shared" si="46"/>
        <v>0</v>
      </c>
      <c r="AU72" s="136">
        <f t="shared" si="46"/>
        <v>0</v>
      </c>
      <c r="AV72" s="137">
        <f t="shared" si="46"/>
        <v>0</v>
      </c>
      <c r="AW72" s="135">
        <f t="shared" si="46"/>
        <v>0</v>
      </c>
      <c r="AX72" s="136">
        <f t="shared" si="46"/>
        <v>0</v>
      </c>
      <c r="AY72" s="136">
        <f t="shared" si="46"/>
        <v>0</v>
      </c>
      <c r="AZ72" s="136">
        <f t="shared" si="46"/>
        <v>0</v>
      </c>
      <c r="BA72" s="137">
        <f t="shared" si="46"/>
        <v>0</v>
      </c>
      <c r="BB72" s="138">
        <f t="shared" si="46"/>
        <v>0</v>
      </c>
      <c r="BC72" s="136">
        <f t="shared" si="46"/>
        <v>0</v>
      </c>
      <c r="BD72" s="136">
        <f t="shared" si="46"/>
        <v>0</v>
      </c>
      <c r="BE72" s="137">
        <f t="shared" si="46"/>
        <v>0</v>
      </c>
      <c r="BF72" s="135">
        <f t="shared" si="46"/>
        <v>0</v>
      </c>
      <c r="BG72" s="136">
        <f t="shared" si="46"/>
        <v>0</v>
      </c>
      <c r="BH72" s="136">
        <f t="shared" si="47"/>
        <v>0</v>
      </c>
      <c r="BI72" s="137">
        <f t="shared" si="47"/>
        <v>0</v>
      </c>
      <c r="BJ72" s="138">
        <f t="shared" si="47"/>
        <v>0</v>
      </c>
      <c r="BK72" s="136">
        <f t="shared" si="47"/>
        <v>0</v>
      </c>
      <c r="BL72" s="136">
        <f t="shared" si="47"/>
        <v>0</v>
      </c>
      <c r="BM72" s="136">
        <f t="shared" si="47"/>
        <v>0</v>
      </c>
      <c r="BN72" s="137">
        <f t="shared" si="47"/>
        <v>0</v>
      </c>
      <c r="BO72" s="138">
        <f t="shared" si="47"/>
        <v>0</v>
      </c>
      <c r="BP72" s="136">
        <f t="shared" si="47"/>
        <v>0</v>
      </c>
      <c r="BQ72" s="136">
        <f t="shared" si="47"/>
        <v>0</v>
      </c>
      <c r="BR72" s="137">
        <f t="shared" si="47"/>
        <v>0</v>
      </c>
      <c r="BS72" s="138">
        <f t="shared" si="47"/>
        <v>0</v>
      </c>
      <c r="BT72" s="136">
        <f t="shared" si="47"/>
        <v>0</v>
      </c>
      <c r="BU72" s="136">
        <f t="shared" si="47"/>
        <v>0</v>
      </c>
      <c r="BV72" s="136">
        <f t="shared" si="47"/>
        <v>0</v>
      </c>
      <c r="BW72" s="137">
        <f t="shared" si="47"/>
        <v>0</v>
      </c>
      <c r="BX72" s="138">
        <f t="shared" si="47"/>
        <v>0</v>
      </c>
      <c r="BY72" s="136">
        <f t="shared" si="47"/>
        <v>0</v>
      </c>
      <c r="BZ72" s="136">
        <f t="shared" si="47"/>
        <v>0</v>
      </c>
      <c r="CA72" s="137">
        <f t="shared" si="47"/>
        <v>0</v>
      </c>
      <c r="CB72" s="135">
        <f t="shared" si="47"/>
        <v>0</v>
      </c>
      <c r="CC72" s="136">
        <f t="shared" si="47"/>
        <v>0</v>
      </c>
      <c r="CD72" s="136">
        <f t="shared" si="47"/>
        <v>0</v>
      </c>
      <c r="CE72" s="137">
        <f t="shared" si="47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41"/>
        <v>1</v>
      </c>
      <c r="K73" s="101">
        <v>0</v>
      </c>
      <c r="L73" s="132">
        <f t="shared" si="42"/>
        <v>0.1</v>
      </c>
      <c r="M73" s="132">
        <f t="shared" si="43"/>
        <v>0</v>
      </c>
      <c r="N73" s="132">
        <f t="shared" si="3"/>
        <v>-0.1</v>
      </c>
      <c r="O73" s="133" t="str">
        <f t="shared" si="44"/>
        <v>지연</v>
      </c>
      <c r="P73" s="104"/>
      <c r="Q73" s="104"/>
      <c r="R73" s="104"/>
      <c r="S73" s="104"/>
      <c r="T73" s="130"/>
      <c r="U73" s="134" t="str">
        <f t="shared" ref="U73:U97" si="48">IF(ISBLANK(T73),"",(DAYS360(VLOOKUP(T73,$A$9:$Q$97,15,FALSE),P73)-1))</f>
        <v/>
      </c>
      <c r="V73" s="253">
        <f>NETWORKDAYS(P73,Q73,진행현황_전체!C$59:C$77)</f>
        <v>0</v>
      </c>
      <c r="W73" s="135">
        <f t="shared" si="45"/>
        <v>0</v>
      </c>
      <c r="X73" s="136">
        <f t="shared" si="45"/>
        <v>0</v>
      </c>
      <c r="Y73" s="136">
        <f t="shared" si="45"/>
        <v>0</v>
      </c>
      <c r="Z73" s="136">
        <f t="shared" si="45"/>
        <v>0</v>
      </c>
      <c r="AA73" s="137">
        <f t="shared" si="45"/>
        <v>0</v>
      </c>
      <c r="AB73" s="138">
        <f t="shared" si="45"/>
        <v>0</v>
      </c>
      <c r="AC73" s="136">
        <f t="shared" si="45"/>
        <v>0</v>
      </c>
      <c r="AD73" s="136">
        <f t="shared" si="45"/>
        <v>0</v>
      </c>
      <c r="AE73" s="137">
        <f t="shared" si="45"/>
        <v>0</v>
      </c>
      <c r="AF73" s="135">
        <f t="shared" si="45"/>
        <v>0</v>
      </c>
      <c r="AG73" s="136">
        <f t="shared" si="45"/>
        <v>0</v>
      </c>
      <c r="AH73" s="136">
        <f t="shared" si="45"/>
        <v>0</v>
      </c>
      <c r="AI73" s="137">
        <f t="shared" si="45"/>
        <v>0</v>
      </c>
      <c r="AJ73" s="135">
        <f t="shared" si="45"/>
        <v>0</v>
      </c>
      <c r="AK73" s="138">
        <f t="shared" si="45"/>
        <v>0</v>
      </c>
      <c r="AL73" s="136">
        <f t="shared" si="45"/>
        <v>0</v>
      </c>
      <c r="AM73" s="136">
        <f t="shared" si="45"/>
        <v>0</v>
      </c>
      <c r="AN73" s="194">
        <f t="shared" si="45"/>
        <v>0</v>
      </c>
      <c r="AO73" s="138">
        <f t="shared" si="45"/>
        <v>0</v>
      </c>
      <c r="AP73" s="136">
        <f t="shared" si="45"/>
        <v>0</v>
      </c>
      <c r="AQ73" s="136">
        <f t="shared" si="45"/>
        <v>0</v>
      </c>
      <c r="AR73" s="137">
        <f t="shared" si="46"/>
        <v>0</v>
      </c>
      <c r="AS73" s="135">
        <f t="shared" si="46"/>
        <v>0</v>
      </c>
      <c r="AT73" s="136">
        <f t="shared" si="46"/>
        <v>0</v>
      </c>
      <c r="AU73" s="136">
        <f t="shared" si="46"/>
        <v>0</v>
      </c>
      <c r="AV73" s="137">
        <f t="shared" si="46"/>
        <v>0</v>
      </c>
      <c r="AW73" s="135">
        <f t="shared" si="46"/>
        <v>0</v>
      </c>
      <c r="AX73" s="136">
        <f t="shared" si="46"/>
        <v>0</v>
      </c>
      <c r="AY73" s="136">
        <f t="shared" si="46"/>
        <v>0</v>
      </c>
      <c r="AZ73" s="136">
        <f t="shared" si="46"/>
        <v>0</v>
      </c>
      <c r="BA73" s="137">
        <f t="shared" si="46"/>
        <v>0</v>
      </c>
      <c r="BB73" s="138">
        <f t="shared" si="46"/>
        <v>0</v>
      </c>
      <c r="BC73" s="136">
        <f t="shared" si="46"/>
        <v>0</v>
      </c>
      <c r="BD73" s="136">
        <f t="shared" si="46"/>
        <v>0</v>
      </c>
      <c r="BE73" s="137">
        <f t="shared" si="46"/>
        <v>0</v>
      </c>
      <c r="BF73" s="135">
        <f t="shared" si="46"/>
        <v>0</v>
      </c>
      <c r="BG73" s="136">
        <f t="shared" si="46"/>
        <v>0</v>
      </c>
      <c r="BH73" s="136">
        <f t="shared" si="47"/>
        <v>0</v>
      </c>
      <c r="BI73" s="137">
        <f t="shared" si="47"/>
        <v>0</v>
      </c>
      <c r="BJ73" s="138">
        <f t="shared" si="47"/>
        <v>0</v>
      </c>
      <c r="BK73" s="136">
        <f t="shared" si="47"/>
        <v>0</v>
      </c>
      <c r="BL73" s="136">
        <f t="shared" si="47"/>
        <v>0</v>
      </c>
      <c r="BM73" s="136">
        <f t="shared" si="47"/>
        <v>0</v>
      </c>
      <c r="BN73" s="137">
        <f t="shared" si="47"/>
        <v>0</v>
      </c>
      <c r="BO73" s="138">
        <f t="shared" si="47"/>
        <v>0</v>
      </c>
      <c r="BP73" s="136">
        <f t="shared" si="47"/>
        <v>0</v>
      </c>
      <c r="BQ73" s="136">
        <f t="shared" si="47"/>
        <v>0</v>
      </c>
      <c r="BR73" s="137">
        <f t="shared" si="47"/>
        <v>0</v>
      </c>
      <c r="BS73" s="138">
        <f t="shared" si="47"/>
        <v>0</v>
      </c>
      <c r="BT73" s="136">
        <f t="shared" si="47"/>
        <v>0</v>
      </c>
      <c r="BU73" s="136">
        <f t="shared" si="47"/>
        <v>0</v>
      </c>
      <c r="BV73" s="136">
        <f t="shared" si="47"/>
        <v>0</v>
      </c>
      <c r="BW73" s="137">
        <f t="shared" si="47"/>
        <v>0</v>
      </c>
      <c r="BX73" s="138">
        <f t="shared" si="47"/>
        <v>0</v>
      </c>
      <c r="BY73" s="136">
        <f t="shared" si="47"/>
        <v>0</v>
      </c>
      <c r="BZ73" s="136">
        <f t="shared" si="47"/>
        <v>0</v>
      </c>
      <c r="CA73" s="137">
        <f t="shared" si="47"/>
        <v>0</v>
      </c>
      <c r="CB73" s="135">
        <f t="shared" si="47"/>
        <v>0</v>
      </c>
      <c r="CC73" s="136">
        <f t="shared" si="47"/>
        <v>0</v>
      </c>
      <c r="CD73" s="136">
        <f t="shared" si="47"/>
        <v>0</v>
      </c>
      <c r="CE73" s="137">
        <f t="shared" si="47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41"/>
        <v>1</v>
      </c>
      <c r="K74" s="101">
        <v>0</v>
      </c>
      <c r="L74" s="132">
        <f t="shared" si="42"/>
        <v>0.1</v>
      </c>
      <c r="M74" s="132">
        <f t="shared" si="43"/>
        <v>0</v>
      </c>
      <c r="N74" s="132">
        <f t="shared" si="3"/>
        <v>-0.1</v>
      </c>
      <c r="O74" s="133" t="str">
        <f t="shared" si="44"/>
        <v>지연</v>
      </c>
      <c r="P74" s="104"/>
      <c r="Q74" s="104"/>
      <c r="R74" s="104"/>
      <c r="S74" s="104"/>
      <c r="T74" s="94"/>
      <c r="U74" s="134" t="str">
        <f t="shared" si="48"/>
        <v/>
      </c>
      <c r="V74" s="253">
        <f>NETWORKDAYS(P74,Q74,진행현황_전체!C$59:C$77)</f>
        <v>0</v>
      </c>
      <c r="W74" s="135">
        <f t="shared" si="45"/>
        <v>0</v>
      </c>
      <c r="X74" s="136">
        <f t="shared" si="45"/>
        <v>0</v>
      </c>
      <c r="Y74" s="136">
        <f t="shared" si="45"/>
        <v>0</v>
      </c>
      <c r="Z74" s="136">
        <f t="shared" si="45"/>
        <v>0</v>
      </c>
      <c r="AA74" s="137">
        <f t="shared" si="45"/>
        <v>0</v>
      </c>
      <c r="AB74" s="138">
        <f t="shared" si="45"/>
        <v>0</v>
      </c>
      <c r="AC74" s="136">
        <f t="shared" si="45"/>
        <v>0</v>
      </c>
      <c r="AD74" s="136">
        <f t="shared" si="45"/>
        <v>0</v>
      </c>
      <c r="AE74" s="137">
        <f t="shared" si="45"/>
        <v>0</v>
      </c>
      <c r="AF74" s="135">
        <f t="shared" si="45"/>
        <v>0</v>
      </c>
      <c r="AG74" s="136">
        <f t="shared" si="45"/>
        <v>0</v>
      </c>
      <c r="AH74" s="136">
        <f t="shared" si="45"/>
        <v>0</v>
      </c>
      <c r="AI74" s="137">
        <f t="shared" si="45"/>
        <v>0</v>
      </c>
      <c r="AJ74" s="135">
        <f t="shared" si="45"/>
        <v>0</v>
      </c>
      <c r="AK74" s="138">
        <f t="shared" si="45"/>
        <v>0</v>
      </c>
      <c r="AL74" s="136">
        <f t="shared" si="45"/>
        <v>0</v>
      </c>
      <c r="AM74" s="136">
        <f t="shared" si="45"/>
        <v>0</v>
      </c>
      <c r="AN74" s="194">
        <f t="shared" si="45"/>
        <v>0</v>
      </c>
      <c r="AO74" s="138">
        <f t="shared" si="45"/>
        <v>0</v>
      </c>
      <c r="AP74" s="136">
        <f t="shared" si="45"/>
        <v>0</v>
      </c>
      <c r="AQ74" s="136">
        <f t="shared" si="45"/>
        <v>0</v>
      </c>
      <c r="AR74" s="137">
        <f t="shared" si="46"/>
        <v>0</v>
      </c>
      <c r="AS74" s="135">
        <f t="shared" si="46"/>
        <v>0</v>
      </c>
      <c r="AT74" s="136">
        <f t="shared" si="46"/>
        <v>0</v>
      </c>
      <c r="AU74" s="136">
        <f t="shared" si="46"/>
        <v>0</v>
      </c>
      <c r="AV74" s="137">
        <f t="shared" si="46"/>
        <v>0</v>
      </c>
      <c r="AW74" s="135">
        <f t="shared" si="46"/>
        <v>0</v>
      </c>
      <c r="AX74" s="136">
        <f t="shared" si="46"/>
        <v>0</v>
      </c>
      <c r="AY74" s="136">
        <f t="shared" si="46"/>
        <v>0</v>
      </c>
      <c r="AZ74" s="136">
        <f t="shared" si="46"/>
        <v>0</v>
      </c>
      <c r="BA74" s="137">
        <f t="shared" si="46"/>
        <v>0</v>
      </c>
      <c r="BB74" s="138">
        <f t="shared" si="46"/>
        <v>0</v>
      </c>
      <c r="BC74" s="136">
        <f t="shared" si="46"/>
        <v>0</v>
      </c>
      <c r="BD74" s="136">
        <f t="shared" si="46"/>
        <v>0</v>
      </c>
      <c r="BE74" s="137">
        <f t="shared" si="46"/>
        <v>0</v>
      </c>
      <c r="BF74" s="135">
        <f t="shared" si="46"/>
        <v>0</v>
      </c>
      <c r="BG74" s="136">
        <f t="shared" si="46"/>
        <v>0</v>
      </c>
      <c r="BH74" s="136">
        <f t="shared" si="47"/>
        <v>0</v>
      </c>
      <c r="BI74" s="137">
        <f t="shared" si="47"/>
        <v>0</v>
      </c>
      <c r="BJ74" s="138">
        <f t="shared" si="47"/>
        <v>0</v>
      </c>
      <c r="BK74" s="136">
        <f t="shared" si="47"/>
        <v>0</v>
      </c>
      <c r="BL74" s="136">
        <f t="shared" si="47"/>
        <v>0</v>
      </c>
      <c r="BM74" s="136">
        <f t="shared" si="47"/>
        <v>0</v>
      </c>
      <c r="BN74" s="137">
        <f t="shared" si="47"/>
        <v>0</v>
      </c>
      <c r="BO74" s="138">
        <f t="shared" si="47"/>
        <v>0</v>
      </c>
      <c r="BP74" s="136">
        <f t="shared" si="47"/>
        <v>0</v>
      </c>
      <c r="BQ74" s="136">
        <f t="shared" si="47"/>
        <v>0</v>
      </c>
      <c r="BR74" s="137">
        <f t="shared" si="47"/>
        <v>0</v>
      </c>
      <c r="BS74" s="138">
        <f t="shared" si="47"/>
        <v>0</v>
      </c>
      <c r="BT74" s="136">
        <f t="shared" si="47"/>
        <v>0</v>
      </c>
      <c r="BU74" s="136">
        <f t="shared" si="47"/>
        <v>0</v>
      </c>
      <c r="BV74" s="136">
        <f t="shared" si="47"/>
        <v>0</v>
      </c>
      <c r="BW74" s="137">
        <f t="shared" si="47"/>
        <v>0</v>
      </c>
      <c r="BX74" s="138">
        <f t="shared" si="47"/>
        <v>0</v>
      </c>
      <c r="BY74" s="136">
        <f t="shared" si="47"/>
        <v>0</v>
      </c>
      <c r="BZ74" s="136">
        <f t="shared" si="47"/>
        <v>0</v>
      </c>
      <c r="CA74" s="137">
        <f t="shared" si="47"/>
        <v>0</v>
      </c>
      <c r="CB74" s="135">
        <f t="shared" si="47"/>
        <v>0</v>
      </c>
      <c r="CC74" s="136">
        <f t="shared" si="47"/>
        <v>0</v>
      </c>
      <c r="CD74" s="136">
        <f t="shared" si="47"/>
        <v>0</v>
      </c>
      <c r="CE74" s="137">
        <f t="shared" si="47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41"/>
        <v>1</v>
      </c>
      <c r="K75" s="101">
        <v>0</v>
      </c>
      <c r="L75" s="132">
        <f t="shared" si="42"/>
        <v>0.1</v>
      </c>
      <c r="M75" s="132">
        <f t="shared" si="43"/>
        <v>0</v>
      </c>
      <c r="N75" s="132">
        <f t="shared" si="3"/>
        <v>-0.1</v>
      </c>
      <c r="O75" s="133" t="str">
        <f t="shared" si="44"/>
        <v>지연</v>
      </c>
      <c r="P75" s="104"/>
      <c r="Q75" s="104"/>
      <c r="R75" s="104"/>
      <c r="S75" s="104"/>
      <c r="T75" s="94"/>
      <c r="U75" s="134" t="str">
        <f t="shared" si="48"/>
        <v/>
      </c>
      <c r="V75" s="253">
        <f>NETWORKDAYS(P75,Q75,진행현황_전체!C$59:C$77)</f>
        <v>0</v>
      </c>
      <c r="W75" s="135">
        <f t="shared" si="45"/>
        <v>0</v>
      </c>
      <c r="X75" s="136">
        <f t="shared" si="45"/>
        <v>0</v>
      </c>
      <c r="Y75" s="136">
        <f t="shared" si="45"/>
        <v>0</v>
      </c>
      <c r="Z75" s="136">
        <f t="shared" si="45"/>
        <v>0</v>
      </c>
      <c r="AA75" s="137">
        <f t="shared" si="45"/>
        <v>0</v>
      </c>
      <c r="AB75" s="138">
        <f t="shared" si="45"/>
        <v>0</v>
      </c>
      <c r="AC75" s="136">
        <f t="shared" si="45"/>
        <v>0</v>
      </c>
      <c r="AD75" s="136">
        <f t="shared" si="45"/>
        <v>0</v>
      </c>
      <c r="AE75" s="137">
        <f t="shared" si="45"/>
        <v>0</v>
      </c>
      <c r="AF75" s="135">
        <f t="shared" si="45"/>
        <v>0</v>
      </c>
      <c r="AG75" s="136">
        <f t="shared" si="45"/>
        <v>0</v>
      </c>
      <c r="AH75" s="136">
        <f t="shared" si="45"/>
        <v>0</v>
      </c>
      <c r="AI75" s="137">
        <f t="shared" si="45"/>
        <v>0</v>
      </c>
      <c r="AJ75" s="135">
        <f t="shared" si="45"/>
        <v>0</v>
      </c>
      <c r="AK75" s="138">
        <f t="shared" si="45"/>
        <v>0</v>
      </c>
      <c r="AL75" s="136">
        <f t="shared" si="45"/>
        <v>0</v>
      </c>
      <c r="AM75" s="136">
        <f t="shared" si="45"/>
        <v>0</v>
      </c>
      <c r="AN75" s="194">
        <f t="shared" si="45"/>
        <v>0</v>
      </c>
      <c r="AO75" s="138">
        <f t="shared" si="45"/>
        <v>0</v>
      </c>
      <c r="AP75" s="136">
        <f t="shared" si="45"/>
        <v>0</v>
      </c>
      <c r="AQ75" s="136">
        <f t="shared" si="45"/>
        <v>0</v>
      </c>
      <c r="AR75" s="137">
        <f t="shared" si="46"/>
        <v>0</v>
      </c>
      <c r="AS75" s="135">
        <f t="shared" si="46"/>
        <v>0</v>
      </c>
      <c r="AT75" s="136">
        <f t="shared" si="46"/>
        <v>0</v>
      </c>
      <c r="AU75" s="136">
        <f t="shared" si="46"/>
        <v>0</v>
      </c>
      <c r="AV75" s="137">
        <f t="shared" si="46"/>
        <v>0</v>
      </c>
      <c r="AW75" s="135">
        <f t="shared" si="46"/>
        <v>0</v>
      </c>
      <c r="AX75" s="136">
        <f t="shared" si="46"/>
        <v>0</v>
      </c>
      <c r="AY75" s="136">
        <f t="shared" si="46"/>
        <v>0</v>
      </c>
      <c r="AZ75" s="136">
        <f t="shared" si="46"/>
        <v>0</v>
      </c>
      <c r="BA75" s="137">
        <f t="shared" si="46"/>
        <v>0</v>
      </c>
      <c r="BB75" s="138">
        <f t="shared" si="46"/>
        <v>0</v>
      </c>
      <c r="BC75" s="136">
        <f t="shared" si="46"/>
        <v>0</v>
      </c>
      <c r="BD75" s="136">
        <f t="shared" si="46"/>
        <v>0</v>
      </c>
      <c r="BE75" s="137">
        <f t="shared" si="46"/>
        <v>0</v>
      </c>
      <c r="BF75" s="135">
        <f t="shared" si="46"/>
        <v>0</v>
      </c>
      <c r="BG75" s="136">
        <f t="shared" si="46"/>
        <v>0</v>
      </c>
      <c r="BH75" s="136">
        <f t="shared" si="47"/>
        <v>0</v>
      </c>
      <c r="BI75" s="137">
        <f t="shared" si="47"/>
        <v>0</v>
      </c>
      <c r="BJ75" s="138">
        <f t="shared" si="47"/>
        <v>0</v>
      </c>
      <c r="BK75" s="136">
        <f t="shared" si="47"/>
        <v>0</v>
      </c>
      <c r="BL75" s="136">
        <f t="shared" si="47"/>
        <v>0</v>
      </c>
      <c r="BM75" s="136">
        <f t="shared" si="47"/>
        <v>0</v>
      </c>
      <c r="BN75" s="137">
        <f t="shared" si="47"/>
        <v>0</v>
      </c>
      <c r="BO75" s="138">
        <f t="shared" si="47"/>
        <v>0</v>
      </c>
      <c r="BP75" s="136">
        <f t="shared" si="47"/>
        <v>0</v>
      </c>
      <c r="BQ75" s="136">
        <f t="shared" si="47"/>
        <v>0</v>
      </c>
      <c r="BR75" s="137">
        <f t="shared" si="47"/>
        <v>0</v>
      </c>
      <c r="BS75" s="138">
        <f t="shared" si="47"/>
        <v>0</v>
      </c>
      <c r="BT75" s="136">
        <f t="shared" si="47"/>
        <v>0</v>
      </c>
      <c r="BU75" s="136">
        <f t="shared" si="47"/>
        <v>0</v>
      </c>
      <c r="BV75" s="136">
        <f t="shared" si="47"/>
        <v>0</v>
      </c>
      <c r="BW75" s="137">
        <f t="shared" si="47"/>
        <v>0</v>
      </c>
      <c r="BX75" s="138">
        <f t="shared" si="47"/>
        <v>0</v>
      </c>
      <c r="BY75" s="136">
        <f t="shared" si="47"/>
        <v>0</v>
      </c>
      <c r="BZ75" s="136">
        <f t="shared" si="47"/>
        <v>0</v>
      </c>
      <c r="CA75" s="137">
        <f t="shared" si="47"/>
        <v>0</v>
      </c>
      <c r="CB75" s="135">
        <f t="shared" si="47"/>
        <v>0</v>
      </c>
      <c r="CC75" s="136">
        <f t="shared" si="47"/>
        <v>0</v>
      </c>
      <c r="CD75" s="136">
        <f t="shared" si="47"/>
        <v>0</v>
      </c>
      <c r="CE75" s="137">
        <f t="shared" si="47"/>
        <v>0</v>
      </c>
    </row>
    <row r="76" spans="1:83" ht="17.25" thickBot="1">
      <c r="A76" s="139" t="s">
        <v>80</v>
      </c>
      <c r="B76" s="114" t="str">
        <f>진행현황_10.범위명!H15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진행현황_10.범위명!H16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49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48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50">IF(CheckDay&gt;=Q77,1,IF(CheckDay&lt;P77, 0,DAYS360(P77,CheckDay+1)/Y77))</f>
        <v>1</v>
      </c>
      <c r="K77" s="101">
        <v>0</v>
      </c>
      <c r="L77" s="132">
        <f t="shared" ref="L77:L86" si="51">I77*J77/100</f>
        <v>0.1</v>
      </c>
      <c r="M77" s="132">
        <f t="shared" ref="M77:M86" si="52">I77*K77/100</f>
        <v>0</v>
      </c>
      <c r="N77" s="132">
        <f t="shared" si="49"/>
        <v>-0.1</v>
      </c>
      <c r="O77" s="133" t="str">
        <f t="shared" ref="O77:O86" si="53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48"/>
        <v/>
      </c>
      <c r="V77" s="253">
        <f>NETWORKDAYS(P77,Q77,진행현황_전체!C$59:C$77)</f>
        <v>0</v>
      </c>
      <c r="W77" s="135">
        <f t="shared" ref="W77:AQ86" si="54">IF(OR((AND($P77&lt;=W$7,AND($Q77&lt;=W$8, $Q77&gt;=W$7))),(AND(AND($P77&gt;=W$7, $P77&lt;=W$8),$Q77&gt;=W$8)), AND($P77&gt;=W$7, $Q77&lt;=W$8), AND($P77&lt;=W$7,$Q77&gt;=W$8)),1,0)</f>
        <v>0</v>
      </c>
      <c r="X77" s="136">
        <f t="shared" si="54"/>
        <v>0</v>
      </c>
      <c r="Y77" s="136">
        <f t="shared" si="54"/>
        <v>0</v>
      </c>
      <c r="Z77" s="136">
        <f t="shared" si="54"/>
        <v>0</v>
      </c>
      <c r="AA77" s="137">
        <f t="shared" si="54"/>
        <v>0</v>
      </c>
      <c r="AB77" s="138">
        <f t="shared" si="54"/>
        <v>0</v>
      </c>
      <c r="AC77" s="136">
        <f t="shared" si="54"/>
        <v>0</v>
      </c>
      <c r="AD77" s="136">
        <f t="shared" si="54"/>
        <v>0</v>
      </c>
      <c r="AE77" s="137">
        <f t="shared" si="54"/>
        <v>0</v>
      </c>
      <c r="AF77" s="135">
        <f t="shared" si="54"/>
        <v>0</v>
      </c>
      <c r="AG77" s="136">
        <f t="shared" si="54"/>
        <v>0</v>
      </c>
      <c r="AH77" s="136">
        <f t="shared" si="54"/>
        <v>0</v>
      </c>
      <c r="AI77" s="137">
        <f t="shared" si="54"/>
        <v>0</v>
      </c>
      <c r="AJ77" s="135">
        <f t="shared" si="54"/>
        <v>0</v>
      </c>
      <c r="AK77" s="138">
        <f t="shared" si="54"/>
        <v>0</v>
      </c>
      <c r="AL77" s="136">
        <f t="shared" si="54"/>
        <v>0</v>
      </c>
      <c r="AM77" s="136">
        <f t="shared" si="54"/>
        <v>0</v>
      </c>
      <c r="AN77" s="194">
        <f t="shared" si="54"/>
        <v>0</v>
      </c>
      <c r="AO77" s="138">
        <f t="shared" si="54"/>
        <v>0</v>
      </c>
      <c r="AP77" s="136">
        <f t="shared" si="54"/>
        <v>0</v>
      </c>
      <c r="AQ77" s="136">
        <f t="shared" si="54"/>
        <v>0</v>
      </c>
      <c r="AR77" s="137">
        <f t="shared" ref="AR77:BG86" si="55">IF(OR((AND($P77&lt;=AR$7,AND($Q77&lt;=AR$8, $Q77&gt;=AR$7))),(AND(AND($P77&gt;=AR$7, $P77&lt;=AR$8),$Q77&gt;=AR$8)), AND($P77&gt;=AR$7, $Q77&lt;=AR$8), AND($P77&lt;=AR$7,$Q77&gt;=AR$8)),1,0)</f>
        <v>0</v>
      </c>
      <c r="AS77" s="135">
        <f t="shared" si="55"/>
        <v>0</v>
      </c>
      <c r="AT77" s="136">
        <f t="shared" si="55"/>
        <v>0</v>
      </c>
      <c r="AU77" s="136">
        <f t="shared" si="55"/>
        <v>0</v>
      </c>
      <c r="AV77" s="137">
        <f t="shared" si="55"/>
        <v>0</v>
      </c>
      <c r="AW77" s="135">
        <f t="shared" si="55"/>
        <v>0</v>
      </c>
      <c r="AX77" s="136">
        <f t="shared" si="55"/>
        <v>0</v>
      </c>
      <c r="AY77" s="136">
        <f t="shared" si="55"/>
        <v>0</v>
      </c>
      <c r="AZ77" s="136">
        <f t="shared" si="55"/>
        <v>0</v>
      </c>
      <c r="BA77" s="137">
        <f t="shared" si="55"/>
        <v>0</v>
      </c>
      <c r="BB77" s="138">
        <f t="shared" si="55"/>
        <v>0</v>
      </c>
      <c r="BC77" s="136">
        <f t="shared" si="55"/>
        <v>0</v>
      </c>
      <c r="BD77" s="136">
        <f t="shared" si="55"/>
        <v>0</v>
      </c>
      <c r="BE77" s="137">
        <f t="shared" si="55"/>
        <v>0</v>
      </c>
      <c r="BF77" s="135">
        <f t="shared" si="55"/>
        <v>0</v>
      </c>
      <c r="BG77" s="136">
        <f t="shared" si="55"/>
        <v>0</v>
      </c>
      <c r="BH77" s="136">
        <f t="shared" ref="BH77:CE86" si="56">IF(OR((AND($P77&lt;=BH$7,AND($Q77&lt;=BH$8, $Q77&gt;=BH$7))),(AND(AND($P77&gt;=BH$7, $P77&lt;=BH$8),$Q77&gt;=BH$8)), AND($P77&gt;=BH$7, $Q77&lt;=BH$8), AND($P77&lt;=BH$7,$Q77&gt;=BH$8)),1,0)</f>
        <v>0</v>
      </c>
      <c r="BI77" s="137">
        <f t="shared" si="56"/>
        <v>0</v>
      </c>
      <c r="BJ77" s="138">
        <f t="shared" si="56"/>
        <v>0</v>
      </c>
      <c r="BK77" s="136">
        <f t="shared" si="56"/>
        <v>0</v>
      </c>
      <c r="BL77" s="136">
        <f t="shared" si="56"/>
        <v>0</v>
      </c>
      <c r="BM77" s="136">
        <f t="shared" si="56"/>
        <v>0</v>
      </c>
      <c r="BN77" s="137">
        <f t="shared" si="56"/>
        <v>0</v>
      </c>
      <c r="BO77" s="138">
        <f t="shared" si="56"/>
        <v>0</v>
      </c>
      <c r="BP77" s="136">
        <f t="shared" si="56"/>
        <v>0</v>
      </c>
      <c r="BQ77" s="136">
        <f t="shared" si="56"/>
        <v>0</v>
      </c>
      <c r="BR77" s="137">
        <f t="shared" si="56"/>
        <v>0</v>
      </c>
      <c r="BS77" s="138">
        <f t="shared" si="56"/>
        <v>0</v>
      </c>
      <c r="BT77" s="136">
        <f t="shared" si="56"/>
        <v>0</v>
      </c>
      <c r="BU77" s="136">
        <f t="shared" si="56"/>
        <v>0</v>
      </c>
      <c r="BV77" s="136">
        <f t="shared" si="56"/>
        <v>0</v>
      </c>
      <c r="BW77" s="137">
        <f t="shared" si="56"/>
        <v>0</v>
      </c>
      <c r="BX77" s="138">
        <f t="shared" si="56"/>
        <v>0</v>
      </c>
      <c r="BY77" s="136">
        <f t="shared" si="56"/>
        <v>0</v>
      </c>
      <c r="BZ77" s="136">
        <f t="shared" si="56"/>
        <v>0</v>
      </c>
      <c r="CA77" s="137">
        <f t="shared" si="56"/>
        <v>0</v>
      </c>
      <c r="CB77" s="135">
        <f t="shared" si="56"/>
        <v>0</v>
      </c>
      <c r="CC77" s="136">
        <f t="shared" si="56"/>
        <v>0</v>
      </c>
      <c r="CD77" s="136">
        <f t="shared" si="56"/>
        <v>0</v>
      </c>
      <c r="CE77" s="137">
        <f t="shared" si="56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50"/>
        <v>1</v>
      </c>
      <c r="K78" s="101">
        <v>0</v>
      </c>
      <c r="L78" s="132">
        <f t="shared" si="51"/>
        <v>0.1</v>
      </c>
      <c r="M78" s="132">
        <f t="shared" si="52"/>
        <v>0</v>
      </c>
      <c r="N78" s="132">
        <f t="shared" si="49"/>
        <v>-0.1</v>
      </c>
      <c r="O78" s="133" t="str">
        <f t="shared" si="53"/>
        <v>지연</v>
      </c>
      <c r="P78" s="104"/>
      <c r="Q78" s="104"/>
      <c r="R78" s="104"/>
      <c r="S78" s="104"/>
      <c r="T78" s="94"/>
      <c r="U78" s="134" t="str">
        <f t="shared" si="48"/>
        <v/>
      </c>
      <c r="V78" s="253">
        <f>NETWORKDAYS(P78,Q78,진행현황_전체!C$59:C$77)</f>
        <v>0</v>
      </c>
      <c r="W78" s="135">
        <f t="shared" si="54"/>
        <v>0</v>
      </c>
      <c r="X78" s="136">
        <f t="shared" si="54"/>
        <v>0</v>
      </c>
      <c r="Y78" s="136">
        <f t="shared" si="54"/>
        <v>0</v>
      </c>
      <c r="Z78" s="136">
        <f t="shared" si="54"/>
        <v>0</v>
      </c>
      <c r="AA78" s="137">
        <f t="shared" si="54"/>
        <v>0</v>
      </c>
      <c r="AB78" s="138">
        <f t="shared" si="54"/>
        <v>0</v>
      </c>
      <c r="AC78" s="136">
        <f t="shared" si="54"/>
        <v>0</v>
      </c>
      <c r="AD78" s="136">
        <f t="shared" si="54"/>
        <v>0</v>
      </c>
      <c r="AE78" s="137">
        <f t="shared" si="54"/>
        <v>0</v>
      </c>
      <c r="AF78" s="135">
        <f t="shared" si="54"/>
        <v>0</v>
      </c>
      <c r="AG78" s="136">
        <f t="shared" si="54"/>
        <v>0</v>
      </c>
      <c r="AH78" s="136">
        <f t="shared" si="54"/>
        <v>0</v>
      </c>
      <c r="AI78" s="137">
        <f t="shared" si="54"/>
        <v>0</v>
      </c>
      <c r="AJ78" s="135">
        <f t="shared" si="54"/>
        <v>0</v>
      </c>
      <c r="AK78" s="138">
        <f t="shared" si="54"/>
        <v>0</v>
      </c>
      <c r="AL78" s="136">
        <f t="shared" si="54"/>
        <v>0</v>
      </c>
      <c r="AM78" s="136">
        <f t="shared" si="54"/>
        <v>0</v>
      </c>
      <c r="AN78" s="194">
        <f t="shared" si="54"/>
        <v>0</v>
      </c>
      <c r="AO78" s="138">
        <f t="shared" si="54"/>
        <v>0</v>
      </c>
      <c r="AP78" s="136">
        <f t="shared" si="54"/>
        <v>0</v>
      </c>
      <c r="AQ78" s="136">
        <f t="shared" si="54"/>
        <v>0</v>
      </c>
      <c r="AR78" s="137">
        <f t="shared" si="55"/>
        <v>0</v>
      </c>
      <c r="AS78" s="135">
        <f t="shared" si="55"/>
        <v>0</v>
      </c>
      <c r="AT78" s="136">
        <f t="shared" si="55"/>
        <v>0</v>
      </c>
      <c r="AU78" s="136">
        <f t="shared" si="55"/>
        <v>0</v>
      </c>
      <c r="AV78" s="137">
        <f t="shared" si="55"/>
        <v>0</v>
      </c>
      <c r="AW78" s="135">
        <f t="shared" si="55"/>
        <v>0</v>
      </c>
      <c r="AX78" s="136">
        <f t="shared" si="55"/>
        <v>0</v>
      </c>
      <c r="AY78" s="136">
        <f t="shared" si="55"/>
        <v>0</v>
      </c>
      <c r="AZ78" s="136">
        <f t="shared" si="55"/>
        <v>0</v>
      </c>
      <c r="BA78" s="137">
        <f t="shared" si="55"/>
        <v>0</v>
      </c>
      <c r="BB78" s="138">
        <f t="shared" si="55"/>
        <v>0</v>
      </c>
      <c r="BC78" s="136">
        <f t="shared" si="55"/>
        <v>0</v>
      </c>
      <c r="BD78" s="136">
        <f t="shared" si="55"/>
        <v>0</v>
      </c>
      <c r="BE78" s="137">
        <f t="shared" si="55"/>
        <v>0</v>
      </c>
      <c r="BF78" s="135">
        <f t="shared" si="55"/>
        <v>0</v>
      </c>
      <c r="BG78" s="136">
        <f t="shared" si="55"/>
        <v>0</v>
      </c>
      <c r="BH78" s="136">
        <f t="shared" si="56"/>
        <v>0</v>
      </c>
      <c r="BI78" s="137">
        <f t="shared" si="56"/>
        <v>0</v>
      </c>
      <c r="BJ78" s="138">
        <f t="shared" si="56"/>
        <v>0</v>
      </c>
      <c r="BK78" s="136">
        <f t="shared" si="56"/>
        <v>0</v>
      </c>
      <c r="BL78" s="136">
        <f t="shared" si="56"/>
        <v>0</v>
      </c>
      <c r="BM78" s="136">
        <f t="shared" si="56"/>
        <v>0</v>
      </c>
      <c r="BN78" s="137">
        <f t="shared" si="56"/>
        <v>0</v>
      </c>
      <c r="BO78" s="138">
        <f t="shared" si="56"/>
        <v>0</v>
      </c>
      <c r="BP78" s="136">
        <f t="shared" si="56"/>
        <v>0</v>
      </c>
      <c r="BQ78" s="136">
        <f t="shared" si="56"/>
        <v>0</v>
      </c>
      <c r="BR78" s="137">
        <f t="shared" si="56"/>
        <v>0</v>
      </c>
      <c r="BS78" s="138">
        <f t="shared" si="56"/>
        <v>0</v>
      </c>
      <c r="BT78" s="136">
        <f t="shared" si="56"/>
        <v>0</v>
      </c>
      <c r="BU78" s="136">
        <f t="shared" si="56"/>
        <v>0</v>
      </c>
      <c r="BV78" s="136">
        <f t="shared" si="56"/>
        <v>0</v>
      </c>
      <c r="BW78" s="137">
        <f t="shared" si="56"/>
        <v>0</v>
      </c>
      <c r="BX78" s="138">
        <f t="shared" si="56"/>
        <v>0</v>
      </c>
      <c r="BY78" s="136">
        <f t="shared" si="56"/>
        <v>0</v>
      </c>
      <c r="BZ78" s="136">
        <f t="shared" si="56"/>
        <v>0</v>
      </c>
      <c r="CA78" s="137">
        <f t="shared" si="56"/>
        <v>0</v>
      </c>
      <c r="CB78" s="135">
        <f t="shared" si="56"/>
        <v>0</v>
      </c>
      <c r="CC78" s="136">
        <f t="shared" si="56"/>
        <v>0</v>
      </c>
      <c r="CD78" s="136">
        <f t="shared" si="56"/>
        <v>0</v>
      </c>
      <c r="CE78" s="137">
        <f t="shared" si="56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50"/>
        <v>1</v>
      </c>
      <c r="K79" s="101">
        <v>0</v>
      </c>
      <c r="L79" s="132">
        <f t="shared" si="51"/>
        <v>0.1</v>
      </c>
      <c r="M79" s="132">
        <f t="shared" si="52"/>
        <v>0</v>
      </c>
      <c r="N79" s="132">
        <f t="shared" si="49"/>
        <v>-0.1</v>
      </c>
      <c r="O79" s="133" t="str">
        <f t="shared" si="53"/>
        <v>지연</v>
      </c>
      <c r="P79" s="104"/>
      <c r="Q79" s="104"/>
      <c r="R79" s="104"/>
      <c r="S79" s="104"/>
      <c r="T79" s="94"/>
      <c r="U79" s="134" t="str">
        <f t="shared" si="48"/>
        <v/>
      </c>
      <c r="V79" s="253">
        <f>NETWORKDAYS(P79,Q79,진행현황_전체!C$59:C$77)</f>
        <v>0</v>
      </c>
      <c r="W79" s="135">
        <f t="shared" si="54"/>
        <v>0</v>
      </c>
      <c r="X79" s="136">
        <f t="shared" si="54"/>
        <v>0</v>
      </c>
      <c r="Y79" s="136">
        <f t="shared" si="54"/>
        <v>0</v>
      </c>
      <c r="Z79" s="136">
        <f t="shared" si="54"/>
        <v>0</v>
      </c>
      <c r="AA79" s="137">
        <f t="shared" si="54"/>
        <v>0</v>
      </c>
      <c r="AB79" s="138">
        <f t="shared" si="54"/>
        <v>0</v>
      </c>
      <c r="AC79" s="136">
        <f t="shared" si="54"/>
        <v>0</v>
      </c>
      <c r="AD79" s="136">
        <f t="shared" si="54"/>
        <v>0</v>
      </c>
      <c r="AE79" s="137">
        <f t="shared" si="54"/>
        <v>0</v>
      </c>
      <c r="AF79" s="135">
        <f t="shared" si="54"/>
        <v>0</v>
      </c>
      <c r="AG79" s="136">
        <f t="shared" si="54"/>
        <v>0</v>
      </c>
      <c r="AH79" s="136">
        <f t="shared" si="54"/>
        <v>0</v>
      </c>
      <c r="AI79" s="137">
        <f t="shared" si="54"/>
        <v>0</v>
      </c>
      <c r="AJ79" s="135">
        <f t="shared" si="54"/>
        <v>0</v>
      </c>
      <c r="AK79" s="138">
        <f t="shared" si="54"/>
        <v>0</v>
      </c>
      <c r="AL79" s="136">
        <f t="shared" si="54"/>
        <v>0</v>
      </c>
      <c r="AM79" s="136">
        <f t="shared" si="54"/>
        <v>0</v>
      </c>
      <c r="AN79" s="194">
        <f t="shared" si="54"/>
        <v>0</v>
      </c>
      <c r="AO79" s="138">
        <f t="shared" si="54"/>
        <v>0</v>
      </c>
      <c r="AP79" s="136">
        <f t="shared" si="54"/>
        <v>0</v>
      </c>
      <c r="AQ79" s="136">
        <f t="shared" si="54"/>
        <v>0</v>
      </c>
      <c r="AR79" s="137">
        <f t="shared" si="55"/>
        <v>0</v>
      </c>
      <c r="AS79" s="135">
        <f t="shared" si="55"/>
        <v>0</v>
      </c>
      <c r="AT79" s="136">
        <f t="shared" si="55"/>
        <v>0</v>
      </c>
      <c r="AU79" s="136">
        <f t="shared" si="55"/>
        <v>0</v>
      </c>
      <c r="AV79" s="137">
        <f t="shared" si="55"/>
        <v>0</v>
      </c>
      <c r="AW79" s="135">
        <f t="shared" si="55"/>
        <v>0</v>
      </c>
      <c r="AX79" s="136">
        <f t="shared" si="55"/>
        <v>0</v>
      </c>
      <c r="AY79" s="136">
        <f t="shared" si="55"/>
        <v>0</v>
      </c>
      <c r="AZ79" s="136">
        <f t="shared" si="55"/>
        <v>0</v>
      </c>
      <c r="BA79" s="137">
        <f t="shared" si="55"/>
        <v>0</v>
      </c>
      <c r="BB79" s="138">
        <f t="shared" si="55"/>
        <v>0</v>
      </c>
      <c r="BC79" s="136">
        <f t="shared" si="55"/>
        <v>0</v>
      </c>
      <c r="BD79" s="136">
        <f t="shared" si="55"/>
        <v>0</v>
      </c>
      <c r="BE79" s="137">
        <f t="shared" si="55"/>
        <v>0</v>
      </c>
      <c r="BF79" s="135">
        <f t="shared" si="55"/>
        <v>0</v>
      </c>
      <c r="BG79" s="136">
        <f t="shared" si="55"/>
        <v>0</v>
      </c>
      <c r="BH79" s="136">
        <f t="shared" si="56"/>
        <v>0</v>
      </c>
      <c r="BI79" s="137">
        <f t="shared" si="56"/>
        <v>0</v>
      </c>
      <c r="BJ79" s="138">
        <f t="shared" si="56"/>
        <v>0</v>
      </c>
      <c r="BK79" s="136">
        <f t="shared" si="56"/>
        <v>0</v>
      </c>
      <c r="BL79" s="136">
        <f t="shared" si="56"/>
        <v>0</v>
      </c>
      <c r="BM79" s="136">
        <f t="shared" si="56"/>
        <v>0</v>
      </c>
      <c r="BN79" s="137">
        <f t="shared" si="56"/>
        <v>0</v>
      </c>
      <c r="BO79" s="138">
        <f t="shared" si="56"/>
        <v>0</v>
      </c>
      <c r="BP79" s="136">
        <f t="shared" si="56"/>
        <v>0</v>
      </c>
      <c r="BQ79" s="136">
        <f t="shared" si="56"/>
        <v>0</v>
      </c>
      <c r="BR79" s="137">
        <f t="shared" si="56"/>
        <v>0</v>
      </c>
      <c r="BS79" s="138">
        <f t="shared" si="56"/>
        <v>0</v>
      </c>
      <c r="BT79" s="136">
        <f t="shared" si="56"/>
        <v>0</v>
      </c>
      <c r="BU79" s="136">
        <f t="shared" si="56"/>
        <v>0</v>
      </c>
      <c r="BV79" s="136">
        <f t="shared" si="56"/>
        <v>0</v>
      </c>
      <c r="BW79" s="137">
        <f t="shared" si="56"/>
        <v>0</v>
      </c>
      <c r="BX79" s="138">
        <f t="shared" si="56"/>
        <v>0</v>
      </c>
      <c r="BY79" s="136">
        <f t="shared" si="56"/>
        <v>0</v>
      </c>
      <c r="BZ79" s="136">
        <f t="shared" si="56"/>
        <v>0</v>
      </c>
      <c r="CA79" s="137">
        <f t="shared" si="56"/>
        <v>0</v>
      </c>
      <c r="CB79" s="135">
        <f t="shared" si="56"/>
        <v>0</v>
      </c>
      <c r="CC79" s="136">
        <f t="shared" si="56"/>
        <v>0</v>
      </c>
      <c r="CD79" s="136">
        <f t="shared" si="56"/>
        <v>0</v>
      </c>
      <c r="CE79" s="137">
        <f t="shared" si="56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50"/>
        <v>1</v>
      </c>
      <c r="K80" s="101">
        <v>0</v>
      </c>
      <c r="L80" s="132">
        <f t="shared" si="51"/>
        <v>0.1</v>
      </c>
      <c r="M80" s="132">
        <f t="shared" si="52"/>
        <v>0</v>
      </c>
      <c r="N80" s="132">
        <f t="shared" si="49"/>
        <v>-0.1</v>
      </c>
      <c r="O80" s="133" t="str">
        <f t="shared" si="53"/>
        <v>지연</v>
      </c>
      <c r="P80" s="104"/>
      <c r="Q80" s="104"/>
      <c r="R80" s="104"/>
      <c r="S80" s="104"/>
      <c r="T80" s="94"/>
      <c r="U80" s="134" t="str">
        <f t="shared" si="48"/>
        <v/>
      </c>
      <c r="V80" s="253">
        <f>NETWORKDAYS(P80,Q80,진행현황_전체!C$59:C$77)</f>
        <v>0</v>
      </c>
      <c r="W80" s="135">
        <f t="shared" si="54"/>
        <v>0</v>
      </c>
      <c r="X80" s="136">
        <f t="shared" si="54"/>
        <v>0</v>
      </c>
      <c r="Y80" s="136">
        <f t="shared" si="54"/>
        <v>0</v>
      </c>
      <c r="Z80" s="136">
        <f t="shared" si="54"/>
        <v>0</v>
      </c>
      <c r="AA80" s="137">
        <f t="shared" si="54"/>
        <v>0</v>
      </c>
      <c r="AB80" s="138">
        <f t="shared" si="54"/>
        <v>0</v>
      </c>
      <c r="AC80" s="136">
        <f t="shared" si="54"/>
        <v>0</v>
      </c>
      <c r="AD80" s="136">
        <f t="shared" si="54"/>
        <v>0</v>
      </c>
      <c r="AE80" s="137">
        <f t="shared" si="54"/>
        <v>0</v>
      </c>
      <c r="AF80" s="135">
        <f t="shared" si="54"/>
        <v>0</v>
      </c>
      <c r="AG80" s="136">
        <f t="shared" si="54"/>
        <v>0</v>
      </c>
      <c r="AH80" s="136">
        <f t="shared" si="54"/>
        <v>0</v>
      </c>
      <c r="AI80" s="137">
        <f t="shared" si="54"/>
        <v>0</v>
      </c>
      <c r="AJ80" s="135">
        <f t="shared" si="54"/>
        <v>0</v>
      </c>
      <c r="AK80" s="138">
        <f t="shared" si="54"/>
        <v>0</v>
      </c>
      <c r="AL80" s="136">
        <f t="shared" si="54"/>
        <v>0</v>
      </c>
      <c r="AM80" s="136">
        <f t="shared" si="54"/>
        <v>0</v>
      </c>
      <c r="AN80" s="194">
        <f t="shared" si="54"/>
        <v>0</v>
      </c>
      <c r="AO80" s="138">
        <f t="shared" si="54"/>
        <v>0</v>
      </c>
      <c r="AP80" s="136">
        <f t="shared" si="54"/>
        <v>0</v>
      </c>
      <c r="AQ80" s="136">
        <f t="shared" si="54"/>
        <v>0</v>
      </c>
      <c r="AR80" s="137">
        <f t="shared" si="55"/>
        <v>0</v>
      </c>
      <c r="AS80" s="135">
        <f t="shared" si="55"/>
        <v>0</v>
      </c>
      <c r="AT80" s="136">
        <f t="shared" si="55"/>
        <v>0</v>
      </c>
      <c r="AU80" s="136">
        <f t="shared" si="55"/>
        <v>0</v>
      </c>
      <c r="AV80" s="137">
        <f t="shared" si="55"/>
        <v>0</v>
      </c>
      <c r="AW80" s="135">
        <f t="shared" si="55"/>
        <v>0</v>
      </c>
      <c r="AX80" s="136">
        <f t="shared" si="55"/>
        <v>0</v>
      </c>
      <c r="AY80" s="136">
        <f t="shared" si="55"/>
        <v>0</v>
      </c>
      <c r="AZ80" s="136">
        <f t="shared" si="55"/>
        <v>0</v>
      </c>
      <c r="BA80" s="137">
        <f t="shared" si="55"/>
        <v>0</v>
      </c>
      <c r="BB80" s="138">
        <f t="shared" si="55"/>
        <v>0</v>
      </c>
      <c r="BC80" s="136">
        <f t="shared" si="55"/>
        <v>0</v>
      </c>
      <c r="BD80" s="136">
        <f t="shared" si="55"/>
        <v>0</v>
      </c>
      <c r="BE80" s="137">
        <f t="shared" si="55"/>
        <v>0</v>
      </c>
      <c r="BF80" s="135">
        <f t="shared" si="55"/>
        <v>0</v>
      </c>
      <c r="BG80" s="136">
        <f t="shared" si="55"/>
        <v>0</v>
      </c>
      <c r="BH80" s="136">
        <f t="shared" si="56"/>
        <v>0</v>
      </c>
      <c r="BI80" s="137">
        <f t="shared" si="56"/>
        <v>0</v>
      </c>
      <c r="BJ80" s="138">
        <f t="shared" si="56"/>
        <v>0</v>
      </c>
      <c r="BK80" s="136">
        <f t="shared" si="56"/>
        <v>0</v>
      </c>
      <c r="BL80" s="136">
        <f t="shared" si="56"/>
        <v>0</v>
      </c>
      <c r="BM80" s="136">
        <f t="shared" si="56"/>
        <v>0</v>
      </c>
      <c r="BN80" s="137">
        <f t="shared" si="56"/>
        <v>0</v>
      </c>
      <c r="BO80" s="138">
        <f t="shared" si="56"/>
        <v>0</v>
      </c>
      <c r="BP80" s="136">
        <f t="shared" si="56"/>
        <v>0</v>
      </c>
      <c r="BQ80" s="136">
        <f t="shared" si="56"/>
        <v>0</v>
      </c>
      <c r="BR80" s="137">
        <f t="shared" si="56"/>
        <v>0</v>
      </c>
      <c r="BS80" s="138">
        <f t="shared" si="56"/>
        <v>0</v>
      </c>
      <c r="BT80" s="136">
        <f t="shared" si="56"/>
        <v>0</v>
      </c>
      <c r="BU80" s="136">
        <f t="shared" si="56"/>
        <v>0</v>
      </c>
      <c r="BV80" s="136">
        <f t="shared" si="56"/>
        <v>0</v>
      </c>
      <c r="BW80" s="137">
        <f t="shared" si="56"/>
        <v>0</v>
      </c>
      <c r="BX80" s="138">
        <f t="shared" si="56"/>
        <v>0</v>
      </c>
      <c r="BY80" s="136">
        <f t="shared" si="56"/>
        <v>0</v>
      </c>
      <c r="BZ80" s="136">
        <f t="shared" si="56"/>
        <v>0</v>
      </c>
      <c r="CA80" s="137">
        <f t="shared" si="56"/>
        <v>0</v>
      </c>
      <c r="CB80" s="135">
        <f t="shared" si="56"/>
        <v>0</v>
      </c>
      <c r="CC80" s="136">
        <f t="shared" si="56"/>
        <v>0</v>
      </c>
      <c r="CD80" s="136">
        <f t="shared" si="56"/>
        <v>0</v>
      </c>
      <c r="CE80" s="137">
        <f t="shared" si="56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50"/>
        <v>1</v>
      </c>
      <c r="K81" s="101">
        <v>0</v>
      </c>
      <c r="L81" s="132">
        <f t="shared" si="51"/>
        <v>0.1</v>
      </c>
      <c r="M81" s="132">
        <f t="shared" si="52"/>
        <v>0</v>
      </c>
      <c r="N81" s="132">
        <f t="shared" si="49"/>
        <v>-0.1</v>
      </c>
      <c r="O81" s="133" t="str">
        <f t="shared" si="53"/>
        <v>지연</v>
      </c>
      <c r="P81" s="104"/>
      <c r="Q81" s="104"/>
      <c r="R81" s="104"/>
      <c r="S81" s="104"/>
      <c r="T81" s="94"/>
      <c r="U81" s="134" t="str">
        <f t="shared" si="48"/>
        <v/>
      </c>
      <c r="V81" s="253">
        <f>NETWORKDAYS(P81,Q81,진행현황_전체!C$59:C$77)</f>
        <v>0</v>
      </c>
      <c r="W81" s="135">
        <f t="shared" si="54"/>
        <v>0</v>
      </c>
      <c r="X81" s="136">
        <f t="shared" si="54"/>
        <v>0</v>
      </c>
      <c r="Y81" s="136">
        <f t="shared" si="54"/>
        <v>0</v>
      </c>
      <c r="Z81" s="136">
        <f t="shared" si="54"/>
        <v>0</v>
      </c>
      <c r="AA81" s="137">
        <f t="shared" si="54"/>
        <v>0</v>
      </c>
      <c r="AB81" s="138">
        <f t="shared" si="54"/>
        <v>0</v>
      </c>
      <c r="AC81" s="136">
        <f t="shared" si="54"/>
        <v>0</v>
      </c>
      <c r="AD81" s="136">
        <f t="shared" si="54"/>
        <v>0</v>
      </c>
      <c r="AE81" s="137">
        <f t="shared" si="54"/>
        <v>0</v>
      </c>
      <c r="AF81" s="135">
        <f t="shared" si="54"/>
        <v>0</v>
      </c>
      <c r="AG81" s="136">
        <f t="shared" si="54"/>
        <v>0</v>
      </c>
      <c r="AH81" s="136">
        <f t="shared" si="54"/>
        <v>0</v>
      </c>
      <c r="AI81" s="137">
        <f t="shared" si="54"/>
        <v>0</v>
      </c>
      <c r="AJ81" s="135">
        <f t="shared" si="54"/>
        <v>0</v>
      </c>
      <c r="AK81" s="138">
        <f t="shared" si="54"/>
        <v>0</v>
      </c>
      <c r="AL81" s="136">
        <f t="shared" si="54"/>
        <v>0</v>
      </c>
      <c r="AM81" s="136">
        <f t="shared" si="54"/>
        <v>0</v>
      </c>
      <c r="AN81" s="194">
        <f t="shared" si="54"/>
        <v>0</v>
      </c>
      <c r="AO81" s="138">
        <f t="shared" si="54"/>
        <v>0</v>
      </c>
      <c r="AP81" s="136">
        <f t="shared" si="54"/>
        <v>0</v>
      </c>
      <c r="AQ81" s="136">
        <f t="shared" si="54"/>
        <v>0</v>
      </c>
      <c r="AR81" s="137">
        <f t="shared" si="55"/>
        <v>0</v>
      </c>
      <c r="AS81" s="135">
        <f t="shared" si="55"/>
        <v>0</v>
      </c>
      <c r="AT81" s="136">
        <f t="shared" si="55"/>
        <v>0</v>
      </c>
      <c r="AU81" s="136">
        <f t="shared" si="55"/>
        <v>0</v>
      </c>
      <c r="AV81" s="137">
        <f t="shared" si="55"/>
        <v>0</v>
      </c>
      <c r="AW81" s="135">
        <f t="shared" si="55"/>
        <v>0</v>
      </c>
      <c r="AX81" s="136">
        <f t="shared" si="55"/>
        <v>0</v>
      </c>
      <c r="AY81" s="136">
        <f t="shared" si="55"/>
        <v>0</v>
      </c>
      <c r="AZ81" s="136">
        <f t="shared" si="55"/>
        <v>0</v>
      </c>
      <c r="BA81" s="137">
        <f t="shared" si="55"/>
        <v>0</v>
      </c>
      <c r="BB81" s="138">
        <f t="shared" si="55"/>
        <v>0</v>
      </c>
      <c r="BC81" s="136">
        <f t="shared" si="55"/>
        <v>0</v>
      </c>
      <c r="BD81" s="136">
        <f t="shared" si="55"/>
        <v>0</v>
      </c>
      <c r="BE81" s="137">
        <f t="shared" si="55"/>
        <v>0</v>
      </c>
      <c r="BF81" s="135">
        <f t="shared" si="55"/>
        <v>0</v>
      </c>
      <c r="BG81" s="136">
        <f t="shared" si="55"/>
        <v>0</v>
      </c>
      <c r="BH81" s="136">
        <f t="shared" si="56"/>
        <v>0</v>
      </c>
      <c r="BI81" s="137">
        <f t="shared" si="56"/>
        <v>0</v>
      </c>
      <c r="BJ81" s="138">
        <f t="shared" si="56"/>
        <v>0</v>
      </c>
      <c r="BK81" s="136">
        <f t="shared" si="56"/>
        <v>0</v>
      </c>
      <c r="BL81" s="136">
        <f t="shared" si="56"/>
        <v>0</v>
      </c>
      <c r="BM81" s="136">
        <f t="shared" si="56"/>
        <v>0</v>
      </c>
      <c r="BN81" s="137">
        <f t="shared" si="56"/>
        <v>0</v>
      </c>
      <c r="BO81" s="138">
        <f t="shared" si="56"/>
        <v>0</v>
      </c>
      <c r="BP81" s="136">
        <f t="shared" si="56"/>
        <v>0</v>
      </c>
      <c r="BQ81" s="136">
        <f t="shared" si="56"/>
        <v>0</v>
      </c>
      <c r="BR81" s="137">
        <f t="shared" si="56"/>
        <v>0</v>
      </c>
      <c r="BS81" s="138">
        <f t="shared" si="56"/>
        <v>0</v>
      </c>
      <c r="BT81" s="136">
        <f t="shared" si="56"/>
        <v>0</v>
      </c>
      <c r="BU81" s="136">
        <f t="shared" si="56"/>
        <v>0</v>
      </c>
      <c r="BV81" s="136">
        <f t="shared" si="56"/>
        <v>0</v>
      </c>
      <c r="BW81" s="137">
        <f t="shared" si="56"/>
        <v>0</v>
      </c>
      <c r="BX81" s="138">
        <f t="shared" si="56"/>
        <v>0</v>
      </c>
      <c r="BY81" s="136">
        <f t="shared" si="56"/>
        <v>0</v>
      </c>
      <c r="BZ81" s="136">
        <f t="shared" si="56"/>
        <v>0</v>
      </c>
      <c r="CA81" s="137">
        <f t="shared" si="56"/>
        <v>0</v>
      </c>
      <c r="CB81" s="135">
        <f t="shared" si="56"/>
        <v>0</v>
      </c>
      <c r="CC81" s="136">
        <f t="shared" si="56"/>
        <v>0</v>
      </c>
      <c r="CD81" s="136">
        <f t="shared" si="56"/>
        <v>0</v>
      </c>
      <c r="CE81" s="137">
        <f t="shared" si="56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50"/>
        <v>1</v>
      </c>
      <c r="K82" s="101">
        <v>0</v>
      </c>
      <c r="L82" s="132">
        <f t="shared" si="51"/>
        <v>0.1</v>
      </c>
      <c r="M82" s="132">
        <f t="shared" si="52"/>
        <v>0</v>
      </c>
      <c r="N82" s="132">
        <f t="shared" si="49"/>
        <v>-0.1</v>
      </c>
      <c r="O82" s="133" t="str">
        <f t="shared" si="53"/>
        <v>지연</v>
      </c>
      <c r="P82" s="104"/>
      <c r="Q82" s="104"/>
      <c r="R82" s="104"/>
      <c r="S82" s="104"/>
      <c r="T82" s="94"/>
      <c r="U82" s="134" t="str">
        <f t="shared" si="48"/>
        <v/>
      </c>
      <c r="V82" s="253">
        <f>NETWORKDAYS(P82,Q82,진행현황_전체!C$59:C$77)</f>
        <v>0</v>
      </c>
      <c r="W82" s="135">
        <f t="shared" si="54"/>
        <v>0</v>
      </c>
      <c r="X82" s="136">
        <f t="shared" si="54"/>
        <v>0</v>
      </c>
      <c r="Y82" s="136">
        <f t="shared" si="54"/>
        <v>0</v>
      </c>
      <c r="Z82" s="136">
        <f t="shared" si="54"/>
        <v>0</v>
      </c>
      <c r="AA82" s="137">
        <f t="shared" si="54"/>
        <v>0</v>
      </c>
      <c r="AB82" s="138">
        <f t="shared" si="54"/>
        <v>0</v>
      </c>
      <c r="AC82" s="136">
        <f t="shared" si="54"/>
        <v>0</v>
      </c>
      <c r="AD82" s="136">
        <f t="shared" si="54"/>
        <v>0</v>
      </c>
      <c r="AE82" s="137">
        <f t="shared" si="54"/>
        <v>0</v>
      </c>
      <c r="AF82" s="135">
        <f t="shared" si="54"/>
        <v>0</v>
      </c>
      <c r="AG82" s="136">
        <f t="shared" si="54"/>
        <v>0</v>
      </c>
      <c r="AH82" s="136">
        <f t="shared" si="54"/>
        <v>0</v>
      </c>
      <c r="AI82" s="137">
        <f t="shared" si="54"/>
        <v>0</v>
      </c>
      <c r="AJ82" s="135">
        <f t="shared" si="54"/>
        <v>0</v>
      </c>
      <c r="AK82" s="138">
        <f t="shared" si="54"/>
        <v>0</v>
      </c>
      <c r="AL82" s="136">
        <f t="shared" si="54"/>
        <v>0</v>
      </c>
      <c r="AM82" s="136">
        <f t="shared" si="54"/>
        <v>0</v>
      </c>
      <c r="AN82" s="194">
        <f t="shared" si="54"/>
        <v>0</v>
      </c>
      <c r="AO82" s="138">
        <f t="shared" si="54"/>
        <v>0</v>
      </c>
      <c r="AP82" s="136">
        <f t="shared" si="54"/>
        <v>0</v>
      </c>
      <c r="AQ82" s="136">
        <f t="shared" si="54"/>
        <v>0</v>
      </c>
      <c r="AR82" s="137">
        <f t="shared" si="55"/>
        <v>0</v>
      </c>
      <c r="AS82" s="135">
        <f t="shared" si="55"/>
        <v>0</v>
      </c>
      <c r="AT82" s="136">
        <f t="shared" si="55"/>
        <v>0</v>
      </c>
      <c r="AU82" s="136">
        <f t="shared" si="55"/>
        <v>0</v>
      </c>
      <c r="AV82" s="137">
        <f t="shared" si="55"/>
        <v>0</v>
      </c>
      <c r="AW82" s="135">
        <f t="shared" si="55"/>
        <v>0</v>
      </c>
      <c r="AX82" s="136">
        <f t="shared" si="55"/>
        <v>0</v>
      </c>
      <c r="AY82" s="136">
        <f t="shared" si="55"/>
        <v>0</v>
      </c>
      <c r="AZ82" s="136">
        <f t="shared" si="55"/>
        <v>0</v>
      </c>
      <c r="BA82" s="137">
        <f t="shared" si="55"/>
        <v>0</v>
      </c>
      <c r="BB82" s="138">
        <f t="shared" si="55"/>
        <v>0</v>
      </c>
      <c r="BC82" s="136">
        <f t="shared" si="55"/>
        <v>0</v>
      </c>
      <c r="BD82" s="136">
        <f t="shared" si="55"/>
        <v>0</v>
      </c>
      <c r="BE82" s="137">
        <f t="shared" si="55"/>
        <v>0</v>
      </c>
      <c r="BF82" s="135">
        <f t="shared" si="55"/>
        <v>0</v>
      </c>
      <c r="BG82" s="136">
        <f t="shared" si="55"/>
        <v>0</v>
      </c>
      <c r="BH82" s="136">
        <f t="shared" si="56"/>
        <v>0</v>
      </c>
      <c r="BI82" s="137">
        <f t="shared" si="56"/>
        <v>0</v>
      </c>
      <c r="BJ82" s="138">
        <f t="shared" si="56"/>
        <v>0</v>
      </c>
      <c r="BK82" s="136">
        <f t="shared" si="56"/>
        <v>0</v>
      </c>
      <c r="BL82" s="136">
        <f t="shared" si="56"/>
        <v>0</v>
      </c>
      <c r="BM82" s="136">
        <f t="shared" si="56"/>
        <v>0</v>
      </c>
      <c r="BN82" s="137">
        <f t="shared" si="56"/>
        <v>0</v>
      </c>
      <c r="BO82" s="138">
        <f t="shared" si="56"/>
        <v>0</v>
      </c>
      <c r="BP82" s="136">
        <f t="shared" si="56"/>
        <v>0</v>
      </c>
      <c r="BQ82" s="136">
        <f t="shared" si="56"/>
        <v>0</v>
      </c>
      <c r="BR82" s="137">
        <f t="shared" si="56"/>
        <v>0</v>
      </c>
      <c r="BS82" s="138">
        <f t="shared" si="56"/>
        <v>0</v>
      </c>
      <c r="BT82" s="136">
        <f t="shared" si="56"/>
        <v>0</v>
      </c>
      <c r="BU82" s="136">
        <f t="shared" si="56"/>
        <v>0</v>
      </c>
      <c r="BV82" s="136">
        <f t="shared" si="56"/>
        <v>0</v>
      </c>
      <c r="BW82" s="137">
        <f t="shared" si="56"/>
        <v>0</v>
      </c>
      <c r="BX82" s="138">
        <f t="shared" si="56"/>
        <v>0</v>
      </c>
      <c r="BY82" s="136">
        <f t="shared" si="56"/>
        <v>0</v>
      </c>
      <c r="BZ82" s="136">
        <f t="shared" si="56"/>
        <v>0</v>
      </c>
      <c r="CA82" s="137">
        <f t="shared" si="56"/>
        <v>0</v>
      </c>
      <c r="CB82" s="135">
        <f t="shared" si="56"/>
        <v>0</v>
      </c>
      <c r="CC82" s="136">
        <f t="shared" si="56"/>
        <v>0</v>
      </c>
      <c r="CD82" s="136">
        <f t="shared" si="56"/>
        <v>0</v>
      </c>
      <c r="CE82" s="137">
        <f t="shared" si="56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50"/>
        <v>1</v>
      </c>
      <c r="K83" s="101">
        <v>0</v>
      </c>
      <c r="L83" s="132">
        <f t="shared" si="51"/>
        <v>0.1</v>
      </c>
      <c r="M83" s="132">
        <f t="shared" si="52"/>
        <v>0</v>
      </c>
      <c r="N83" s="132">
        <f t="shared" si="49"/>
        <v>-0.1</v>
      </c>
      <c r="O83" s="133" t="str">
        <f t="shared" si="53"/>
        <v>지연</v>
      </c>
      <c r="P83" s="104"/>
      <c r="Q83" s="104"/>
      <c r="R83" s="104"/>
      <c r="S83" s="104"/>
      <c r="T83" s="94"/>
      <c r="U83" s="134" t="str">
        <f t="shared" si="48"/>
        <v/>
      </c>
      <c r="V83" s="253">
        <f>NETWORKDAYS(P83,Q83,진행현황_전체!C$59:C$77)</f>
        <v>0</v>
      </c>
      <c r="W83" s="135">
        <f t="shared" si="54"/>
        <v>0</v>
      </c>
      <c r="X83" s="136">
        <f t="shared" si="54"/>
        <v>0</v>
      </c>
      <c r="Y83" s="136">
        <f t="shared" si="54"/>
        <v>0</v>
      </c>
      <c r="Z83" s="136">
        <f t="shared" si="54"/>
        <v>0</v>
      </c>
      <c r="AA83" s="137">
        <f t="shared" si="54"/>
        <v>0</v>
      </c>
      <c r="AB83" s="138">
        <f t="shared" si="54"/>
        <v>0</v>
      </c>
      <c r="AC83" s="136">
        <f t="shared" si="54"/>
        <v>0</v>
      </c>
      <c r="AD83" s="136">
        <f t="shared" si="54"/>
        <v>0</v>
      </c>
      <c r="AE83" s="137">
        <f t="shared" si="54"/>
        <v>0</v>
      </c>
      <c r="AF83" s="135">
        <f t="shared" si="54"/>
        <v>0</v>
      </c>
      <c r="AG83" s="136">
        <f t="shared" si="54"/>
        <v>0</v>
      </c>
      <c r="AH83" s="136">
        <f t="shared" si="54"/>
        <v>0</v>
      </c>
      <c r="AI83" s="137">
        <f t="shared" si="54"/>
        <v>0</v>
      </c>
      <c r="AJ83" s="135">
        <f t="shared" si="54"/>
        <v>0</v>
      </c>
      <c r="AK83" s="138">
        <f t="shared" si="54"/>
        <v>0</v>
      </c>
      <c r="AL83" s="136">
        <f t="shared" si="54"/>
        <v>0</v>
      </c>
      <c r="AM83" s="136">
        <f t="shared" si="54"/>
        <v>0</v>
      </c>
      <c r="AN83" s="194">
        <f t="shared" si="54"/>
        <v>0</v>
      </c>
      <c r="AO83" s="138">
        <f t="shared" si="54"/>
        <v>0</v>
      </c>
      <c r="AP83" s="136">
        <f t="shared" si="54"/>
        <v>0</v>
      </c>
      <c r="AQ83" s="136">
        <f t="shared" si="54"/>
        <v>0</v>
      </c>
      <c r="AR83" s="137">
        <f t="shared" si="55"/>
        <v>0</v>
      </c>
      <c r="AS83" s="135">
        <f t="shared" si="55"/>
        <v>0</v>
      </c>
      <c r="AT83" s="136">
        <f t="shared" si="55"/>
        <v>0</v>
      </c>
      <c r="AU83" s="136">
        <f t="shared" si="55"/>
        <v>0</v>
      </c>
      <c r="AV83" s="137">
        <f t="shared" si="55"/>
        <v>0</v>
      </c>
      <c r="AW83" s="135">
        <f t="shared" si="55"/>
        <v>0</v>
      </c>
      <c r="AX83" s="136">
        <f t="shared" si="55"/>
        <v>0</v>
      </c>
      <c r="AY83" s="136">
        <f t="shared" si="55"/>
        <v>0</v>
      </c>
      <c r="AZ83" s="136">
        <f t="shared" si="55"/>
        <v>0</v>
      </c>
      <c r="BA83" s="137">
        <f t="shared" si="55"/>
        <v>0</v>
      </c>
      <c r="BB83" s="138">
        <f t="shared" si="55"/>
        <v>0</v>
      </c>
      <c r="BC83" s="136">
        <f t="shared" si="55"/>
        <v>0</v>
      </c>
      <c r="BD83" s="136">
        <f t="shared" si="55"/>
        <v>0</v>
      </c>
      <c r="BE83" s="137">
        <f t="shared" si="55"/>
        <v>0</v>
      </c>
      <c r="BF83" s="135">
        <f t="shared" si="55"/>
        <v>0</v>
      </c>
      <c r="BG83" s="136">
        <f t="shared" si="55"/>
        <v>0</v>
      </c>
      <c r="BH83" s="136">
        <f t="shared" si="56"/>
        <v>0</v>
      </c>
      <c r="BI83" s="137">
        <f t="shared" si="56"/>
        <v>0</v>
      </c>
      <c r="BJ83" s="138">
        <f t="shared" si="56"/>
        <v>0</v>
      </c>
      <c r="BK83" s="136">
        <f t="shared" si="56"/>
        <v>0</v>
      </c>
      <c r="BL83" s="136">
        <f t="shared" si="56"/>
        <v>0</v>
      </c>
      <c r="BM83" s="136">
        <f t="shared" si="56"/>
        <v>0</v>
      </c>
      <c r="BN83" s="137">
        <f t="shared" si="56"/>
        <v>0</v>
      </c>
      <c r="BO83" s="138">
        <f t="shared" si="56"/>
        <v>0</v>
      </c>
      <c r="BP83" s="136">
        <f t="shared" si="56"/>
        <v>0</v>
      </c>
      <c r="BQ83" s="136">
        <f t="shared" si="56"/>
        <v>0</v>
      </c>
      <c r="BR83" s="137">
        <f t="shared" si="56"/>
        <v>0</v>
      </c>
      <c r="BS83" s="138">
        <f t="shared" si="56"/>
        <v>0</v>
      </c>
      <c r="BT83" s="136">
        <f t="shared" si="56"/>
        <v>0</v>
      </c>
      <c r="BU83" s="136">
        <f t="shared" si="56"/>
        <v>0</v>
      </c>
      <c r="BV83" s="136">
        <f t="shared" si="56"/>
        <v>0</v>
      </c>
      <c r="BW83" s="137">
        <f t="shared" si="56"/>
        <v>0</v>
      </c>
      <c r="BX83" s="138">
        <f t="shared" si="56"/>
        <v>0</v>
      </c>
      <c r="BY83" s="136">
        <f t="shared" si="56"/>
        <v>0</v>
      </c>
      <c r="BZ83" s="136">
        <f t="shared" si="56"/>
        <v>0</v>
      </c>
      <c r="CA83" s="137">
        <f t="shared" si="56"/>
        <v>0</v>
      </c>
      <c r="CB83" s="135">
        <f t="shared" si="56"/>
        <v>0</v>
      </c>
      <c r="CC83" s="136">
        <f t="shared" si="56"/>
        <v>0</v>
      </c>
      <c r="CD83" s="136">
        <f t="shared" si="56"/>
        <v>0</v>
      </c>
      <c r="CE83" s="137">
        <f t="shared" si="56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50"/>
        <v>1</v>
      </c>
      <c r="K84" s="101">
        <v>0</v>
      </c>
      <c r="L84" s="132">
        <f t="shared" si="51"/>
        <v>0.1</v>
      </c>
      <c r="M84" s="132">
        <f t="shared" si="52"/>
        <v>0</v>
      </c>
      <c r="N84" s="132">
        <f t="shared" si="49"/>
        <v>-0.1</v>
      </c>
      <c r="O84" s="133" t="str">
        <f t="shared" si="53"/>
        <v>지연</v>
      </c>
      <c r="P84" s="104"/>
      <c r="Q84" s="104"/>
      <c r="R84" s="104"/>
      <c r="S84" s="104"/>
      <c r="T84" s="94"/>
      <c r="U84" s="134" t="str">
        <f t="shared" si="48"/>
        <v/>
      </c>
      <c r="V84" s="253">
        <f>NETWORKDAYS(P84,Q84,진행현황_전체!C$59:C$77)</f>
        <v>0</v>
      </c>
      <c r="W84" s="135">
        <f t="shared" si="54"/>
        <v>0</v>
      </c>
      <c r="X84" s="136">
        <f t="shared" si="54"/>
        <v>0</v>
      </c>
      <c r="Y84" s="136">
        <f t="shared" si="54"/>
        <v>0</v>
      </c>
      <c r="Z84" s="136">
        <f t="shared" si="54"/>
        <v>0</v>
      </c>
      <c r="AA84" s="137">
        <f t="shared" si="54"/>
        <v>0</v>
      </c>
      <c r="AB84" s="138">
        <f t="shared" si="54"/>
        <v>0</v>
      </c>
      <c r="AC84" s="136">
        <f t="shared" si="54"/>
        <v>0</v>
      </c>
      <c r="AD84" s="136">
        <f t="shared" si="54"/>
        <v>0</v>
      </c>
      <c r="AE84" s="137">
        <f t="shared" si="54"/>
        <v>0</v>
      </c>
      <c r="AF84" s="135">
        <f t="shared" si="54"/>
        <v>0</v>
      </c>
      <c r="AG84" s="136">
        <f t="shared" si="54"/>
        <v>0</v>
      </c>
      <c r="AH84" s="136">
        <f t="shared" si="54"/>
        <v>0</v>
      </c>
      <c r="AI84" s="137">
        <f t="shared" si="54"/>
        <v>0</v>
      </c>
      <c r="AJ84" s="135">
        <f t="shared" si="54"/>
        <v>0</v>
      </c>
      <c r="AK84" s="138">
        <f t="shared" si="54"/>
        <v>0</v>
      </c>
      <c r="AL84" s="136">
        <f t="shared" si="54"/>
        <v>0</v>
      </c>
      <c r="AM84" s="136">
        <f t="shared" si="54"/>
        <v>0</v>
      </c>
      <c r="AN84" s="194">
        <f t="shared" si="54"/>
        <v>0</v>
      </c>
      <c r="AO84" s="138">
        <f t="shared" si="54"/>
        <v>0</v>
      </c>
      <c r="AP84" s="136">
        <f t="shared" si="54"/>
        <v>0</v>
      </c>
      <c r="AQ84" s="136">
        <f t="shared" si="54"/>
        <v>0</v>
      </c>
      <c r="AR84" s="137">
        <f t="shared" si="55"/>
        <v>0</v>
      </c>
      <c r="AS84" s="135">
        <f t="shared" si="55"/>
        <v>0</v>
      </c>
      <c r="AT84" s="136">
        <f t="shared" si="55"/>
        <v>0</v>
      </c>
      <c r="AU84" s="136">
        <f t="shared" si="55"/>
        <v>0</v>
      </c>
      <c r="AV84" s="137">
        <f t="shared" si="55"/>
        <v>0</v>
      </c>
      <c r="AW84" s="135">
        <f t="shared" si="55"/>
        <v>0</v>
      </c>
      <c r="AX84" s="136">
        <f t="shared" si="55"/>
        <v>0</v>
      </c>
      <c r="AY84" s="136">
        <f t="shared" si="55"/>
        <v>0</v>
      </c>
      <c r="AZ84" s="136">
        <f t="shared" si="55"/>
        <v>0</v>
      </c>
      <c r="BA84" s="137">
        <f t="shared" si="55"/>
        <v>0</v>
      </c>
      <c r="BB84" s="138">
        <f t="shared" si="55"/>
        <v>0</v>
      </c>
      <c r="BC84" s="136">
        <f t="shared" si="55"/>
        <v>0</v>
      </c>
      <c r="BD84" s="136">
        <f t="shared" si="55"/>
        <v>0</v>
      </c>
      <c r="BE84" s="137">
        <f t="shared" si="55"/>
        <v>0</v>
      </c>
      <c r="BF84" s="135">
        <f t="shared" si="55"/>
        <v>0</v>
      </c>
      <c r="BG84" s="136">
        <f t="shared" si="55"/>
        <v>0</v>
      </c>
      <c r="BH84" s="136">
        <f t="shared" si="56"/>
        <v>0</v>
      </c>
      <c r="BI84" s="137">
        <f t="shared" si="56"/>
        <v>0</v>
      </c>
      <c r="BJ84" s="138">
        <f t="shared" si="56"/>
        <v>0</v>
      </c>
      <c r="BK84" s="136">
        <f t="shared" si="56"/>
        <v>0</v>
      </c>
      <c r="BL84" s="136">
        <f t="shared" si="56"/>
        <v>0</v>
      </c>
      <c r="BM84" s="136">
        <f t="shared" si="56"/>
        <v>0</v>
      </c>
      <c r="BN84" s="137">
        <f t="shared" si="56"/>
        <v>0</v>
      </c>
      <c r="BO84" s="138">
        <f t="shared" si="56"/>
        <v>0</v>
      </c>
      <c r="BP84" s="136">
        <f t="shared" si="56"/>
        <v>0</v>
      </c>
      <c r="BQ84" s="136">
        <f t="shared" si="56"/>
        <v>0</v>
      </c>
      <c r="BR84" s="137">
        <f t="shared" si="56"/>
        <v>0</v>
      </c>
      <c r="BS84" s="138">
        <f t="shared" si="56"/>
        <v>0</v>
      </c>
      <c r="BT84" s="136">
        <f t="shared" si="56"/>
        <v>0</v>
      </c>
      <c r="BU84" s="136">
        <f t="shared" si="56"/>
        <v>0</v>
      </c>
      <c r="BV84" s="136">
        <f t="shared" si="56"/>
        <v>0</v>
      </c>
      <c r="BW84" s="137">
        <f t="shared" si="56"/>
        <v>0</v>
      </c>
      <c r="BX84" s="138">
        <f t="shared" si="56"/>
        <v>0</v>
      </c>
      <c r="BY84" s="136">
        <f t="shared" si="56"/>
        <v>0</v>
      </c>
      <c r="BZ84" s="136">
        <f t="shared" si="56"/>
        <v>0</v>
      </c>
      <c r="CA84" s="137">
        <f t="shared" si="56"/>
        <v>0</v>
      </c>
      <c r="CB84" s="135">
        <f t="shared" si="56"/>
        <v>0</v>
      </c>
      <c r="CC84" s="136">
        <f t="shared" si="56"/>
        <v>0</v>
      </c>
      <c r="CD84" s="136">
        <f t="shared" si="56"/>
        <v>0</v>
      </c>
      <c r="CE84" s="137">
        <f t="shared" si="56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50"/>
        <v>1</v>
      </c>
      <c r="K85" s="101">
        <v>0</v>
      </c>
      <c r="L85" s="132">
        <f t="shared" si="51"/>
        <v>0.1</v>
      </c>
      <c r="M85" s="132">
        <f t="shared" si="52"/>
        <v>0</v>
      </c>
      <c r="N85" s="132">
        <f t="shared" si="49"/>
        <v>-0.1</v>
      </c>
      <c r="O85" s="133" t="str">
        <f t="shared" si="53"/>
        <v>지연</v>
      </c>
      <c r="P85" s="104"/>
      <c r="Q85" s="104"/>
      <c r="R85" s="104"/>
      <c r="S85" s="104"/>
      <c r="T85" s="94"/>
      <c r="U85" s="134" t="str">
        <f t="shared" si="48"/>
        <v/>
      </c>
      <c r="V85" s="253">
        <f>NETWORKDAYS(P85,Q85,진행현황_전체!C$59:C$77)</f>
        <v>0</v>
      </c>
      <c r="W85" s="135">
        <f t="shared" si="54"/>
        <v>0</v>
      </c>
      <c r="X85" s="136">
        <f t="shared" si="54"/>
        <v>0</v>
      </c>
      <c r="Y85" s="136">
        <f t="shared" si="54"/>
        <v>0</v>
      </c>
      <c r="Z85" s="136">
        <f t="shared" si="54"/>
        <v>0</v>
      </c>
      <c r="AA85" s="137">
        <f t="shared" si="54"/>
        <v>0</v>
      </c>
      <c r="AB85" s="138">
        <f t="shared" si="54"/>
        <v>0</v>
      </c>
      <c r="AC85" s="136">
        <f t="shared" si="54"/>
        <v>0</v>
      </c>
      <c r="AD85" s="136">
        <f t="shared" si="54"/>
        <v>0</v>
      </c>
      <c r="AE85" s="137">
        <f t="shared" si="54"/>
        <v>0</v>
      </c>
      <c r="AF85" s="135">
        <f t="shared" si="54"/>
        <v>0</v>
      </c>
      <c r="AG85" s="136">
        <f t="shared" si="54"/>
        <v>0</v>
      </c>
      <c r="AH85" s="136">
        <f t="shared" si="54"/>
        <v>0</v>
      </c>
      <c r="AI85" s="137">
        <f t="shared" si="54"/>
        <v>0</v>
      </c>
      <c r="AJ85" s="135">
        <f t="shared" si="54"/>
        <v>0</v>
      </c>
      <c r="AK85" s="138">
        <f t="shared" si="54"/>
        <v>0</v>
      </c>
      <c r="AL85" s="136">
        <f t="shared" si="54"/>
        <v>0</v>
      </c>
      <c r="AM85" s="136">
        <f t="shared" si="54"/>
        <v>0</v>
      </c>
      <c r="AN85" s="194">
        <f t="shared" si="54"/>
        <v>0</v>
      </c>
      <c r="AO85" s="138">
        <f t="shared" si="54"/>
        <v>0</v>
      </c>
      <c r="AP85" s="136">
        <f t="shared" si="54"/>
        <v>0</v>
      </c>
      <c r="AQ85" s="136">
        <f t="shared" si="54"/>
        <v>0</v>
      </c>
      <c r="AR85" s="137">
        <f t="shared" si="55"/>
        <v>0</v>
      </c>
      <c r="AS85" s="135">
        <f t="shared" si="55"/>
        <v>0</v>
      </c>
      <c r="AT85" s="136">
        <f t="shared" si="55"/>
        <v>0</v>
      </c>
      <c r="AU85" s="136">
        <f t="shared" si="55"/>
        <v>0</v>
      </c>
      <c r="AV85" s="137">
        <f t="shared" si="55"/>
        <v>0</v>
      </c>
      <c r="AW85" s="135">
        <f t="shared" si="55"/>
        <v>0</v>
      </c>
      <c r="AX85" s="136">
        <f t="shared" si="55"/>
        <v>0</v>
      </c>
      <c r="AY85" s="136">
        <f t="shared" si="55"/>
        <v>0</v>
      </c>
      <c r="AZ85" s="136">
        <f t="shared" si="55"/>
        <v>0</v>
      </c>
      <c r="BA85" s="137">
        <f t="shared" si="55"/>
        <v>0</v>
      </c>
      <c r="BB85" s="138">
        <f t="shared" si="55"/>
        <v>0</v>
      </c>
      <c r="BC85" s="136">
        <f t="shared" si="55"/>
        <v>0</v>
      </c>
      <c r="BD85" s="136">
        <f t="shared" si="55"/>
        <v>0</v>
      </c>
      <c r="BE85" s="137">
        <f t="shared" si="55"/>
        <v>0</v>
      </c>
      <c r="BF85" s="135">
        <f t="shared" si="55"/>
        <v>0</v>
      </c>
      <c r="BG85" s="136">
        <f t="shared" si="55"/>
        <v>0</v>
      </c>
      <c r="BH85" s="136">
        <f t="shared" si="56"/>
        <v>0</v>
      </c>
      <c r="BI85" s="137">
        <f t="shared" si="56"/>
        <v>0</v>
      </c>
      <c r="BJ85" s="138">
        <f t="shared" si="56"/>
        <v>0</v>
      </c>
      <c r="BK85" s="136">
        <f t="shared" si="56"/>
        <v>0</v>
      </c>
      <c r="BL85" s="136">
        <f t="shared" si="56"/>
        <v>0</v>
      </c>
      <c r="BM85" s="136">
        <f t="shared" si="56"/>
        <v>0</v>
      </c>
      <c r="BN85" s="137">
        <f t="shared" si="56"/>
        <v>0</v>
      </c>
      <c r="BO85" s="138">
        <f t="shared" si="56"/>
        <v>0</v>
      </c>
      <c r="BP85" s="136">
        <f t="shared" si="56"/>
        <v>0</v>
      </c>
      <c r="BQ85" s="136">
        <f t="shared" si="56"/>
        <v>0</v>
      </c>
      <c r="BR85" s="137">
        <f t="shared" si="56"/>
        <v>0</v>
      </c>
      <c r="BS85" s="138">
        <f t="shared" si="56"/>
        <v>0</v>
      </c>
      <c r="BT85" s="136">
        <f t="shared" si="56"/>
        <v>0</v>
      </c>
      <c r="BU85" s="136">
        <f t="shared" si="56"/>
        <v>0</v>
      </c>
      <c r="BV85" s="136">
        <f t="shared" si="56"/>
        <v>0</v>
      </c>
      <c r="BW85" s="137">
        <f t="shared" si="56"/>
        <v>0</v>
      </c>
      <c r="BX85" s="138">
        <f t="shared" si="56"/>
        <v>0</v>
      </c>
      <c r="BY85" s="136">
        <f t="shared" si="56"/>
        <v>0</v>
      </c>
      <c r="BZ85" s="136">
        <f t="shared" si="56"/>
        <v>0</v>
      </c>
      <c r="CA85" s="137">
        <f t="shared" si="56"/>
        <v>0</v>
      </c>
      <c r="CB85" s="135">
        <f t="shared" si="56"/>
        <v>0</v>
      </c>
      <c r="CC85" s="136">
        <f t="shared" si="56"/>
        <v>0</v>
      </c>
      <c r="CD85" s="136">
        <f t="shared" si="56"/>
        <v>0</v>
      </c>
      <c r="CE85" s="137">
        <f t="shared" si="56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50"/>
        <v>1</v>
      </c>
      <c r="K86" s="101">
        <v>0</v>
      </c>
      <c r="L86" s="132">
        <f t="shared" si="51"/>
        <v>0.1</v>
      </c>
      <c r="M86" s="132">
        <f t="shared" si="52"/>
        <v>0</v>
      </c>
      <c r="N86" s="132">
        <f t="shared" si="49"/>
        <v>-0.1</v>
      </c>
      <c r="O86" s="133" t="str">
        <f t="shared" si="53"/>
        <v>지연</v>
      </c>
      <c r="P86" s="104"/>
      <c r="Q86" s="104"/>
      <c r="R86" s="104"/>
      <c r="S86" s="104"/>
      <c r="T86" s="94"/>
      <c r="U86" s="134" t="str">
        <f t="shared" si="48"/>
        <v/>
      </c>
      <c r="V86" s="253">
        <f>NETWORKDAYS(P86,Q86,진행현황_전체!C$59:C$77)</f>
        <v>0</v>
      </c>
      <c r="W86" s="135">
        <f t="shared" si="54"/>
        <v>0</v>
      </c>
      <c r="X86" s="136">
        <f t="shared" si="54"/>
        <v>0</v>
      </c>
      <c r="Y86" s="136">
        <f t="shared" si="54"/>
        <v>0</v>
      </c>
      <c r="Z86" s="136">
        <f t="shared" si="54"/>
        <v>0</v>
      </c>
      <c r="AA86" s="137">
        <f t="shared" si="54"/>
        <v>0</v>
      </c>
      <c r="AB86" s="138">
        <f t="shared" si="54"/>
        <v>0</v>
      </c>
      <c r="AC86" s="136">
        <f t="shared" si="54"/>
        <v>0</v>
      </c>
      <c r="AD86" s="136">
        <f t="shared" si="54"/>
        <v>0</v>
      </c>
      <c r="AE86" s="137">
        <f t="shared" si="54"/>
        <v>0</v>
      </c>
      <c r="AF86" s="135">
        <f t="shared" si="54"/>
        <v>0</v>
      </c>
      <c r="AG86" s="136">
        <f t="shared" si="54"/>
        <v>0</v>
      </c>
      <c r="AH86" s="136">
        <f t="shared" si="54"/>
        <v>0</v>
      </c>
      <c r="AI86" s="137">
        <f t="shared" si="54"/>
        <v>0</v>
      </c>
      <c r="AJ86" s="135">
        <f t="shared" si="54"/>
        <v>0</v>
      </c>
      <c r="AK86" s="138">
        <f t="shared" si="54"/>
        <v>0</v>
      </c>
      <c r="AL86" s="136">
        <f t="shared" si="54"/>
        <v>0</v>
      </c>
      <c r="AM86" s="136">
        <f t="shared" si="54"/>
        <v>0</v>
      </c>
      <c r="AN86" s="194">
        <f t="shared" si="54"/>
        <v>0</v>
      </c>
      <c r="AO86" s="138">
        <f t="shared" si="54"/>
        <v>0</v>
      </c>
      <c r="AP86" s="136">
        <f t="shared" si="54"/>
        <v>0</v>
      </c>
      <c r="AQ86" s="136">
        <f t="shared" si="54"/>
        <v>0</v>
      </c>
      <c r="AR86" s="137">
        <f t="shared" si="55"/>
        <v>0</v>
      </c>
      <c r="AS86" s="135">
        <f t="shared" si="55"/>
        <v>0</v>
      </c>
      <c r="AT86" s="136">
        <f t="shared" si="55"/>
        <v>0</v>
      </c>
      <c r="AU86" s="136">
        <f t="shared" si="55"/>
        <v>0</v>
      </c>
      <c r="AV86" s="137">
        <f t="shared" si="55"/>
        <v>0</v>
      </c>
      <c r="AW86" s="135">
        <f t="shared" si="55"/>
        <v>0</v>
      </c>
      <c r="AX86" s="136">
        <f t="shared" si="55"/>
        <v>0</v>
      </c>
      <c r="AY86" s="136">
        <f t="shared" si="55"/>
        <v>0</v>
      </c>
      <c r="AZ86" s="136">
        <f t="shared" si="55"/>
        <v>0</v>
      </c>
      <c r="BA86" s="137">
        <f t="shared" si="55"/>
        <v>0</v>
      </c>
      <c r="BB86" s="138">
        <f t="shared" si="55"/>
        <v>0</v>
      </c>
      <c r="BC86" s="136">
        <f t="shared" si="55"/>
        <v>0</v>
      </c>
      <c r="BD86" s="136">
        <f t="shared" si="55"/>
        <v>0</v>
      </c>
      <c r="BE86" s="137">
        <f t="shared" si="55"/>
        <v>0</v>
      </c>
      <c r="BF86" s="135">
        <f t="shared" si="55"/>
        <v>0</v>
      </c>
      <c r="BG86" s="136">
        <f t="shared" si="55"/>
        <v>0</v>
      </c>
      <c r="BH86" s="136">
        <f t="shared" si="56"/>
        <v>0</v>
      </c>
      <c r="BI86" s="137">
        <f t="shared" si="56"/>
        <v>0</v>
      </c>
      <c r="BJ86" s="138">
        <f t="shared" si="56"/>
        <v>0</v>
      </c>
      <c r="BK86" s="136">
        <f t="shared" si="56"/>
        <v>0</v>
      </c>
      <c r="BL86" s="136">
        <f t="shared" si="56"/>
        <v>0</v>
      </c>
      <c r="BM86" s="136">
        <f t="shared" si="56"/>
        <v>0</v>
      </c>
      <c r="BN86" s="137">
        <f t="shared" si="56"/>
        <v>0</v>
      </c>
      <c r="BO86" s="138">
        <f t="shared" si="56"/>
        <v>0</v>
      </c>
      <c r="BP86" s="136">
        <f t="shared" si="56"/>
        <v>0</v>
      </c>
      <c r="BQ86" s="136">
        <f t="shared" si="56"/>
        <v>0</v>
      </c>
      <c r="BR86" s="137">
        <f t="shared" si="56"/>
        <v>0</v>
      </c>
      <c r="BS86" s="138">
        <f t="shared" si="56"/>
        <v>0</v>
      </c>
      <c r="BT86" s="136">
        <f t="shared" si="56"/>
        <v>0</v>
      </c>
      <c r="BU86" s="136">
        <f t="shared" si="56"/>
        <v>0</v>
      </c>
      <c r="BV86" s="136">
        <f t="shared" si="56"/>
        <v>0</v>
      </c>
      <c r="BW86" s="137">
        <f t="shared" si="56"/>
        <v>0</v>
      </c>
      <c r="BX86" s="138">
        <f t="shared" si="56"/>
        <v>0</v>
      </c>
      <c r="BY86" s="136">
        <f t="shared" si="56"/>
        <v>0</v>
      </c>
      <c r="BZ86" s="136">
        <f t="shared" si="56"/>
        <v>0</v>
      </c>
      <c r="CA86" s="137">
        <f t="shared" si="56"/>
        <v>0</v>
      </c>
      <c r="CB86" s="135">
        <f t="shared" si="56"/>
        <v>0</v>
      </c>
      <c r="CC86" s="136">
        <f t="shared" si="56"/>
        <v>0</v>
      </c>
      <c r="CD86" s="136">
        <f t="shared" si="56"/>
        <v>0</v>
      </c>
      <c r="CE86" s="137">
        <f t="shared" si="56"/>
        <v>0</v>
      </c>
    </row>
    <row r="87" spans="1:83" ht="17.25" thickBot="1">
      <c r="A87" s="139" t="s">
        <v>55</v>
      </c>
      <c r="B87" s="114" t="str">
        <f>진행현황_10.범위명!I15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진행현황_10.범위명!I16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48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57">IF(CheckDay&gt;=Q88,1,IF(CheckDay&lt;P88, 0,DAYS360(P88,CheckDay+1)/Y88))</f>
        <v>1</v>
      </c>
      <c r="K88" s="101">
        <v>0</v>
      </c>
      <c r="L88" s="132">
        <f t="shared" ref="L88:L97" si="58">I88*J88/100</f>
        <v>0.1</v>
      </c>
      <c r="M88" s="132">
        <f t="shared" ref="M88:M97" si="59">I88*K88/100</f>
        <v>0</v>
      </c>
      <c r="N88" s="132">
        <f t="shared" si="49"/>
        <v>-0.1</v>
      </c>
      <c r="O88" s="133" t="str">
        <f t="shared" ref="O88:O97" si="60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48"/>
        <v/>
      </c>
      <c r="V88" s="253">
        <f>NETWORKDAYS(P88,Q88,진행현황_전체!C$59:C$77)</f>
        <v>0</v>
      </c>
      <c r="W88" s="135">
        <f t="shared" ref="W88:AV97" si="61">IF(OR((AND($P88&lt;=W$7,AND($Q88&lt;=W$8, $Q88&gt;=W$7))),(AND(AND($P88&gt;=W$7, $P88&lt;=W$8),$Q88&gt;=W$8)), AND($P88&gt;=W$7, $Q88&lt;=W$8), AND($P88&lt;=W$7,$Q88&gt;=W$8)),1,0)</f>
        <v>0</v>
      </c>
      <c r="X88" s="136">
        <f t="shared" si="61"/>
        <v>0</v>
      </c>
      <c r="Y88" s="136">
        <f t="shared" si="61"/>
        <v>0</v>
      </c>
      <c r="Z88" s="136">
        <f t="shared" si="61"/>
        <v>0</v>
      </c>
      <c r="AA88" s="137">
        <f t="shared" si="61"/>
        <v>0</v>
      </c>
      <c r="AB88" s="138">
        <f t="shared" si="61"/>
        <v>0</v>
      </c>
      <c r="AC88" s="136">
        <f t="shared" si="61"/>
        <v>0</v>
      </c>
      <c r="AD88" s="136">
        <f t="shared" si="61"/>
        <v>0</v>
      </c>
      <c r="AE88" s="137">
        <f t="shared" si="61"/>
        <v>0</v>
      </c>
      <c r="AF88" s="135">
        <f t="shared" si="61"/>
        <v>0</v>
      </c>
      <c r="AG88" s="136">
        <f t="shared" si="61"/>
        <v>0</v>
      </c>
      <c r="AH88" s="136">
        <f t="shared" si="61"/>
        <v>0</v>
      </c>
      <c r="AI88" s="137">
        <f t="shared" si="61"/>
        <v>0</v>
      </c>
      <c r="AJ88" s="135">
        <f t="shared" si="61"/>
        <v>0</v>
      </c>
      <c r="AK88" s="138">
        <f t="shared" si="61"/>
        <v>0</v>
      </c>
      <c r="AL88" s="136">
        <f t="shared" si="61"/>
        <v>0</v>
      </c>
      <c r="AM88" s="136">
        <f t="shared" si="61"/>
        <v>0</v>
      </c>
      <c r="AN88" s="194">
        <f t="shared" si="61"/>
        <v>0</v>
      </c>
      <c r="AO88" s="138">
        <f t="shared" si="61"/>
        <v>0</v>
      </c>
      <c r="AP88" s="136">
        <f t="shared" si="61"/>
        <v>0</v>
      </c>
      <c r="AQ88" s="136">
        <f t="shared" si="61"/>
        <v>0</v>
      </c>
      <c r="AR88" s="137">
        <f t="shared" si="61"/>
        <v>0</v>
      </c>
      <c r="AS88" s="135">
        <f t="shared" si="61"/>
        <v>0</v>
      </c>
      <c r="AT88" s="136">
        <f t="shared" si="61"/>
        <v>0</v>
      </c>
      <c r="AU88" s="136">
        <f t="shared" si="61"/>
        <v>0</v>
      </c>
      <c r="AV88" s="137">
        <f t="shared" si="61"/>
        <v>0</v>
      </c>
      <c r="AW88" s="135">
        <f t="shared" ref="AW88:CE95" si="62">IF(OR((AND($P88&lt;=AW$7,AND($Q88&lt;=AW$8, $Q88&gt;=AW$7))),(AND(AND($P88&gt;=AW$7, $P88&lt;=AW$8),$Q88&gt;=AW$8)), AND($P88&gt;=AW$7, $Q88&lt;=AW$8), AND($P88&lt;=AW$7,$Q88&gt;=AW$8)),1,0)</f>
        <v>0</v>
      </c>
      <c r="AX88" s="136">
        <f t="shared" si="62"/>
        <v>0</v>
      </c>
      <c r="AY88" s="136">
        <f t="shared" si="62"/>
        <v>0</v>
      </c>
      <c r="AZ88" s="136">
        <f t="shared" si="62"/>
        <v>0</v>
      </c>
      <c r="BA88" s="137">
        <f t="shared" si="62"/>
        <v>0</v>
      </c>
      <c r="BB88" s="138">
        <f t="shared" si="62"/>
        <v>0</v>
      </c>
      <c r="BC88" s="136">
        <f t="shared" si="62"/>
        <v>0</v>
      </c>
      <c r="BD88" s="136">
        <f t="shared" si="62"/>
        <v>0</v>
      </c>
      <c r="BE88" s="137">
        <f t="shared" si="62"/>
        <v>0</v>
      </c>
      <c r="BF88" s="135">
        <f t="shared" si="62"/>
        <v>0</v>
      </c>
      <c r="BG88" s="136">
        <f t="shared" si="62"/>
        <v>0</v>
      </c>
      <c r="BH88" s="136">
        <f t="shared" si="62"/>
        <v>0</v>
      </c>
      <c r="BI88" s="137">
        <f t="shared" si="62"/>
        <v>0</v>
      </c>
      <c r="BJ88" s="138">
        <f t="shared" si="62"/>
        <v>0</v>
      </c>
      <c r="BK88" s="136">
        <f t="shared" si="62"/>
        <v>0</v>
      </c>
      <c r="BL88" s="136">
        <f t="shared" si="62"/>
        <v>0</v>
      </c>
      <c r="BM88" s="136">
        <f t="shared" si="62"/>
        <v>0</v>
      </c>
      <c r="BN88" s="137">
        <f t="shared" si="62"/>
        <v>0</v>
      </c>
      <c r="BO88" s="138">
        <f t="shared" si="62"/>
        <v>0</v>
      </c>
      <c r="BP88" s="136">
        <f t="shared" si="62"/>
        <v>0</v>
      </c>
      <c r="BQ88" s="136">
        <f t="shared" si="62"/>
        <v>0</v>
      </c>
      <c r="BR88" s="137">
        <f t="shared" si="62"/>
        <v>0</v>
      </c>
      <c r="BS88" s="138">
        <f t="shared" si="62"/>
        <v>0</v>
      </c>
      <c r="BT88" s="136">
        <f t="shared" si="62"/>
        <v>0</v>
      </c>
      <c r="BU88" s="136">
        <f t="shared" si="62"/>
        <v>0</v>
      </c>
      <c r="BV88" s="136">
        <f t="shared" si="62"/>
        <v>0</v>
      </c>
      <c r="BW88" s="137">
        <f t="shared" si="62"/>
        <v>0</v>
      </c>
      <c r="BX88" s="138">
        <f t="shared" si="62"/>
        <v>0</v>
      </c>
      <c r="BY88" s="136">
        <f t="shared" si="62"/>
        <v>0</v>
      </c>
      <c r="BZ88" s="136">
        <f t="shared" si="62"/>
        <v>0</v>
      </c>
      <c r="CA88" s="137">
        <f t="shared" si="62"/>
        <v>0</v>
      </c>
      <c r="CB88" s="135">
        <f t="shared" si="62"/>
        <v>0</v>
      </c>
      <c r="CC88" s="136">
        <f t="shared" si="62"/>
        <v>0</v>
      </c>
      <c r="CD88" s="136">
        <f t="shared" si="62"/>
        <v>0</v>
      </c>
      <c r="CE88" s="137">
        <f t="shared" si="62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57"/>
        <v>1</v>
      </c>
      <c r="K89" s="101">
        <v>0</v>
      </c>
      <c r="L89" s="132">
        <f t="shared" si="58"/>
        <v>0.1</v>
      </c>
      <c r="M89" s="132">
        <f t="shared" si="59"/>
        <v>0</v>
      </c>
      <c r="N89" s="132">
        <f t="shared" si="49"/>
        <v>-0.1</v>
      </c>
      <c r="O89" s="133" t="str">
        <f t="shared" si="60"/>
        <v>지연</v>
      </c>
      <c r="P89" s="104"/>
      <c r="Q89" s="104"/>
      <c r="R89" s="104"/>
      <c r="S89" s="104"/>
      <c r="T89" s="94"/>
      <c r="U89" s="134" t="str">
        <f t="shared" si="48"/>
        <v/>
      </c>
      <c r="V89" s="253">
        <f>NETWORKDAYS(P89,Q89,진행현황_전체!C$59:C$77)</f>
        <v>0</v>
      </c>
      <c r="W89" s="135">
        <f t="shared" si="61"/>
        <v>0</v>
      </c>
      <c r="X89" s="136">
        <f t="shared" si="61"/>
        <v>0</v>
      </c>
      <c r="Y89" s="136">
        <f t="shared" si="61"/>
        <v>0</v>
      </c>
      <c r="Z89" s="136">
        <f t="shared" si="61"/>
        <v>0</v>
      </c>
      <c r="AA89" s="137">
        <f t="shared" si="61"/>
        <v>0</v>
      </c>
      <c r="AB89" s="138">
        <f t="shared" si="61"/>
        <v>0</v>
      </c>
      <c r="AC89" s="136">
        <f t="shared" si="61"/>
        <v>0</v>
      </c>
      <c r="AD89" s="136">
        <f t="shared" si="61"/>
        <v>0</v>
      </c>
      <c r="AE89" s="137">
        <f t="shared" si="61"/>
        <v>0</v>
      </c>
      <c r="AF89" s="135">
        <f t="shared" si="61"/>
        <v>0</v>
      </c>
      <c r="AG89" s="136">
        <f t="shared" si="61"/>
        <v>0</v>
      </c>
      <c r="AH89" s="136">
        <f t="shared" si="61"/>
        <v>0</v>
      </c>
      <c r="AI89" s="137">
        <f t="shared" si="61"/>
        <v>0</v>
      </c>
      <c r="AJ89" s="135">
        <f t="shared" si="61"/>
        <v>0</v>
      </c>
      <c r="AK89" s="138">
        <f t="shared" si="61"/>
        <v>0</v>
      </c>
      <c r="AL89" s="136">
        <f t="shared" si="61"/>
        <v>0</v>
      </c>
      <c r="AM89" s="136">
        <f t="shared" si="61"/>
        <v>0</v>
      </c>
      <c r="AN89" s="194">
        <f t="shared" si="61"/>
        <v>0</v>
      </c>
      <c r="AO89" s="138">
        <f t="shared" si="61"/>
        <v>0</v>
      </c>
      <c r="AP89" s="136">
        <f t="shared" si="61"/>
        <v>0</v>
      </c>
      <c r="AQ89" s="136">
        <f t="shared" si="61"/>
        <v>0</v>
      </c>
      <c r="AR89" s="137">
        <f t="shared" si="61"/>
        <v>0</v>
      </c>
      <c r="AS89" s="135">
        <f t="shared" si="61"/>
        <v>0</v>
      </c>
      <c r="AT89" s="136">
        <f t="shared" si="61"/>
        <v>0</v>
      </c>
      <c r="AU89" s="136">
        <f t="shared" si="61"/>
        <v>0</v>
      </c>
      <c r="AV89" s="137">
        <f t="shared" si="61"/>
        <v>0</v>
      </c>
      <c r="AW89" s="135">
        <f t="shared" si="62"/>
        <v>0</v>
      </c>
      <c r="AX89" s="136">
        <f t="shared" si="62"/>
        <v>0</v>
      </c>
      <c r="AY89" s="136">
        <f t="shared" si="62"/>
        <v>0</v>
      </c>
      <c r="AZ89" s="136">
        <f t="shared" si="62"/>
        <v>0</v>
      </c>
      <c r="BA89" s="137">
        <f t="shared" si="62"/>
        <v>0</v>
      </c>
      <c r="BB89" s="138">
        <f t="shared" si="62"/>
        <v>0</v>
      </c>
      <c r="BC89" s="136">
        <f t="shared" si="62"/>
        <v>0</v>
      </c>
      <c r="BD89" s="136">
        <f t="shared" si="62"/>
        <v>0</v>
      </c>
      <c r="BE89" s="137">
        <f t="shared" si="62"/>
        <v>0</v>
      </c>
      <c r="BF89" s="135">
        <f t="shared" si="62"/>
        <v>0</v>
      </c>
      <c r="BG89" s="136">
        <f t="shared" si="62"/>
        <v>0</v>
      </c>
      <c r="BH89" s="136">
        <f t="shared" si="62"/>
        <v>0</v>
      </c>
      <c r="BI89" s="137">
        <f t="shared" si="62"/>
        <v>0</v>
      </c>
      <c r="BJ89" s="138">
        <f t="shared" si="62"/>
        <v>0</v>
      </c>
      <c r="BK89" s="136">
        <f t="shared" si="62"/>
        <v>0</v>
      </c>
      <c r="BL89" s="136">
        <f t="shared" si="62"/>
        <v>0</v>
      </c>
      <c r="BM89" s="136">
        <f t="shared" si="62"/>
        <v>0</v>
      </c>
      <c r="BN89" s="137">
        <f t="shared" si="62"/>
        <v>0</v>
      </c>
      <c r="BO89" s="138">
        <f t="shared" si="62"/>
        <v>0</v>
      </c>
      <c r="BP89" s="136">
        <f t="shared" si="62"/>
        <v>0</v>
      </c>
      <c r="BQ89" s="136">
        <f t="shared" si="62"/>
        <v>0</v>
      </c>
      <c r="BR89" s="137">
        <f t="shared" si="62"/>
        <v>0</v>
      </c>
      <c r="BS89" s="138">
        <f t="shared" si="62"/>
        <v>0</v>
      </c>
      <c r="BT89" s="136">
        <f t="shared" si="62"/>
        <v>0</v>
      </c>
      <c r="BU89" s="136">
        <f t="shared" si="62"/>
        <v>0</v>
      </c>
      <c r="BV89" s="136">
        <f t="shared" si="62"/>
        <v>0</v>
      </c>
      <c r="BW89" s="137">
        <f t="shared" si="62"/>
        <v>0</v>
      </c>
      <c r="BX89" s="138">
        <f t="shared" si="62"/>
        <v>0</v>
      </c>
      <c r="BY89" s="136">
        <f t="shared" si="62"/>
        <v>0</v>
      </c>
      <c r="BZ89" s="136">
        <f t="shared" si="62"/>
        <v>0</v>
      </c>
      <c r="CA89" s="137">
        <f t="shared" si="62"/>
        <v>0</v>
      </c>
      <c r="CB89" s="135">
        <f t="shared" si="62"/>
        <v>0</v>
      </c>
      <c r="CC89" s="136">
        <f t="shared" si="62"/>
        <v>0</v>
      </c>
      <c r="CD89" s="136">
        <f t="shared" si="62"/>
        <v>0</v>
      </c>
      <c r="CE89" s="137">
        <f t="shared" si="62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57"/>
        <v>1</v>
      </c>
      <c r="K90" s="101">
        <v>0</v>
      </c>
      <c r="L90" s="132">
        <f t="shared" si="58"/>
        <v>0.1</v>
      </c>
      <c r="M90" s="132">
        <f t="shared" si="59"/>
        <v>0</v>
      </c>
      <c r="N90" s="132">
        <f t="shared" si="49"/>
        <v>-0.1</v>
      </c>
      <c r="O90" s="133" t="str">
        <f t="shared" si="60"/>
        <v>지연</v>
      </c>
      <c r="P90" s="104"/>
      <c r="Q90" s="104"/>
      <c r="R90" s="104"/>
      <c r="S90" s="104"/>
      <c r="T90" s="94"/>
      <c r="U90" s="134" t="str">
        <f t="shared" si="48"/>
        <v/>
      </c>
      <c r="V90" s="253">
        <f>NETWORKDAYS(P90,Q90,진행현황_전체!C$59:C$77)</f>
        <v>0</v>
      </c>
      <c r="W90" s="135">
        <f t="shared" si="61"/>
        <v>0</v>
      </c>
      <c r="X90" s="136">
        <f t="shared" si="61"/>
        <v>0</v>
      </c>
      <c r="Y90" s="136">
        <f t="shared" si="61"/>
        <v>0</v>
      </c>
      <c r="Z90" s="136">
        <f t="shared" si="61"/>
        <v>0</v>
      </c>
      <c r="AA90" s="137">
        <f t="shared" si="61"/>
        <v>0</v>
      </c>
      <c r="AB90" s="138">
        <f t="shared" si="61"/>
        <v>0</v>
      </c>
      <c r="AC90" s="136">
        <f t="shared" si="61"/>
        <v>0</v>
      </c>
      <c r="AD90" s="136">
        <f t="shared" si="61"/>
        <v>0</v>
      </c>
      <c r="AE90" s="137">
        <f t="shared" si="61"/>
        <v>0</v>
      </c>
      <c r="AF90" s="135">
        <f t="shared" si="61"/>
        <v>0</v>
      </c>
      <c r="AG90" s="136">
        <f t="shared" si="61"/>
        <v>0</v>
      </c>
      <c r="AH90" s="136">
        <f t="shared" si="61"/>
        <v>0</v>
      </c>
      <c r="AI90" s="137">
        <f t="shared" si="61"/>
        <v>0</v>
      </c>
      <c r="AJ90" s="135">
        <f t="shared" si="61"/>
        <v>0</v>
      </c>
      <c r="AK90" s="138">
        <f t="shared" si="61"/>
        <v>0</v>
      </c>
      <c r="AL90" s="136">
        <f t="shared" si="61"/>
        <v>0</v>
      </c>
      <c r="AM90" s="136">
        <f t="shared" si="61"/>
        <v>0</v>
      </c>
      <c r="AN90" s="194">
        <f t="shared" si="61"/>
        <v>0</v>
      </c>
      <c r="AO90" s="138">
        <f t="shared" si="61"/>
        <v>0</v>
      </c>
      <c r="AP90" s="136">
        <f t="shared" si="61"/>
        <v>0</v>
      </c>
      <c r="AQ90" s="136">
        <f t="shared" si="61"/>
        <v>0</v>
      </c>
      <c r="AR90" s="137">
        <f t="shared" si="61"/>
        <v>0</v>
      </c>
      <c r="AS90" s="135">
        <f t="shared" si="61"/>
        <v>0</v>
      </c>
      <c r="AT90" s="136">
        <f t="shared" si="61"/>
        <v>0</v>
      </c>
      <c r="AU90" s="136">
        <f t="shared" si="61"/>
        <v>0</v>
      </c>
      <c r="AV90" s="137">
        <f t="shared" si="61"/>
        <v>0</v>
      </c>
      <c r="AW90" s="135">
        <f t="shared" si="62"/>
        <v>0</v>
      </c>
      <c r="AX90" s="136">
        <f t="shared" si="62"/>
        <v>0</v>
      </c>
      <c r="AY90" s="136">
        <f t="shared" si="62"/>
        <v>0</v>
      </c>
      <c r="AZ90" s="136">
        <f t="shared" si="62"/>
        <v>0</v>
      </c>
      <c r="BA90" s="137">
        <f t="shared" si="62"/>
        <v>0</v>
      </c>
      <c r="BB90" s="138">
        <f t="shared" si="62"/>
        <v>0</v>
      </c>
      <c r="BC90" s="136">
        <f t="shared" si="62"/>
        <v>0</v>
      </c>
      <c r="BD90" s="136">
        <f t="shared" si="62"/>
        <v>0</v>
      </c>
      <c r="BE90" s="137">
        <f t="shared" si="62"/>
        <v>0</v>
      </c>
      <c r="BF90" s="135">
        <f t="shared" si="62"/>
        <v>0</v>
      </c>
      <c r="BG90" s="136">
        <f t="shared" si="62"/>
        <v>0</v>
      </c>
      <c r="BH90" s="136">
        <f t="shared" si="62"/>
        <v>0</v>
      </c>
      <c r="BI90" s="137">
        <f t="shared" si="62"/>
        <v>0</v>
      </c>
      <c r="BJ90" s="138">
        <f t="shared" si="62"/>
        <v>0</v>
      </c>
      <c r="BK90" s="136">
        <f t="shared" si="62"/>
        <v>0</v>
      </c>
      <c r="BL90" s="136">
        <f t="shared" si="62"/>
        <v>0</v>
      </c>
      <c r="BM90" s="136">
        <f t="shared" si="62"/>
        <v>0</v>
      </c>
      <c r="BN90" s="137">
        <f t="shared" si="62"/>
        <v>0</v>
      </c>
      <c r="BO90" s="138">
        <f t="shared" si="62"/>
        <v>0</v>
      </c>
      <c r="BP90" s="136">
        <f t="shared" si="62"/>
        <v>0</v>
      </c>
      <c r="BQ90" s="136">
        <f t="shared" si="62"/>
        <v>0</v>
      </c>
      <c r="BR90" s="137">
        <f t="shared" si="62"/>
        <v>0</v>
      </c>
      <c r="BS90" s="138">
        <f t="shared" si="62"/>
        <v>0</v>
      </c>
      <c r="BT90" s="136">
        <f t="shared" si="62"/>
        <v>0</v>
      </c>
      <c r="BU90" s="136">
        <f t="shared" si="62"/>
        <v>0</v>
      </c>
      <c r="BV90" s="136">
        <f t="shared" si="62"/>
        <v>0</v>
      </c>
      <c r="BW90" s="137">
        <f t="shared" si="62"/>
        <v>0</v>
      </c>
      <c r="BX90" s="138">
        <f t="shared" si="62"/>
        <v>0</v>
      </c>
      <c r="BY90" s="136">
        <f t="shared" si="62"/>
        <v>0</v>
      </c>
      <c r="BZ90" s="136">
        <f t="shared" si="62"/>
        <v>0</v>
      </c>
      <c r="CA90" s="137">
        <f t="shared" si="62"/>
        <v>0</v>
      </c>
      <c r="CB90" s="135">
        <f t="shared" si="62"/>
        <v>0</v>
      </c>
      <c r="CC90" s="136">
        <f t="shared" si="62"/>
        <v>0</v>
      </c>
      <c r="CD90" s="136">
        <f t="shared" si="62"/>
        <v>0</v>
      </c>
      <c r="CE90" s="137">
        <f t="shared" si="62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57"/>
        <v>1</v>
      </c>
      <c r="K91" s="101">
        <v>0</v>
      </c>
      <c r="L91" s="132">
        <f t="shared" si="58"/>
        <v>0.1</v>
      </c>
      <c r="M91" s="132">
        <f t="shared" si="59"/>
        <v>0</v>
      </c>
      <c r="N91" s="132">
        <f t="shared" si="49"/>
        <v>-0.1</v>
      </c>
      <c r="O91" s="133" t="str">
        <f t="shared" si="60"/>
        <v>지연</v>
      </c>
      <c r="P91" s="104"/>
      <c r="Q91" s="104"/>
      <c r="R91" s="104"/>
      <c r="S91" s="104"/>
      <c r="T91" s="94"/>
      <c r="U91" s="134" t="str">
        <f t="shared" si="48"/>
        <v/>
      </c>
      <c r="V91" s="253">
        <f>NETWORKDAYS(P91,Q91,진행현황_전체!C$59:C$77)</f>
        <v>0</v>
      </c>
      <c r="W91" s="135">
        <f t="shared" si="61"/>
        <v>0</v>
      </c>
      <c r="X91" s="136">
        <f t="shared" si="61"/>
        <v>0</v>
      </c>
      <c r="Y91" s="136">
        <f t="shared" si="61"/>
        <v>0</v>
      </c>
      <c r="Z91" s="136">
        <f t="shared" si="61"/>
        <v>0</v>
      </c>
      <c r="AA91" s="137">
        <f t="shared" si="61"/>
        <v>0</v>
      </c>
      <c r="AB91" s="138">
        <f t="shared" si="61"/>
        <v>0</v>
      </c>
      <c r="AC91" s="136">
        <f t="shared" si="61"/>
        <v>0</v>
      </c>
      <c r="AD91" s="136">
        <f t="shared" si="61"/>
        <v>0</v>
      </c>
      <c r="AE91" s="137">
        <f t="shared" si="61"/>
        <v>0</v>
      </c>
      <c r="AF91" s="135">
        <f t="shared" si="61"/>
        <v>0</v>
      </c>
      <c r="AG91" s="136">
        <f t="shared" si="61"/>
        <v>0</v>
      </c>
      <c r="AH91" s="136">
        <f t="shared" si="61"/>
        <v>0</v>
      </c>
      <c r="AI91" s="137">
        <f t="shared" si="61"/>
        <v>0</v>
      </c>
      <c r="AJ91" s="135">
        <f t="shared" si="61"/>
        <v>0</v>
      </c>
      <c r="AK91" s="138">
        <f t="shared" si="61"/>
        <v>0</v>
      </c>
      <c r="AL91" s="136">
        <f t="shared" si="61"/>
        <v>0</v>
      </c>
      <c r="AM91" s="136">
        <f t="shared" si="61"/>
        <v>0</v>
      </c>
      <c r="AN91" s="194">
        <f t="shared" si="61"/>
        <v>0</v>
      </c>
      <c r="AO91" s="138">
        <f t="shared" si="61"/>
        <v>0</v>
      </c>
      <c r="AP91" s="136">
        <f t="shared" si="61"/>
        <v>0</v>
      </c>
      <c r="AQ91" s="136">
        <f t="shared" si="61"/>
        <v>0</v>
      </c>
      <c r="AR91" s="137">
        <f t="shared" si="61"/>
        <v>0</v>
      </c>
      <c r="AS91" s="135">
        <f t="shared" si="61"/>
        <v>0</v>
      </c>
      <c r="AT91" s="136">
        <f t="shared" si="61"/>
        <v>0</v>
      </c>
      <c r="AU91" s="136">
        <f t="shared" si="61"/>
        <v>0</v>
      </c>
      <c r="AV91" s="137">
        <f t="shared" si="61"/>
        <v>0</v>
      </c>
      <c r="AW91" s="135">
        <f t="shared" si="62"/>
        <v>0</v>
      </c>
      <c r="AX91" s="136">
        <f t="shared" si="62"/>
        <v>0</v>
      </c>
      <c r="AY91" s="136">
        <f t="shared" si="62"/>
        <v>0</v>
      </c>
      <c r="AZ91" s="136">
        <f t="shared" si="62"/>
        <v>0</v>
      </c>
      <c r="BA91" s="137">
        <f t="shared" si="62"/>
        <v>0</v>
      </c>
      <c r="BB91" s="138">
        <f t="shared" si="62"/>
        <v>0</v>
      </c>
      <c r="BC91" s="136">
        <f t="shared" si="62"/>
        <v>0</v>
      </c>
      <c r="BD91" s="136">
        <f t="shared" si="62"/>
        <v>0</v>
      </c>
      <c r="BE91" s="137">
        <f t="shared" si="62"/>
        <v>0</v>
      </c>
      <c r="BF91" s="135">
        <f t="shared" si="62"/>
        <v>0</v>
      </c>
      <c r="BG91" s="136">
        <f t="shared" si="62"/>
        <v>0</v>
      </c>
      <c r="BH91" s="136">
        <f t="shared" si="62"/>
        <v>0</v>
      </c>
      <c r="BI91" s="137">
        <f t="shared" si="62"/>
        <v>0</v>
      </c>
      <c r="BJ91" s="138">
        <f t="shared" si="62"/>
        <v>0</v>
      </c>
      <c r="BK91" s="136">
        <f t="shared" si="62"/>
        <v>0</v>
      </c>
      <c r="BL91" s="136">
        <f t="shared" si="62"/>
        <v>0</v>
      </c>
      <c r="BM91" s="136">
        <f t="shared" si="62"/>
        <v>0</v>
      </c>
      <c r="BN91" s="137">
        <f t="shared" si="62"/>
        <v>0</v>
      </c>
      <c r="BO91" s="138">
        <f t="shared" si="62"/>
        <v>0</v>
      </c>
      <c r="BP91" s="136">
        <f t="shared" si="62"/>
        <v>0</v>
      </c>
      <c r="BQ91" s="136">
        <f t="shared" si="62"/>
        <v>0</v>
      </c>
      <c r="BR91" s="137">
        <f t="shared" si="62"/>
        <v>0</v>
      </c>
      <c r="BS91" s="138">
        <f t="shared" si="62"/>
        <v>0</v>
      </c>
      <c r="BT91" s="136">
        <f t="shared" si="62"/>
        <v>0</v>
      </c>
      <c r="BU91" s="136">
        <f t="shared" si="62"/>
        <v>0</v>
      </c>
      <c r="BV91" s="136">
        <f t="shared" si="62"/>
        <v>0</v>
      </c>
      <c r="BW91" s="137">
        <f t="shared" si="62"/>
        <v>0</v>
      </c>
      <c r="BX91" s="138">
        <f t="shared" si="62"/>
        <v>0</v>
      </c>
      <c r="BY91" s="136">
        <f t="shared" si="62"/>
        <v>0</v>
      </c>
      <c r="BZ91" s="136">
        <f t="shared" si="62"/>
        <v>0</v>
      </c>
      <c r="CA91" s="137">
        <f t="shared" si="62"/>
        <v>0</v>
      </c>
      <c r="CB91" s="135">
        <f t="shared" si="62"/>
        <v>0</v>
      </c>
      <c r="CC91" s="136">
        <f t="shared" si="62"/>
        <v>0</v>
      </c>
      <c r="CD91" s="136">
        <f t="shared" si="62"/>
        <v>0</v>
      </c>
      <c r="CE91" s="137">
        <f t="shared" si="62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57"/>
        <v>1</v>
      </c>
      <c r="K92" s="101">
        <v>0</v>
      </c>
      <c r="L92" s="132">
        <f t="shared" si="58"/>
        <v>0.1</v>
      </c>
      <c r="M92" s="132">
        <f t="shared" si="59"/>
        <v>0</v>
      </c>
      <c r="N92" s="132">
        <f t="shared" si="49"/>
        <v>-0.1</v>
      </c>
      <c r="O92" s="133" t="str">
        <f t="shared" si="60"/>
        <v>지연</v>
      </c>
      <c r="P92" s="104"/>
      <c r="Q92" s="104"/>
      <c r="R92" s="104"/>
      <c r="S92" s="104"/>
      <c r="T92" s="94"/>
      <c r="U92" s="134" t="str">
        <f t="shared" si="48"/>
        <v/>
      </c>
      <c r="V92" s="253">
        <f>NETWORKDAYS(P92,Q92,진행현황_전체!C$59:C$77)</f>
        <v>0</v>
      </c>
      <c r="W92" s="135">
        <f t="shared" si="61"/>
        <v>0</v>
      </c>
      <c r="X92" s="136">
        <f t="shared" si="61"/>
        <v>0</v>
      </c>
      <c r="Y92" s="136">
        <f t="shared" si="61"/>
        <v>0</v>
      </c>
      <c r="Z92" s="136">
        <f t="shared" si="61"/>
        <v>0</v>
      </c>
      <c r="AA92" s="137">
        <f t="shared" si="61"/>
        <v>0</v>
      </c>
      <c r="AB92" s="138">
        <f t="shared" si="61"/>
        <v>0</v>
      </c>
      <c r="AC92" s="136">
        <f t="shared" si="61"/>
        <v>0</v>
      </c>
      <c r="AD92" s="136">
        <f t="shared" si="61"/>
        <v>0</v>
      </c>
      <c r="AE92" s="137">
        <f t="shared" si="61"/>
        <v>0</v>
      </c>
      <c r="AF92" s="135">
        <f t="shared" si="61"/>
        <v>0</v>
      </c>
      <c r="AG92" s="136">
        <f t="shared" si="61"/>
        <v>0</v>
      </c>
      <c r="AH92" s="136">
        <f t="shared" si="61"/>
        <v>0</v>
      </c>
      <c r="AI92" s="137">
        <f t="shared" si="61"/>
        <v>0</v>
      </c>
      <c r="AJ92" s="135">
        <f t="shared" si="61"/>
        <v>0</v>
      </c>
      <c r="AK92" s="138">
        <f t="shared" si="61"/>
        <v>0</v>
      </c>
      <c r="AL92" s="136">
        <f t="shared" si="61"/>
        <v>0</v>
      </c>
      <c r="AM92" s="136">
        <f t="shared" si="61"/>
        <v>0</v>
      </c>
      <c r="AN92" s="194">
        <f t="shared" si="61"/>
        <v>0</v>
      </c>
      <c r="AO92" s="138">
        <f t="shared" si="61"/>
        <v>0</v>
      </c>
      <c r="AP92" s="136">
        <f t="shared" si="61"/>
        <v>0</v>
      </c>
      <c r="AQ92" s="136">
        <f t="shared" si="61"/>
        <v>0</v>
      </c>
      <c r="AR92" s="137">
        <f t="shared" si="61"/>
        <v>0</v>
      </c>
      <c r="AS92" s="135">
        <f t="shared" si="61"/>
        <v>0</v>
      </c>
      <c r="AT92" s="136">
        <f t="shared" si="61"/>
        <v>0</v>
      </c>
      <c r="AU92" s="136">
        <f t="shared" si="61"/>
        <v>0</v>
      </c>
      <c r="AV92" s="137">
        <f t="shared" si="61"/>
        <v>0</v>
      </c>
      <c r="AW92" s="135">
        <f t="shared" si="62"/>
        <v>0</v>
      </c>
      <c r="AX92" s="136">
        <f t="shared" si="62"/>
        <v>0</v>
      </c>
      <c r="AY92" s="136">
        <f t="shared" si="62"/>
        <v>0</v>
      </c>
      <c r="AZ92" s="136">
        <f t="shared" si="62"/>
        <v>0</v>
      </c>
      <c r="BA92" s="137">
        <f t="shared" si="62"/>
        <v>0</v>
      </c>
      <c r="BB92" s="138">
        <f t="shared" si="62"/>
        <v>0</v>
      </c>
      <c r="BC92" s="136">
        <f t="shared" si="62"/>
        <v>0</v>
      </c>
      <c r="BD92" s="136">
        <f t="shared" si="62"/>
        <v>0</v>
      </c>
      <c r="BE92" s="137">
        <f t="shared" si="62"/>
        <v>0</v>
      </c>
      <c r="BF92" s="135">
        <f t="shared" si="62"/>
        <v>0</v>
      </c>
      <c r="BG92" s="136">
        <f t="shared" si="62"/>
        <v>0</v>
      </c>
      <c r="BH92" s="136">
        <f t="shared" si="62"/>
        <v>0</v>
      </c>
      <c r="BI92" s="137">
        <f t="shared" si="62"/>
        <v>0</v>
      </c>
      <c r="BJ92" s="138">
        <f t="shared" si="62"/>
        <v>0</v>
      </c>
      <c r="BK92" s="136">
        <f t="shared" si="62"/>
        <v>0</v>
      </c>
      <c r="BL92" s="136">
        <f t="shared" si="62"/>
        <v>0</v>
      </c>
      <c r="BM92" s="136">
        <f t="shared" si="62"/>
        <v>0</v>
      </c>
      <c r="BN92" s="137">
        <f t="shared" si="62"/>
        <v>0</v>
      </c>
      <c r="BO92" s="138">
        <f t="shared" si="62"/>
        <v>0</v>
      </c>
      <c r="BP92" s="136">
        <f t="shared" si="62"/>
        <v>0</v>
      </c>
      <c r="BQ92" s="136">
        <f t="shared" si="62"/>
        <v>0</v>
      </c>
      <c r="BR92" s="137">
        <f t="shared" si="62"/>
        <v>0</v>
      </c>
      <c r="BS92" s="138">
        <f t="shared" si="62"/>
        <v>0</v>
      </c>
      <c r="BT92" s="136">
        <f t="shared" si="62"/>
        <v>0</v>
      </c>
      <c r="BU92" s="136">
        <f t="shared" si="62"/>
        <v>0</v>
      </c>
      <c r="BV92" s="136">
        <f t="shared" si="62"/>
        <v>0</v>
      </c>
      <c r="BW92" s="137">
        <f t="shared" si="62"/>
        <v>0</v>
      </c>
      <c r="BX92" s="138">
        <f t="shared" si="62"/>
        <v>0</v>
      </c>
      <c r="BY92" s="136">
        <f t="shared" si="62"/>
        <v>0</v>
      </c>
      <c r="BZ92" s="136">
        <f t="shared" si="62"/>
        <v>0</v>
      </c>
      <c r="CA92" s="137">
        <f t="shared" si="62"/>
        <v>0</v>
      </c>
      <c r="CB92" s="135">
        <f t="shared" si="62"/>
        <v>0</v>
      </c>
      <c r="CC92" s="136">
        <f t="shared" si="62"/>
        <v>0</v>
      </c>
      <c r="CD92" s="136">
        <f t="shared" si="62"/>
        <v>0</v>
      </c>
      <c r="CE92" s="137">
        <f t="shared" si="62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57"/>
        <v>1</v>
      </c>
      <c r="K93" s="101">
        <v>0</v>
      </c>
      <c r="L93" s="132">
        <f t="shared" si="58"/>
        <v>0.1</v>
      </c>
      <c r="M93" s="132">
        <f t="shared" si="59"/>
        <v>0</v>
      </c>
      <c r="N93" s="132">
        <f t="shared" si="49"/>
        <v>-0.1</v>
      </c>
      <c r="O93" s="133" t="str">
        <f t="shared" si="60"/>
        <v>지연</v>
      </c>
      <c r="P93" s="104"/>
      <c r="Q93" s="104"/>
      <c r="R93" s="104"/>
      <c r="S93" s="104"/>
      <c r="T93" s="130"/>
      <c r="U93" s="134" t="str">
        <f t="shared" si="48"/>
        <v/>
      </c>
      <c r="V93" s="253">
        <f>NETWORKDAYS(P93,Q93,진행현황_전체!C$59:C$77)</f>
        <v>0</v>
      </c>
      <c r="W93" s="135">
        <f t="shared" si="61"/>
        <v>0</v>
      </c>
      <c r="X93" s="136">
        <f t="shared" si="61"/>
        <v>0</v>
      </c>
      <c r="Y93" s="136">
        <f t="shared" si="61"/>
        <v>0</v>
      </c>
      <c r="Z93" s="136">
        <f t="shared" si="61"/>
        <v>0</v>
      </c>
      <c r="AA93" s="137">
        <f t="shared" si="61"/>
        <v>0</v>
      </c>
      <c r="AB93" s="138">
        <f t="shared" si="61"/>
        <v>0</v>
      </c>
      <c r="AC93" s="136">
        <f t="shared" si="61"/>
        <v>0</v>
      </c>
      <c r="AD93" s="136">
        <f t="shared" si="61"/>
        <v>0</v>
      </c>
      <c r="AE93" s="137">
        <f t="shared" si="61"/>
        <v>0</v>
      </c>
      <c r="AF93" s="135">
        <f t="shared" si="61"/>
        <v>0</v>
      </c>
      <c r="AG93" s="136">
        <f t="shared" si="61"/>
        <v>0</v>
      </c>
      <c r="AH93" s="136">
        <f t="shared" si="61"/>
        <v>0</v>
      </c>
      <c r="AI93" s="137">
        <f t="shared" si="61"/>
        <v>0</v>
      </c>
      <c r="AJ93" s="135">
        <f t="shared" si="61"/>
        <v>0</v>
      </c>
      <c r="AK93" s="138">
        <f t="shared" si="61"/>
        <v>0</v>
      </c>
      <c r="AL93" s="136">
        <f t="shared" si="61"/>
        <v>0</v>
      </c>
      <c r="AM93" s="136">
        <f t="shared" si="61"/>
        <v>0</v>
      </c>
      <c r="AN93" s="194">
        <f t="shared" si="61"/>
        <v>0</v>
      </c>
      <c r="AO93" s="138">
        <f t="shared" si="61"/>
        <v>0</v>
      </c>
      <c r="AP93" s="136">
        <f t="shared" si="61"/>
        <v>0</v>
      </c>
      <c r="AQ93" s="136">
        <f t="shared" si="61"/>
        <v>0</v>
      </c>
      <c r="AR93" s="137">
        <f t="shared" si="61"/>
        <v>0</v>
      </c>
      <c r="AS93" s="135">
        <f t="shared" si="61"/>
        <v>0</v>
      </c>
      <c r="AT93" s="136">
        <f t="shared" si="61"/>
        <v>0</v>
      </c>
      <c r="AU93" s="136">
        <f t="shared" si="61"/>
        <v>0</v>
      </c>
      <c r="AV93" s="137">
        <f t="shared" si="61"/>
        <v>0</v>
      </c>
      <c r="AW93" s="135">
        <f t="shared" si="62"/>
        <v>0</v>
      </c>
      <c r="AX93" s="136">
        <f t="shared" si="62"/>
        <v>0</v>
      </c>
      <c r="AY93" s="136">
        <f t="shared" si="62"/>
        <v>0</v>
      </c>
      <c r="AZ93" s="136">
        <f t="shared" si="62"/>
        <v>0</v>
      </c>
      <c r="BA93" s="137">
        <f t="shared" si="62"/>
        <v>0</v>
      </c>
      <c r="BB93" s="138">
        <f t="shared" si="62"/>
        <v>0</v>
      </c>
      <c r="BC93" s="136">
        <f t="shared" si="62"/>
        <v>0</v>
      </c>
      <c r="BD93" s="136">
        <f t="shared" si="62"/>
        <v>0</v>
      </c>
      <c r="BE93" s="137">
        <f t="shared" si="62"/>
        <v>0</v>
      </c>
      <c r="BF93" s="135">
        <f t="shared" si="62"/>
        <v>0</v>
      </c>
      <c r="BG93" s="136">
        <f t="shared" si="62"/>
        <v>0</v>
      </c>
      <c r="BH93" s="136">
        <f t="shared" si="62"/>
        <v>0</v>
      </c>
      <c r="BI93" s="137">
        <f t="shared" si="62"/>
        <v>0</v>
      </c>
      <c r="BJ93" s="138">
        <f t="shared" si="62"/>
        <v>0</v>
      </c>
      <c r="BK93" s="136">
        <f t="shared" si="62"/>
        <v>0</v>
      </c>
      <c r="BL93" s="136">
        <f t="shared" si="62"/>
        <v>0</v>
      </c>
      <c r="BM93" s="136">
        <f t="shared" si="62"/>
        <v>0</v>
      </c>
      <c r="BN93" s="137">
        <f t="shared" si="62"/>
        <v>0</v>
      </c>
      <c r="BO93" s="138">
        <f t="shared" si="62"/>
        <v>0</v>
      </c>
      <c r="BP93" s="136">
        <f t="shared" si="62"/>
        <v>0</v>
      </c>
      <c r="BQ93" s="136">
        <f t="shared" si="62"/>
        <v>0</v>
      </c>
      <c r="BR93" s="137">
        <f t="shared" si="62"/>
        <v>0</v>
      </c>
      <c r="BS93" s="138">
        <f t="shared" si="62"/>
        <v>0</v>
      </c>
      <c r="BT93" s="136">
        <f t="shared" si="62"/>
        <v>0</v>
      </c>
      <c r="BU93" s="136">
        <f t="shared" si="62"/>
        <v>0</v>
      </c>
      <c r="BV93" s="136">
        <f t="shared" si="62"/>
        <v>0</v>
      </c>
      <c r="BW93" s="137">
        <f t="shared" si="62"/>
        <v>0</v>
      </c>
      <c r="BX93" s="138">
        <f t="shared" si="62"/>
        <v>0</v>
      </c>
      <c r="BY93" s="136">
        <f t="shared" si="62"/>
        <v>0</v>
      </c>
      <c r="BZ93" s="136">
        <f t="shared" si="62"/>
        <v>0</v>
      </c>
      <c r="CA93" s="137">
        <f t="shared" si="62"/>
        <v>0</v>
      </c>
      <c r="CB93" s="135">
        <f t="shared" si="62"/>
        <v>0</v>
      </c>
      <c r="CC93" s="136">
        <f t="shared" si="62"/>
        <v>0</v>
      </c>
      <c r="CD93" s="136">
        <f t="shared" si="62"/>
        <v>0</v>
      </c>
      <c r="CE93" s="137">
        <f t="shared" si="62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57"/>
        <v>1</v>
      </c>
      <c r="K94" s="101">
        <v>0</v>
      </c>
      <c r="L94" s="132">
        <f t="shared" si="58"/>
        <v>0.1</v>
      </c>
      <c r="M94" s="132">
        <f t="shared" si="59"/>
        <v>0</v>
      </c>
      <c r="N94" s="132">
        <f t="shared" si="49"/>
        <v>-0.1</v>
      </c>
      <c r="O94" s="133" t="str">
        <f t="shared" si="60"/>
        <v>지연</v>
      </c>
      <c r="P94" s="104"/>
      <c r="Q94" s="104"/>
      <c r="R94" s="104"/>
      <c r="S94" s="104"/>
      <c r="T94" s="94"/>
      <c r="U94" s="134" t="str">
        <f t="shared" si="48"/>
        <v/>
      </c>
      <c r="V94" s="253">
        <f>NETWORKDAYS(P94,Q94,진행현황_전체!C$59:C$77)</f>
        <v>0</v>
      </c>
      <c r="W94" s="135">
        <f t="shared" si="61"/>
        <v>0</v>
      </c>
      <c r="X94" s="136">
        <f t="shared" si="61"/>
        <v>0</v>
      </c>
      <c r="Y94" s="136">
        <f t="shared" si="61"/>
        <v>0</v>
      </c>
      <c r="Z94" s="136">
        <f t="shared" si="61"/>
        <v>0</v>
      </c>
      <c r="AA94" s="137">
        <f t="shared" si="61"/>
        <v>0</v>
      </c>
      <c r="AB94" s="138">
        <f t="shared" si="61"/>
        <v>0</v>
      </c>
      <c r="AC94" s="136">
        <f t="shared" si="61"/>
        <v>0</v>
      </c>
      <c r="AD94" s="136">
        <f t="shared" si="61"/>
        <v>0</v>
      </c>
      <c r="AE94" s="137">
        <f t="shared" si="61"/>
        <v>0</v>
      </c>
      <c r="AF94" s="135">
        <f t="shared" si="61"/>
        <v>0</v>
      </c>
      <c r="AG94" s="136">
        <f t="shared" si="61"/>
        <v>0</v>
      </c>
      <c r="AH94" s="136">
        <f t="shared" si="61"/>
        <v>0</v>
      </c>
      <c r="AI94" s="137">
        <f t="shared" si="61"/>
        <v>0</v>
      </c>
      <c r="AJ94" s="135">
        <f t="shared" si="61"/>
        <v>0</v>
      </c>
      <c r="AK94" s="138">
        <f t="shared" si="61"/>
        <v>0</v>
      </c>
      <c r="AL94" s="136">
        <f t="shared" si="61"/>
        <v>0</v>
      </c>
      <c r="AM94" s="136">
        <f t="shared" si="61"/>
        <v>0</v>
      </c>
      <c r="AN94" s="194">
        <f t="shared" si="61"/>
        <v>0</v>
      </c>
      <c r="AO94" s="138">
        <f t="shared" si="61"/>
        <v>0</v>
      </c>
      <c r="AP94" s="136">
        <f t="shared" si="61"/>
        <v>0</v>
      </c>
      <c r="AQ94" s="136">
        <f t="shared" si="61"/>
        <v>0</v>
      </c>
      <c r="AR94" s="137">
        <f t="shared" si="61"/>
        <v>0</v>
      </c>
      <c r="AS94" s="135">
        <f t="shared" si="61"/>
        <v>0</v>
      </c>
      <c r="AT94" s="136">
        <f t="shared" si="61"/>
        <v>0</v>
      </c>
      <c r="AU94" s="136">
        <f t="shared" si="61"/>
        <v>0</v>
      </c>
      <c r="AV94" s="137">
        <f t="shared" si="61"/>
        <v>0</v>
      </c>
      <c r="AW94" s="135">
        <f t="shared" si="62"/>
        <v>0</v>
      </c>
      <c r="AX94" s="136">
        <f t="shared" si="62"/>
        <v>0</v>
      </c>
      <c r="AY94" s="136">
        <f t="shared" si="62"/>
        <v>0</v>
      </c>
      <c r="AZ94" s="136">
        <f t="shared" si="62"/>
        <v>0</v>
      </c>
      <c r="BA94" s="137">
        <f t="shared" si="62"/>
        <v>0</v>
      </c>
      <c r="BB94" s="138">
        <f t="shared" si="62"/>
        <v>0</v>
      </c>
      <c r="BC94" s="136">
        <f t="shared" si="62"/>
        <v>0</v>
      </c>
      <c r="BD94" s="136">
        <f t="shared" si="62"/>
        <v>0</v>
      </c>
      <c r="BE94" s="137">
        <f t="shared" si="62"/>
        <v>0</v>
      </c>
      <c r="BF94" s="135">
        <f t="shared" si="62"/>
        <v>0</v>
      </c>
      <c r="BG94" s="136">
        <f t="shared" si="62"/>
        <v>0</v>
      </c>
      <c r="BH94" s="136">
        <f t="shared" si="62"/>
        <v>0</v>
      </c>
      <c r="BI94" s="137">
        <f t="shared" si="62"/>
        <v>0</v>
      </c>
      <c r="BJ94" s="138">
        <f t="shared" si="62"/>
        <v>0</v>
      </c>
      <c r="BK94" s="136">
        <f t="shared" si="62"/>
        <v>0</v>
      </c>
      <c r="BL94" s="136">
        <f t="shared" si="62"/>
        <v>0</v>
      </c>
      <c r="BM94" s="136">
        <f t="shared" si="62"/>
        <v>0</v>
      </c>
      <c r="BN94" s="137">
        <f t="shared" si="62"/>
        <v>0</v>
      </c>
      <c r="BO94" s="138">
        <f t="shared" si="62"/>
        <v>0</v>
      </c>
      <c r="BP94" s="136">
        <f t="shared" si="62"/>
        <v>0</v>
      </c>
      <c r="BQ94" s="136">
        <f t="shared" si="62"/>
        <v>0</v>
      </c>
      <c r="BR94" s="137">
        <f t="shared" si="62"/>
        <v>0</v>
      </c>
      <c r="BS94" s="138">
        <f t="shared" si="62"/>
        <v>0</v>
      </c>
      <c r="BT94" s="136">
        <f t="shared" si="62"/>
        <v>0</v>
      </c>
      <c r="BU94" s="136">
        <f t="shared" si="62"/>
        <v>0</v>
      </c>
      <c r="BV94" s="136">
        <f t="shared" si="62"/>
        <v>0</v>
      </c>
      <c r="BW94" s="137">
        <f t="shared" si="62"/>
        <v>0</v>
      </c>
      <c r="BX94" s="138">
        <f t="shared" si="62"/>
        <v>0</v>
      </c>
      <c r="BY94" s="136">
        <f t="shared" si="62"/>
        <v>0</v>
      </c>
      <c r="BZ94" s="136">
        <f t="shared" si="62"/>
        <v>0</v>
      </c>
      <c r="CA94" s="137">
        <f t="shared" si="62"/>
        <v>0</v>
      </c>
      <c r="CB94" s="135">
        <f t="shared" si="62"/>
        <v>0</v>
      </c>
      <c r="CC94" s="136">
        <f t="shared" si="62"/>
        <v>0</v>
      </c>
      <c r="CD94" s="136">
        <f t="shared" si="62"/>
        <v>0</v>
      </c>
      <c r="CE94" s="137">
        <f t="shared" si="62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57"/>
        <v>1</v>
      </c>
      <c r="K95" s="101">
        <v>0</v>
      </c>
      <c r="L95" s="132">
        <f t="shared" si="58"/>
        <v>0.1</v>
      </c>
      <c r="M95" s="132">
        <f t="shared" si="59"/>
        <v>0</v>
      </c>
      <c r="N95" s="132">
        <f t="shared" si="49"/>
        <v>-0.1</v>
      </c>
      <c r="O95" s="133" t="str">
        <f t="shared" si="60"/>
        <v>지연</v>
      </c>
      <c r="P95" s="104"/>
      <c r="Q95" s="104"/>
      <c r="R95" s="104"/>
      <c r="S95" s="104"/>
      <c r="T95" s="94"/>
      <c r="U95" s="134" t="str">
        <f t="shared" si="48"/>
        <v/>
      </c>
      <c r="V95" s="253">
        <f>NETWORKDAYS(P95,Q95,진행현황_전체!C$59:C$77)</f>
        <v>0</v>
      </c>
      <c r="W95" s="135">
        <f t="shared" si="61"/>
        <v>0</v>
      </c>
      <c r="X95" s="136">
        <f t="shared" si="61"/>
        <v>0</v>
      </c>
      <c r="Y95" s="136">
        <f t="shared" si="61"/>
        <v>0</v>
      </c>
      <c r="Z95" s="136">
        <f t="shared" si="61"/>
        <v>0</v>
      </c>
      <c r="AA95" s="137">
        <f t="shared" si="61"/>
        <v>0</v>
      </c>
      <c r="AB95" s="138">
        <f t="shared" si="61"/>
        <v>0</v>
      </c>
      <c r="AC95" s="136">
        <f t="shared" si="61"/>
        <v>0</v>
      </c>
      <c r="AD95" s="136">
        <f t="shared" si="61"/>
        <v>0</v>
      </c>
      <c r="AE95" s="137">
        <f t="shared" si="61"/>
        <v>0</v>
      </c>
      <c r="AF95" s="135">
        <f t="shared" si="61"/>
        <v>0</v>
      </c>
      <c r="AG95" s="136">
        <f t="shared" si="61"/>
        <v>0</v>
      </c>
      <c r="AH95" s="136">
        <f t="shared" si="61"/>
        <v>0</v>
      </c>
      <c r="AI95" s="137">
        <f t="shared" si="61"/>
        <v>0</v>
      </c>
      <c r="AJ95" s="135">
        <f t="shared" si="61"/>
        <v>0</v>
      </c>
      <c r="AK95" s="138">
        <f t="shared" si="61"/>
        <v>0</v>
      </c>
      <c r="AL95" s="136">
        <f t="shared" si="61"/>
        <v>0</v>
      </c>
      <c r="AM95" s="136">
        <f t="shared" si="61"/>
        <v>0</v>
      </c>
      <c r="AN95" s="194">
        <f t="shared" si="61"/>
        <v>0</v>
      </c>
      <c r="AO95" s="138">
        <f t="shared" si="61"/>
        <v>0</v>
      </c>
      <c r="AP95" s="136">
        <f t="shared" si="61"/>
        <v>0</v>
      </c>
      <c r="AQ95" s="136">
        <f t="shared" si="61"/>
        <v>0</v>
      </c>
      <c r="AR95" s="137">
        <f t="shared" si="61"/>
        <v>0</v>
      </c>
      <c r="AS95" s="135">
        <f t="shared" si="61"/>
        <v>0</v>
      </c>
      <c r="AT95" s="136">
        <f t="shared" si="61"/>
        <v>0</v>
      </c>
      <c r="AU95" s="136">
        <f t="shared" si="61"/>
        <v>0</v>
      </c>
      <c r="AV95" s="137">
        <f t="shared" si="61"/>
        <v>0</v>
      </c>
      <c r="AW95" s="135">
        <f t="shared" si="62"/>
        <v>0</v>
      </c>
      <c r="AX95" s="136">
        <f t="shared" si="62"/>
        <v>0</v>
      </c>
      <c r="AY95" s="136">
        <f t="shared" si="62"/>
        <v>0</v>
      </c>
      <c r="AZ95" s="136">
        <f t="shared" si="62"/>
        <v>0</v>
      </c>
      <c r="BA95" s="137">
        <f t="shared" si="62"/>
        <v>0</v>
      </c>
      <c r="BB95" s="138">
        <f t="shared" si="62"/>
        <v>0</v>
      </c>
      <c r="BC95" s="136">
        <f t="shared" si="62"/>
        <v>0</v>
      </c>
      <c r="BD95" s="136">
        <f t="shared" si="62"/>
        <v>0</v>
      </c>
      <c r="BE95" s="137">
        <f t="shared" si="62"/>
        <v>0</v>
      </c>
      <c r="BF95" s="135">
        <f t="shared" si="62"/>
        <v>0</v>
      </c>
      <c r="BG95" s="136">
        <f t="shared" ref="BG95:CE95" si="63">IF(OR((AND($P95&lt;=BG$7,AND($Q95&lt;=BG$8, $Q95&gt;=BG$7))),(AND(AND($P95&gt;=BG$7, $P95&lt;=BG$8),$Q95&gt;=BG$8)), AND($P95&gt;=BG$7, $Q95&lt;=BG$8), AND($P95&lt;=BG$7,$Q95&gt;=BG$8)),1,0)</f>
        <v>0</v>
      </c>
      <c r="BH95" s="136">
        <f t="shared" si="63"/>
        <v>0</v>
      </c>
      <c r="BI95" s="137">
        <f t="shared" si="63"/>
        <v>0</v>
      </c>
      <c r="BJ95" s="138">
        <f t="shared" si="63"/>
        <v>0</v>
      </c>
      <c r="BK95" s="136">
        <f t="shared" si="63"/>
        <v>0</v>
      </c>
      <c r="BL95" s="136">
        <f t="shared" si="63"/>
        <v>0</v>
      </c>
      <c r="BM95" s="136">
        <f t="shared" si="63"/>
        <v>0</v>
      </c>
      <c r="BN95" s="137">
        <f t="shared" si="63"/>
        <v>0</v>
      </c>
      <c r="BO95" s="138">
        <f t="shared" si="63"/>
        <v>0</v>
      </c>
      <c r="BP95" s="136">
        <f t="shared" si="63"/>
        <v>0</v>
      </c>
      <c r="BQ95" s="136">
        <f t="shared" si="63"/>
        <v>0</v>
      </c>
      <c r="BR95" s="137">
        <f t="shared" si="63"/>
        <v>0</v>
      </c>
      <c r="BS95" s="138">
        <f t="shared" si="63"/>
        <v>0</v>
      </c>
      <c r="BT95" s="136">
        <f t="shared" si="63"/>
        <v>0</v>
      </c>
      <c r="BU95" s="136">
        <f t="shared" si="63"/>
        <v>0</v>
      </c>
      <c r="BV95" s="136">
        <f t="shared" si="63"/>
        <v>0</v>
      </c>
      <c r="BW95" s="137">
        <f t="shared" si="63"/>
        <v>0</v>
      </c>
      <c r="BX95" s="138">
        <f t="shared" si="63"/>
        <v>0</v>
      </c>
      <c r="BY95" s="136">
        <f t="shared" si="63"/>
        <v>0</v>
      </c>
      <c r="BZ95" s="136">
        <f t="shared" si="63"/>
        <v>0</v>
      </c>
      <c r="CA95" s="137">
        <f t="shared" si="63"/>
        <v>0</v>
      </c>
      <c r="CB95" s="135">
        <f t="shared" si="63"/>
        <v>0</v>
      </c>
      <c r="CC95" s="136">
        <f t="shared" si="63"/>
        <v>0</v>
      </c>
      <c r="CD95" s="136">
        <f t="shared" si="63"/>
        <v>0</v>
      </c>
      <c r="CE95" s="137">
        <f t="shared" si="63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57"/>
        <v>1</v>
      </c>
      <c r="K96" s="101">
        <v>0</v>
      </c>
      <c r="L96" s="132">
        <f t="shared" si="58"/>
        <v>0.1</v>
      </c>
      <c r="M96" s="132">
        <f t="shared" si="59"/>
        <v>0</v>
      </c>
      <c r="N96" s="132">
        <f t="shared" si="49"/>
        <v>-0.1</v>
      </c>
      <c r="O96" s="133" t="str">
        <f t="shared" si="60"/>
        <v>지연</v>
      </c>
      <c r="P96" s="104"/>
      <c r="Q96" s="104"/>
      <c r="R96" s="104"/>
      <c r="S96" s="104"/>
      <c r="T96" s="94"/>
      <c r="U96" s="134" t="str">
        <f t="shared" si="48"/>
        <v/>
      </c>
      <c r="V96" s="253">
        <f>NETWORKDAYS(P96,Q96,진행현황_전체!C$59:C$77)</f>
        <v>0</v>
      </c>
      <c r="W96" s="135">
        <f t="shared" si="61"/>
        <v>0</v>
      </c>
      <c r="X96" s="136">
        <f t="shared" si="61"/>
        <v>0</v>
      </c>
      <c r="Y96" s="136">
        <f t="shared" si="61"/>
        <v>0</v>
      </c>
      <c r="Z96" s="136">
        <f t="shared" si="61"/>
        <v>0</v>
      </c>
      <c r="AA96" s="137">
        <f t="shared" si="61"/>
        <v>0</v>
      </c>
      <c r="AB96" s="138">
        <f t="shared" si="61"/>
        <v>0</v>
      </c>
      <c r="AC96" s="136">
        <f t="shared" si="61"/>
        <v>0</v>
      </c>
      <c r="AD96" s="136">
        <f t="shared" si="61"/>
        <v>0</v>
      </c>
      <c r="AE96" s="137">
        <f t="shared" si="61"/>
        <v>0</v>
      </c>
      <c r="AF96" s="135">
        <f t="shared" si="61"/>
        <v>0</v>
      </c>
      <c r="AG96" s="136">
        <f t="shared" si="61"/>
        <v>0</v>
      </c>
      <c r="AH96" s="136">
        <f t="shared" si="61"/>
        <v>0</v>
      </c>
      <c r="AI96" s="137">
        <f t="shared" si="61"/>
        <v>0</v>
      </c>
      <c r="AJ96" s="135">
        <f t="shared" si="61"/>
        <v>0</v>
      </c>
      <c r="AK96" s="138">
        <f t="shared" si="61"/>
        <v>0</v>
      </c>
      <c r="AL96" s="136">
        <f t="shared" si="61"/>
        <v>0</v>
      </c>
      <c r="AM96" s="136">
        <f t="shared" si="61"/>
        <v>0</v>
      </c>
      <c r="AN96" s="194">
        <f t="shared" si="61"/>
        <v>0</v>
      </c>
      <c r="AO96" s="138">
        <f t="shared" si="61"/>
        <v>0</v>
      </c>
      <c r="AP96" s="136">
        <f t="shared" si="61"/>
        <v>0</v>
      </c>
      <c r="AQ96" s="136">
        <f t="shared" si="61"/>
        <v>0</v>
      </c>
      <c r="AR96" s="137">
        <f t="shared" si="61"/>
        <v>0</v>
      </c>
      <c r="AS96" s="135">
        <f t="shared" si="61"/>
        <v>0</v>
      </c>
      <c r="AT96" s="136">
        <f t="shared" si="61"/>
        <v>0</v>
      </c>
      <c r="AU96" s="136">
        <f t="shared" si="61"/>
        <v>0</v>
      </c>
      <c r="AV96" s="137">
        <f t="shared" si="61"/>
        <v>0</v>
      </c>
      <c r="AW96" s="135">
        <f t="shared" ref="AW96:CE97" si="64">IF(OR((AND($P96&lt;=AW$7,AND($Q96&lt;=AW$8, $Q96&gt;=AW$7))),(AND(AND($P96&gt;=AW$7, $P96&lt;=AW$8),$Q96&gt;=AW$8)), AND($P96&gt;=AW$7, $Q96&lt;=AW$8), AND($P96&lt;=AW$7,$Q96&gt;=AW$8)),1,0)</f>
        <v>0</v>
      </c>
      <c r="AX96" s="136">
        <f t="shared" si="64"/>
        <v>0</v>
      </c>
      <c r="AY96" s="136">
        <f t="shared" si="64"/>
        <v>0</v>
      </c>
      <c r="AZ96" s="136">
        <f t="shared" si="64"/>
        <v>0</v>
      </c>
      <c r="BA96" s="137">
        <f t="shared" si="64"/>
        <v>0</v>
      </c>
      <c r="BB96" s="138">
        <f t="shared" si="64"/>
        <v>0</v>
      </c>
      <c r="BC96" s="136">
        <f t="shared" si="64"/>
        <v>0</v>
      </c>
      <c r="BD96" s="136">
        <f t="shared" si="64"/>
        <v>0</v>
      </c>
      <c r="BE96" s="137">
        <f t="shared" si="64"/>
        <v>0</v>
      </c>
      <c r="BF96" s="135">
        <f t="shared" si="64"/>
        <v>0</v>
      </c>
      <c r="BG96" s="136">
        <f t="shared" si="64"/>
        <v>0</v>
      </c>
      <c r="BH96" s="136">
        <f t="shared" si="64"/>
        <v>0</v>
      </c>
      <c r="BI96" s="137">
        <f t="shared" si="64"/>
        <v>0</v>
      </c>
      <c r="BJ96" s="138">
        <f t="shared" si="64"/>
        <v>0</v>
      </c>
      <c r="BK96" s="136">
        <f t="shared" si="64"/>
        <v>0</v>
      </c>
      <c r="BL96" s="136">
        <f t="shared" si="64"/>
        <v>0</v>
      </c>
      <c r="BM96" s="136">
        <f t="shared" si="64"/>
        <v>0</v>
      </c>
      <c r="BN96" s="137">
        <f t="shared" si="64"/>
        <v>0</v>
      </c>
      <c r="BO96" s="138">
        <f t="shared" si="64"/>
        <v>0</v>
      </c>
      <c r="BP96" s="136">
        <f t="shared" si="64"/>
        <v>0</v>
      </c>
      <c r="BQ96" s="136">
        <f t="shared" si="64"/>
        <v>0</v>
      </c>
      <c r="BR96" s="137">
        <f t="shared" si="64"/>
        <v>0</v>
      </c>
      <c r="BS96" s="138">
        <f t="shared" si="64"/>
        <v>0</v>
      </c>
      <c r="BT96" s="136">
        <f t="shared" si="64"/>
        <v>0</v>
      </c>
      <c r="BU96" s="136">
        <f t="shared" si="64"/>
        <v>0</v>
      </c>
      <c r="BV96" s="136">
        <f t="shared" si="64"/>
        <v>0</v>
      </c>
      <c r="BW96" s="137">
        <f t="shared" si="64"/>
        <v>0</v>
      </c>
      <c r="BX96" s="138">
        <f t="shared" si="64"/>
        <v>0</v>
      </c>
      <c r="BY96" s="136">
        <f t="shared" si="64"/>
        <v>0</v>
      </c>
      <c r="BZ96" s="136">
        <f t="shared" si="64"/>
        <v>0</v>
      </c>
      <c r="CA96" s="137">
        <f t="shared" si="64"/>
        <v>0</v>
      </c>
      <c r="CB96" s="135">
        <f t="shared" si="64"/>
        <v>0</v>
      </c>
      <c r="CC96" s="136">
        <f t="shared" si="64"/>
        <v>0</v>
      </c>
      <c r="CD96" s="136">
        <f t="shared" si="64"/>
        <v>0</v>
      </c>
      <c r="CE96" s="137">
        <f t="shared" si="64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57"/>
        <v>1</v>
      </c>
      <c r="K97" s="155">
        <v>0</v>
      </c>
      <c r="L97" s="156">
        <f t="shared" si="58"/>
        <v>0.1</v>
      </c>
      <c r="M97" s="156">
        <f t="shared" si="59"/>
        <v>0</v>
      </c>
      <c r="N97" s="156">
        <f t="shared" si="49"/>
        <v>-0.1</v>
      </c>
      <c r="O97" s="157" t="str">
        <f t="shared" si="60"/>
        <v>지연</v>
      </c>
      <c r="P97" s="158"/>
      <c r="Q97" s="158"/>
      <c r="R97" s="158"/>
      <c r="S97" s="158"/>
      <c r="T97" s="154"/>
      <c r="U97" s="159" t="str">
        <f t="shared" si="48"/>
        <v/>
      </c>
      <c r="V97" s="254">
        <f>NETWORKDAYS(P97,Q97,진행현황_전체!C$59:C$77)</f>
        <v>0</v>
      </c>
      <c r="W97" s="160">
        <f t="shared" si="61"/>
        <v>0</v>
      </c>
      <c r="X97" s="161">
        <f t="shared" si="61"/>
        <v>0</v>
      </c>
      <c r="Y97" s="161">
        <f t="shared" si="61"/>
        <v>0</v>
      </c>
      <c r="Z97" s="161">
        <f t="shared" si="61"/>
        <v>0</v>
      </c>
      <c r="AA97" s="162">
        <f t="shared" si="61"/>
        <v>0</v>
      </c>
      <c r="AB97" s="163">
        <f t="shared" si="61"/>
        <v>0</v>
      </c>
      <c r="AC97" s="161">
        <f t="shared" si="61"/>
        <v>0</v>
      </c>
      <c r="AD97" s="161">
        <f t="shared" si="61"/>
        <v>0</v>
      </c>
      <c r="AE97" s="162">
        <f t="shared" si="61"/>
        <v>0</v>
      </c>
      <c r="AF97" s="160">
        <f t="shared" si="61"/>
        <v>0</v>
      </c>
      <c r="AG97" s="161">
        <f t="shared" si="61"/>
        <v>0</v>
      </c>
      <c r="AH97" s="161">
        <f t="shared" si="61"/>
        <v>0</v>
      </c>
      <c r="AI97" s="162">
        <f t="shared" si="61"/>
        <v>0</v>
      </c>
      <c r="AJ97" s="160">
        <f t="shared" si="61"/>
        <v>0</v>
      </c>
      <c r="AK97" s="163">
        <f t="shared" si="61"/>
        <v>0</v>
      </c>
      <c r="AL97" s="161">
        <f t="shared" si="61"/>
        <v>0</v>
      </c>
      <c r="AM97" s="161">
        <f t="shared" si="61"/>
        <v>0</v>
      </c>
      <c r="AN97" s="195">
        <f t="shared" si="61"/>
        <v>0</v>
      </c>
      <c r="AO97" s="163">
        <f t="shared" si="61"/>
        <v>0</v>
      </c>
      <c r="AP97" s="161">
        <f t="shared" si="61"/>
        <v>0</v>
      </c>
      <c r="AQ97" s="161">
        <f t="shared" si="61"/>
        <v>0</v>
      </c>
      <c r="AR97" s="162">
        <f t="shared" ref="AR97:AV97" si="65">IF(OR((AND($P97&lt;=AR$7,AND($Q97&lt;=AR$8, $Q97&gt;=AR$7))),(AND(AND($P97&gt;=AR$7, $P97&lt;=AR$8),$Q97&gt;=AR$8)), AND($P97&gt;=AR$7, $Q97&lt;=AR$8), AND($P97&lt;=AR$7,$Q97&gt;=AR$8)),1,0)</f>
        <v>0</v>
      </c>
      <c r="AS97" s="160">
        <f t="shared" si="65"/>
        <v>0</v>
      </c>
      <c r="AT97" s="161">
        <f t="shared" si="65"/>
        <v>0</v>
      </c>
      <c r="AU97" s="161">
        <f t="shared" si="65"/>
        <v>0</v>
      </c>
      <c r="AV97" s="162">
        <f t="shared" si="65"/>
        <v>0</v>
      </c>
      <c r="AW97" s="160">
        <f t="shared" si="64"/>
        <v>0</v>
      </c>
      <c r="AX97" s="161">
        <f t="shared" si="64"/>
        <v>0</v>
      </c>
      <c r="AY97" s="161">
        <f t="shared" si="64"/>
        <v>0</v>
      </c>
      <c r="AZ97" s="161">
        <f t="shared" si="64"/>
        <v>0</v>
      </c>
      <c r="BA97" s="162">
        <f t="shared" si="64"/>
        <v>0</v>
      </c>
      <c r="BB97" s="163">
        <f t="shared" si="64"/>
        <v>0</v>
      </c>
      <c r="BC97" s="161">
        <f t="shared" si="64"/>
        <v>0</v>
      </c>
      <c r="BD97" s="161">
        <f t="shared" si="64"/>
        <v>0</v>
      </c>
      <c r="BE97" s="162">
        <f t="shared" si="64"/>
        <v>0</v>
      </c>
      <c r="BF97" s="160">
        <f t="shared" si="64"/>
        <v>0</v>
      </c>
      <c r="BG97" s="161">
        <f t="shared" si="64"/>
        <v>0</v>
      </c>
      <c r="BH97" s="161">
        <f t="shared" si="64"/>
        <v>0</v>
      </c>
      <c r="BI97" s="162">
        <f t="shared" si="64"/>
        <v>0</v>
      </c>
      <c r="BJ97" s="163">
        <f t="shared" si="64"/>
        <v>0</v>
      </c>
      <c r="BK97" s="161">
        <f t="shared" si="64"/>
        <v>0</v>
      </c>
      <c r="BL97" s="161">
        <f t="shared" si="64"/>
        <v>0</v>
      </c>
      <c r="BM97" s="161">
        <f t="shared" si="64"/>
        <v>0</v>
      </c>
      <c r="BN97" s="162">
        <f t="shared" si="64"/>
        <v>0</v>
      </c>
      <c r="BO97" s="163">
        <f t="shared" si="64"/>
        <v>0</v>
      </c>
      <c r="BP97" s="161">
        <f t="shared" si="64"/>
        <v>0</v>
      </c>
      <c r="BQ97" s="161">
        <f t="shared" si="64"/>
        <v>0</v>
      </c>
      <c r="BR97" s="162">
        <f t="shared" si="64"/>
        <v>0</v>
      </c>
      <c r="BS97" s="163">
        <f t="shared" si="64"/>
        <v>0</v>
      </c>
      <c r="BT97" s="161">
        <f t="shared" si="64"/>
        <v>0</v>
      </c>
      <c r="BU97" s="161">
        <f t="shared" si="64"/>
        <v>0</v>
      </c>
      <c r="BV97" s="161">
        <f t="shared" si="64"/>
        <v>0</v>
      </c>
      <c r="BW97" s="162">
        <f t="shared" si="64"/>
        <v>0</v>
      </c>
      <c r="BX97" s="163">
        <f t="shared" si="64"/>
        <v>0</v>
      </c>
      <c r="BY97" s="161">
        <f t="shared" si="64"/>
        <v>0</v>
      </c>
      <c r="BZ97" s="161">
        <f t="shared" si="64"/>
        <v>0</v>
      </c>
      <c r="CA97" s="162">
        <f t="shared" si="64"/>
        <v>0</v>
      </c>
      <c r="CB97" s="160">
        <f t="shared" si="64"/>
        <v>0</v>
      </c>
      <c r="CC97" s="161">
        <f t="shared" si="64"/>
        <v>0</v>
      </c>
      <c r="CD97" s="161">
        <f t="shared" si="64"/>
        <v>0</v>
      </c>
      <c r="CE97" s="162">
        <f t="shared" si="64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R5:R8"/>
    <mergeCell ref="S5:S8"/>
    <mergeCell ref="T5:T8"/>
    <mergeCell ref="U5:U8"/>
    <mergeCell ref="V5:V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A3:B3"/>
    <mergeCell ref="C3:E3"/>
    <mergeCell ref="A5:A8"/>
    <mergeCell ref="B5:B8"/>
    <mergeCell ref="C5:C8"/>
    <mergeCell ref="D5:D8"/>
    <mergeCell ref="E5:E8"/>
    <mergeCell ref="W5:AA5"/>
    <mergeCell ref="AB5:AE5"/>
    <mergeCell ref="AF5:AI5"/>
    <mergeCell ref="AJ5:AN5"/>
    <mergeCell ref="AO5:AR5"/>
    <mergeCell ref="CB5:CE5"/>
    <mergeCell ref="BF5:BI5"/>
    <mergeCell ref="AS5:AV5"/>
    <mergeCell ref="AW5:BA5"/>
    <mergeCell ref="BB5:BE5"/>
    <mergeCell ref="BJ5:BN5"/>
    <mergeCell ref="BO5:BR5"/>
    <mergeCell ref="BS5:BW5"/>
    <mergeCell ref="BX5:CA5"/>
  </mergeCells>
  <phoneticPr fontId="4" type="noConversion"/>
  <conditionalFormatting sqref="W11:CE98 W100:CE106">
    <cfRule type="cellIs" dxfId="1" priority="1" stopIfTrue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headerFooter alignWithMargins="0">
    <oddFooter>&amp;C&amp;"바탕체,보통"&amp;9- &amp;P/&amp;N -&amp;R&amp;D</oddFoot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32"/>
  <sheetViews>
    <sheetView view="pageBreakPreview" zoomScale="85" zoomScaleNormal="100" zoomScaleSheetLayoutView="85" workbookViewId="0">
      <selection activeCell="A4" sqref="A4:J4"/>
    </sheetView>
  </sheetViews>
  <sheetFormatPr defaultColWidth="8.88671875" defaultRowHeight="16.5"/>
  <cols>
    <col min="1" max="1" width="20.5546875" style="8" customWidth="1"/>
    <col min="2" max="10" width="17.21875" style="8" customWidth="1"/>
    <col min="11" max="16384" width="8.88671875" style="8"/>
  </cols>
  <sheetData>
    <row r="1" spans="1:10" s="5" customFormat="1" ht="13.5" customHeight="1" thickBot="1">
      <c r="A1" s="1" t="str">
        <f>표지!C13</f>
        <v>사업명 입력</v>
      </c>
      <c r="B1" s="2"/>
      <c r="C1" s="3"/>
      <c r="D1" s="3"/>
      <c r="E1" s="3"/>
      <c r="F1" s="3"/>
      <c r="G1" s="3"/>
      <c r="H1" s="2"/>
      <c r="I1" s="3"/>
      <c r="J1" s="4" t="str">
        <f>표지!B7</f>
        <v>일정관리 및 통제표 (2025년)</v>
      </c>
    </row>
    <row r="2" spans="1:10" s="5" customFormat="1" ht="6.75" customHeight="1" thickTop="1">
      <c r="A2" s="6"/>
      <c r="B2" s="7"/>
      <c r="H2" s="7"/>
    </row>
    <row r="3" spans="1:10" s="5" customFormat="1" ht="6.75" customHeight="1">
      <c r="A3" s="6"/>
      <c r="B3" s="7"/>
      <c r="H3" s="7"/>
    </row>
    <row r="4" spans="1:10" ht="24.75" customHeight="1">
      <c r="A4" s="263" t="s">
        <v>213</v>
      </c>
      <c r="B4" s="263"/>
      <c r="C4" s="263"/>
      <c r="D4" s="263"/>
      <c r="E4" s="263"/>
      <c r="F4" s="263"/>
      <c r="G4" s="263"/>
      <c r="H4" s="263"/>
      <c r="I4" s="263"/>
      <c r="J4" s="263"/>
    </row>
    <row r="5" spans="1:10" ht="15" customHeight="1" thickBot="1">
      <c r="C5" s="9"/>
    </row>
    <row r="6" spans="1:10" s="5" customFormat="1" ht="19.5" customHeight="1" thickBot="1">
      <c r="A6" s="10" t="s">
        <v>140</v>
      </c>
      <c r="B6" s="269" t="s">
        <v>220</v>
      </c>
      <c r="C6" s="270"/>
    </row>
    <row r="7" spans="1:10" s="5" customFormat="1" ht="15" customHeight="1">
      <c r="B7" s="271"/>
      <c r="C7" s="271"/>
    </row>
    <row r="8" spans="1:10" s="5" customFormat="1" ht="15" customHeight="1" thickBot="1">
      <c r="A8" s="10" t="s">
        <v>141</v>
      </c>
    </row>
    <row r="9" spans="1:10" s="5" customFormat="1" ht="18" customHeight="1">
      <c r="A9" s="10" t="s">
        <v>48</v>
      </c>
      <c r="B9" s="272">
        <f>SUM(B17:I17)</f>
        <v>99.999999999999986</v>
      </c>
      <c r="C9" s="273"/>
    </row>
    <row r="10" spans="1:10" s="5" customFormat="1" ht="18" customHeight="1">
      <c r="A10" s="10" t="s">
        <v>49</v>
      </c>
      <c r="B10" s="264">
        <f>SUM(B18:I18)</f>
        <v>0</v>
      </c>
      <c r="C10" s="265"/>
    </row>
    <row r="11" spans="1:10" s="5" customFormat="1" ht="18" customHeight="1" thickBot="1">
      <c r="A11" s="10" t="s">
        <v>50</v>
      </c>
      <c r="B11" s="267">
        <f>IF(B9=0, 0, B10/B9)</f>
        <v>0</v>
      </c>
      <c r="C11" s="268"/>
      <c r="F11" s="48"/>
    </row>
    <row r="12" spans="1:10" s="5" customFormat="1" ht="15" customHeight="1">
      <c r="B12" s="7"/>
      <c r="C12" s="7"/>
    </row>
    <row r="13" spans="1:10" s="5" customFormat="1" ht="15" customHeight="1">
      <c r="A13" s="266" t="s">
        <v>51</v>
      </c>
      <c r="B13" s="266"/>
      <c r="C13" s="266"/>
    </row>
    <row r="14" spans="1:10" s="5" customFormat="1" ht="15" customHeight="1" thickBot="1"/>
    <row r="15" spans="1:10" s="5" customFormat="1" ht="33.75" customHeight="1" thickBot="1">
      <c r="A15" s="11" t="s">
        <v>1</v>
      </c>
      <c r="B15" s="12" t="s">
        <v>205</v>
      </c>
      <c r="C15" s="12" t="s">
        <v>206</v>
      </c>
      <c r="D15" s="12" t="s">
        <v>208</v>
      </c>
      <c r="E15" s="12" t="s">
        <v>207</v>
      </c>
      <c r="F15" s="49" t="s">
        <v>209</v>
      </c>
      <c r="G15" s="49" t="s">
        <v>210</v>
      </c>
      <c r="H15" s="49" t="s">
        <v>211</v>
      </c>
      <c r="I15" s="49" t="s">
        <v>212</v>
      </c>
      <c r="J15" s="50" t="s">
        <v>43</v>
      </c>
    </row>
    <row r="16" spans="1:10" s="5" customFormat="1" ht="18" customHeight="1">
      <c r="A16" s="14" t="s">
        <v>41</v>
      </c>
      <c r="B16" s="51">
        <v>15</v>
      </c>
      <c r="C16" s="51">
        <v>15</v>
      </c>
      <c r="D16" s="51">
        <v>15</v>
      </c>
      <c r="E16" s="51">
        <v>15</v>
      </c>
      <c r="F16" s="52">
        <v>15</v>
      </c>
      <c r="G16" s="52">
        <v>5</v>
      </c>
      <c r="H16" s="52">
        <v>5</v>
      </c>
      <c r="I16" s="52">
        <v>15</v>
      </c>
      <c r="J16" s="16">
        <f>SUM(B16:I16)</f>
        <v>100</v>
      </c>
    </row>
    <row r="17" spans="1:10" s="5" customFormat="1" ht="18" customHeight="1">
      <c r="A17" s="17" t="s">
        <v>101</v>
      </c>
      <c r="B17" s="53">
        <f>'진행율 입력_템플릿'!L10</f>
        <v>14.999999999999998</v>
      </c>
      <c r="C17" s="53">
        <f>'진행율 입력_템플릿'!L21</f>
        <v>14.999999999999998</v>
      </c>
      <c r="D17" s="53">
        <f>'진행율 입력_템플릿'!L32</f>
        <v>14.999999999999998</v>
      </c>
      <c r="E17" s="53">
        <f>'진행율 입력_템플릿'!L43</f>
        <v>14.999999999999998</v>
      </c>
      <c r="F17" s="54">
        <f>'진행율 입력_템플릿'!L54</f>
        <v>14.999999999999998</v>
      </c>
      <c r="G17" s="54">
        <f>'진행율 입력_템플릿'!L65</f>
        <v>4.9999999999999991</v>
      </c>
      <c r="H17" s="54">
        <f>'진행율 입력_템플릿'!L76</f>
        <v>4.9999999999999991</v>
      </c>
      <c r="I17" s="54">
        <f>'진행율 입력_템플릿'!L87</f>
        <v>14.999999999999998</v>
      </c>
      <c r="J17" s="55">
        <f>SUM(B17:I17)</f>
        <v>99.999999999999986</v>
      </c>
    </row>
    <row r="18" spans="1:10" s="5" customFormat="1" ht="18" customHeight="1">
      <c r="A18" s="17" t="s">
        <v>102</v>
      </c>
      <c r="B18" s="53">
        <f>'진행율 입력_템플릿'!M10</f>
        <v>0</v>
      </c>
      <c r="C18" s="53">
        <f>'진행율 입력_템플릿'!M21</f>
        <v>0</v>
      </c>
      <c r="D18" s="53">
        <f>'진행율 입력_템플릿'!M32</f>
        <v>0</v>
      </c>
      <c r="E18" s="53">
        <f>'진행율 입력_템플릿'!M43</f>
        <v>0</v>
      </c>
      <c r="F18" s="54">
        <f>'진행율 입력_템플릿'!M54</f>
        <v>0</v>
      </c>
      <c r="G18" s="54">
        <f>'진행율 입력_템플릿'!M65</f>
        <v>0</v>
      </c>
      <c r="H18" s="54">
        <f>'진행율 입력_템플릿'!M76</f>
        <v>0</v>
      </c>
      <c r="I18" s="54">
        <f>'진행율 입력_템플릿'!M87</f>
        <v>0</v>
      </c>
      <c r="J18" s="55">
        <f>SUM(B18:I18)</f>
        <v>0</v>
      </c>
    </row>
    <row r="19" spans="1:10" s="5" customFormat="1" ht="18" customHeight="1">
      <c r="A19" s="17" t="s">
        <v>46</v>
      </c>
      <c r="B19" s="56">
        <f>B18-B17</f>
        <v>-14.999999999999998</v>
      </c>
      <c r="C19" s="56">
        <f t="shared" ref="C19:I19" si="0">C18-C17</f>
        <v>-14.999999999999998</v>
      </c>
      <c r="D19" s="56">
        <f t="shared" si="0"/>
        <v>-14.999999999999998</v>
      </c>
      <c r="E19" s="56">
        <f t="shared" si="0"/>
        <v>-14.999999999999998</v>
      </c>
      <c r="F19" s="57">
        <f t="shared" si="0"/>
        <v>-14.999999999999998</v>
      </c>
      <c r="G19" s="57">
        <f t="shared" si="0"/>
        <v>-4.9999999999999991</v>
      </c>
      <c r="H19" s="57">
        <f t="shared" si="0"/>
        <v>-4.9999999999999991</v>
      </c>
      <c r="I19" s="57">
        <f t="shared" si="0"/>
        <v>-14.999999999999998</v>
      </c>
      <c r="J19" s="58">
        <f>SUM(B19:I19)</f>
        <v>-99.999999999999986</v>
      </c>
    </row>
    <row r="20" spans="1:10" s="5" customFormat="1" ht="18" customHeight="1">
      <c r="A20" s="23" t="s">
        <v>44</v>
      </c>
      <c r="B20" s="59">
        <f>'진행율 입력_템플릿'!J10</f>
        <v>0.99999999999999989</v>
      </c>
      <c r="C20" s="59">
        <f>'진행율 입력_템플릿'!J21</f>
        <v>0.99999999999999989</v>
      </c>
      <c r="D20" s="59">
        <f>'진행율 입력_템플릿'!J32</f>
        <v>0.99999999999999989</v>
      </c>
      <c r="E20" s="59">
        <f>'진행율 입력_템플릿'!J43</f>
        <v>0.99999999999999989</v>
      </c>
      <c r="F20" s="60">
        <f>'진행율 입력_템플릿'!J54</f>
        <v>0.99999999999999989</v>
      </c>
      <c r="G20" s="60">
        <f>'진행율 입력_템플릿'!J65</f>
        <v>0.99999999999999989</v>
      </c>
      <c r="H20" s="60">
        <f>'진행율 입력_템플릿'!J76</f>
        <v>0.99999999999999989</v>
      </c>
      <c r="I20" s="60">
        <f>'진행율 입력_템플릿'!J87</f>
        <v>0.99999999999999989</v>
      </c>
      <c r="J20" s="61">
        <f>IF(J16=0, 0, J17/J16)</f>
        <v>0.99999999999999989</v>
      </c>
    </row>
    <row r="21" spans="1:10" s="5" customFormat="1" ht="18" customHeight="1">
      <c r="A21" s="26" t="s">
        <v>45</v>
      </c>
      <c r="B21" s="59">
        <f>'진행율 입력_템플릿'!K10</f>
        <v>0</v>
      </c>
      <c r="C21" s="59">
        <f>'진행율 입력_템플릿'!K21</f>
        <v>0</v>
      </c>
      <c r="D21" s="59">
        <f>'진행율 입력_템플릿'!K32</f>
        <v>0</v>
      </c>
      <c r="E21" s="59">
        <f>'진행율 입력_템플릿'!K43</f>
        <v>0</v>
      </c>
      <c r="F21" s="60">
        <f>'진행율 입력_템플릿'!K54</f>
        <v>0</v>
      </c>
      <c r="G21" s="60">
        <f>'진행율 입력_템플릿'!K65</f>
        <v>0</v>
      </c>
      <c r="H21" s="60">
        <f>'진행율 입력_템플릿'!K76</f>
        <v>0</v>
      </c>
      <c r="I21" s="60">
        <f>'진행율 입력_템플릿'!K87</f>
        <v>0</v>
      </c>
      <c r="J21" s="61">
        <f>IF(J16=0, 0, J18/J16)</f>
        <v>0</v>
      </c>
    </row>
    <row r="22" spans="1:10" s="5" customFormat="1" ht="18" customHeight="1" thickBot="1">
      <c r="A22" s="26" t="s">
        <v>47</v>
      </c>
      <c r="B22" s="27">
        <f>IF(B17=0, 0, B18/B17)</f>
        <v>0</v>
      </c>
      <c r="C22" s="27">
        <f>IF(C17=0,0,C18/C17)</f>
        <v>0</v>
      </c>
      <c r="D22" s="27">
        <f t="shared" ref="D22:I22" si="1">IF(D17=0, 0, D18/D17)</f>
        <v>0</v>
      </c>
      <c r="E22" s="27">
        <f t="shared" si="1"/>
        <v>0</v>
      </c>
      <c r="F22" s="62">
        <f t="shared" si="1"/>
        <v>0</v>
      </c>
      <c r="G22" s="62">
        <f t="shared" si="1"/>
        <v>0</v>
      </c>
      <c r="H22" s="62">
        <f t="shared" si="1"/>
        <v>0</v>
      </c>
      <c r="I22" s="62">
        <f t="shared" si="1"/>
        <v>0</v>
      </c>
      <c r="J22" s="63">
        <f>IF(J17=0, 0, J18/J17)</f>
        <v>0</v>
      </c>
    </row>
    <row r="23" spans="1:10" s="5" customFormat="1" ht="18" customHeight="1">
      <c r="A23" s="14" t="s">
        <v>106</v>
      </c>
      <c r="B23" s="64">
        <f>COUNTIF('진행율 입력_템플릿'!J11:J20,"&gt;0")</f>
        <v>10</v>
      </c>
      <c r="C23" s="64">
        <f>COUNTIF('진행율 입력_템플릿'!J22:J31,"&gt;0")</f>
        <v>10</v>
      </c>
      <c r="D23" s="64">
        <f>COUNTIF('진행율 입력_템플릿'!J33:J42,"&gt;0")</f>
        <v>10</v>
      </c>
      <c r="E23" s="64">
        <f>COUNTIF('진행율 입력_템플릿'!J44:J53,"&gt;0")</f>
        <v>10</v>
      </c>
      <c r="F23" s="65">
        <f>COUNTIF('진행율 입력_템플릿'!J55:J64,"&gt;0")</f>
        <v>10</v>
      </c>
      <c r="G23" s="65">
        <f>COUNTIF('진행율 입력_템플릿'!J66:J75,"&gt;0")</f>
        <v>10</v>
      </c>
      <c r="H23" s="65">
        <f>COUNTIF('진행율 입력_템플릿'!J77:J86,"&gt;0")</f>
        <v>10</v>
      </c>
      <c r="I23" s="65">
        <f>COUNTIF('진행율 입력_템플릿'!J88:J97,"&gt;0")</f>
        <v>10</v>
      </c>
      <c r="J23" s="30">
        <f t="shared" ref="J23:J28" si="2">SUM(B23:I23)</f>
        <v>80</v>
      </c>
    </row>
    <row r="24" spans="1:10" s="5" customFormat="1" ht="18" customHeight="1">
      <c r="A24" s="23" t="s">
        <v>103</v>
      </c>
      <c r="B24" s="66">
        <f>COUNTIF('진행율 입력_템플릿'!O11:O20,"진행")</f>
        <v>0</v>
      </c>
      <c r="C24" s="66">
        <f>COUNTIF('진행율 입력_템플릿'!O22:O31,"진행")</f>
        <v>0</v>
      </c>
      <c r="D24" s="66">
        <f>COUNTIF('진행율 입력_템플릿'!O33:O42,"진행")</f>
        <v>0</v>
      </c>
      <c r="E24" s="66">
        <f>COUNTIF('진행율 입력_템플릿'!O44:O53,"진행")</f>
        <v>0</v>
      </c>
      <c r="F24" s="67">
        <f>COUNTIF('진행율 입력_템플릿'!O55:O64,"진행")</f>
        <v>0</v>
      </c>
      <c r="G24" s="67">
        <f>COUNTIF('진행율 입력_템플릿'!O66:O75,"진행")</f>
        <v>0</v>
      </c>
      <c r="H24" s="67">
        <f>COUNTIF('진행율 입력_템플릿'!O77:O86,"진행")</f>
        <v>0</v>
      </c>
      <c r="I24" s="67">
        <f>COUNTIF('진행율 입력_템플릿'!O88:O97,"진행")</f>
        <v>0</v>
      </c>
      <c r="J24" s="32">
        <f t="shared" si="2"/>
        <v>0</v>
      </c>
    </row>
    <row r="25" spans="1:10" s="5" customFormat="1" ht="18" customHeight="1">
      <c r="A25" s="23" t="s">
        <v>104</v>
      </c>
      <c r="B25" s="66">
        <f>COUNTIF('진행율 입력_템플릿'!O11:O20,"종료")</f>
        <v>0</v>
      </c>
      <c r="C25" s="66">
        <f>COUNTIF('진행율 입력_템플릿'!O22:O31,"종료")</f>
        <v>0</v>
      </c>
      <c r="D25" s="66">
        <f>COUNTIF('진행율 입력_템플릿'!O33:O42,"종료")</f>
        <v>0</v>
      </c>
      <c r="E25" s="66">
        <f>COUNTIF('진행율 입력_템플릿'!O44:O53,"종료")</f>
        <v>0</v>
      </c>
      <c r="F25" s="67">
        <f>COUNTIF('진행율 입력_템플릿'!O55:O64,"종료")</f>
        <v>0</v>
      </c>
      <c r="G25" s="67">
        <f>COUNTIF('진행율 입력_템플릿'!O66:O75,"종료")</f>
        <v>0</v>
      </c>
      <c r="H25" s="67">
        <f>COUNTIF('진행율 입력_템플릿'!O77:O86,"종료")</f>
        <v>0</v>
      </c>
      <c r="I25" s="67">
        <f>COUNTIF('진행율 입력_템플릿'!O88:O97,"종료")</f>
        <v>0</v>
      </c>
      <c r="J25" s="32">
        <f t="shared" si="2"/>
        <v>0</v>
      </c>
    </row>
    <row r="26" spans="1:10" s="5" customFormat="1" ht="18" customHeight="1" thickBot="1">
      <c r="A26" s="33" t="s">
        <v>105</v>
      </c>
      <c r="B26" s="68">
        <f>COUNTIF('진행율 입력_템플릿'!O11:O20,"지연")</f>
        <v>10</v>
      </c>
      <c r="C26" s="68">
        <f>COUNTIF('진행율 입력_템플릿'!O22:O31,"지연")</f>
        <v>10</v>
      </c>
      <c r="D26" s="68">
        <f>COUNTIF('진행율 입력_템플릿'!O33:O42,"지연")</f>
        <v>10</v>
      </c>
      <c r="E26" s="68">
        <f>COUNTIF('진행율 입력_템플릿'!O44:O53,"지연")</f>
        <v>10</v>
      </c>
      <c r="F26" s="69">
        <f>COUNTIF('진행율 입력_템플릿'!O55:O64,"지연")</f>
        <v>10</v>
      </c>
      <c r="G26" s="69">
        <f>COUNTIF('진행율 입력_템플릿'!O66:O75,"지연")</f>
        <v>10</v>
      </c>
      <c r="H26" s="69">
        <f>COUNTIF('진행율 입력_템플릿'!O77:O86,"지연")</f>
        <v>10</v>
      </c>
      <c r="I26" s="69">
        <f>COUNTIF('진행율 입력_템플릿'!O88:O97,"지연")</f>
        <v>10</v>
      </c>
      <c r="J26" s="70">
        <f t="shared" si="2"/>
        <v>80</v>
      </c>
    </row>
    <row r="27" spans="1:10" s="5" customFormat="1" ht="18" customHeight="1">
      <c r="A27" s="17" t="s">
        <v>107</v>
      </c>
      <c r="B27" s="71">
        <v>0</v>
      </c>
      <c r="C27" s="71">
        <v>0</v>
      </c>
      <c r="D27" s="71">
        <v>0</v>
      </c>
      <c r="E27" s="71">
        <v>0</v>
      </c>
      <c r="F27" s="72">
        <v>0</v>
      </c>
      <c r="G27" s="72">
        <v>0</v>
      </c>
      <c r="H27" s="72">
        <v>0</v>
      </c>
      <c r="I27" s="72">
        <v>0</v>
      </c>
      <c r="J27" s="30">
        <f t="shared" si="2"/>
        <v>0</v>
      </c>
    </row>
    <row r="28" spans="1:10" s="5" customFormat="1" ht="18" customHeight="1">
      <c r="A28" s="23" t="s">
        <v>108</v>
      </c>
      <c r="B28" s="73">
        <v>0</v>
      </c>
      <c r="C28" s="73">
        <v>0</v>
      </c>
      <c r="D28" s="73">
        <v>0</v>
      </c>
      <c r="E28" s="73">
        <v>0</v>
      </c>
      <c r="F28" s="74">
        <v>0</v>
      </c>
      <c r="G28" s="74">
        <v>0</v>
      </c>
      <c r="H28" s="74">
        <v>0</v>
      </c>
      <c r="I28" s="74">
        <v>0</v>
      </c>
      <c r="J28" s="32">
        <f t="shared" si="2"/>
        <v>0</v>
      </c>
    </row>
    <row r="29" spans="1:10" s="5" customFormat="1" ht="18" customHeight="1" thickBot="1">
      <c r="A29" s="33" t="s">
        <v>42</v>
      </c>
      <c r="B29" s="75">
        <f>IF(B27=0, 0, B28/B27)</f>
        <v>0</v>
      </c>
      <c r="C29" s="75">
        <f t="shared" ref="C29:I29" si="3">IF(C27=0, 0, C28/C27)</f>
        <v>0</v>
      </c>
      <c r="D29" s="75">
        <f t="shared" si="3"/>
        <v>0</v>
      </c>
      <c r="E29" s="75">
        <f t="shared" si="3"/>
        <v>0</v>
      </c>
      <c r="F29" s="76">
        <f t="shared" si="3"/>
        <v>0</v>
      </c>
      <c r="G29" s="76">
        <f t="shared" si="3"/>
        <v>0</v>
      </c>
      <c r="H29" s="76">
        <f t="shared" si="3"/>
        <v>0</v>
      </c>
      <c r="I29" s="76">
        <f t="shared" si="3"/>
        <v>0</v>
      </c>
      <c r="J29" s="37">
        <f>IF(J27=0, 0, J28/J27)</f>
        <v>0</v>
      </c>
    </row>
    <row r="30" spans="1:10" s="5" customFormat="1"/>
    <row r="31" spans="1:10" s="5" customFormat="1"/>
    <row r="32" spans="1:10" s="5" customFormat="1">
      <c r="A32" s="47" t="s">
        <v>52</v>
      </c>
    </row>
  </sheetData>
  <dataConsolidate function="average"/>
  <mergeCells count="7">
    <mergeCell ref="A13:C13"/>
    <mergeCell ref="A4:J4"/>
    <mergeCell ref="B6:C6"/>
    <mergeCell ref="B7:C7"/>
    <mergeCell ref="B9:C9"/>
    <mergeCell ref="B10:C10"/>
    <mergeCell ref="B11:C11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tToWidth="0" orientation="landscape" r:id="rId1"/>
  <headerFooter alignWithMargins="0">
    <oddFooter>&amp;C&amp;"바탕체,보통"&amp;9- &amp;P/&amp;N -&amp;R&amp;D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CE150"/>
  <sheetViews>
    <sheetView view="pageBreakPreview" zoomScale="70" zoomScaleNormal="100" zoomScaleSheetLayoutView="70" workbookViewId="0">
      <selection activeCell="H12" sqref="H12"/>
    </sheetView>
  </sheetViews>
  <sheetFormatPr defaultColWidth="8.88671875" defaultRowHeight="16.5"/>
  <cols>
    <col min="1" max="1" width="4.6640625" style="86" customWidth="1"/>
    <col min="2" max="2" width="11" style="86" customWidth="1"/>
    <col min="3" max="3" width="17.77734375" style="90" customWidth="1"/>
    <col min="4" max="4" width="21.6640625" style="90" customWidth="1"/>
    <col min="5" max="5" width="18.33203125" style="90" customWidth="1"/>
    <col min="6" max="6" width="19.109375" style="90" customWidth="1"/>
    <col min="7" max="7" width="37.6640625" style="90" bestFit="1" customWidth="1"/>
    <col min="8" max="8" width="7.33203125" style="84" customWidth="1"/>
    <col min="9" max="9" width="5" style="84" customWidth="1"/>
    <col min="10" max="10" width="6" style="82" customWidth="1"/>
    <col min="11" max="11" width="6" style="148" customWidth="1"/>
    <col min="12" max="13" width="6" style="82" customWidth="1"/>
    <col min="14" max="14" width="6.6640625" style="82" bestFit="1" customWidth="1"/>
    <col min="15" max="15" width="6.33203125" style="84" customWidth="1"/>
    <col min="16" max="16" width="9.33203125" style="84" customWidth="1"/>
    <col min="17" max="17" width="9.109375" style="84" customWidth="1"/>
    <col min="18" max="18" width="9.5546875" style="84" bestFit="1" customWidth="1"/>
    <col min="19" max="19" width="9.109375" style="84" customWidth="1"/>
    <col min="20" max="20" width="5.33203125" style="88" customWidth="1"/>
    <col min="21" max="21" width="4.77734375" style="149" customWidth="1"/>
    <col min="22" max="22" width="8" style="90" customWidth="1"/>
    <col min="23" max="83" width="6.109375" style="90" customWidth="1"/>
    <col min="84" max="16384" width="8.88671875" style="90"/>
  </cols>
  <sheetData>
    <row r="1" spans="1:83" s="82" customFormat="1" ht="13.5" customHeight="1" thickBot="1">
      <c r="A1" s="77" t="str">
        <f>표지!C13</f>
        <v>사업명 입력</v>
      </c>
      <c r="B1" s="77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  <c r="N1" s="78"/>
      <c r="O1" s="79"/>
      <c r="P1" s="79"/>
      <c r="Q1" s="79"/>
      <c r="R1" s="79"/>
      <c r="S1" s="79"/>
      <c r="T1" s="79"/>
      <c r="U1" s="80"/>
      <c r="V1" s="81" t="str">
        <f>표지!B7</f>
        <v>일정관리 및 통제표 (2025년)</v>
      </c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81" t="str">
        <f>표지!B7</f>
        <v>일정관리 및 통제표 (2025년)</v>
      </c>
    </row>
    <row r="2" spans="1:83" s="82" customFormat="1" ht="6.75" customHeight="1" thickTop="1">
      <c r="A2" s="83"/>
      <c r="B2" s="83"/>
      <c r="H2" s="84"/>
      <c r="I2" s="84"/>
      <c r="O2" s="84"/>
      <c r="P2" s="84"/>
      <c r="Q2" s="84"/>
      <c r="R2" s="84"/>
      <c r="S2" s="84"/>
      <c r="T2" s="84"/>
      <c r="U2" s="85"/>
    </row>
    <row r="3" spans="1:83" s="82" customFormat="1" ht="21" customHeight="1">
      <c r="A3" s="277" t="s">
        <v>124</v>
      </c>
      <c r="B3" s="277"/>
      <c r="C3" s="278" t="s">
        <v>135</v>
      </c>
      <c r="D3" s="278"/>
      <c r="E3" s="278"/>
      <c r="H3" s="84"/>
      <c r="I3" s="84"/>
      <c r="O3" s="84"/>
      <c r="P3" s="84"/>
      <c r="Q3" s="84"/>
      <c r="R3" s="84"/>
      <c r="S3" s="84"/>
      <c r="T3" s="84"/>
      <c r="U3" s="85"/>
    </row>
    <row r="4" spans="1:83">
      <c r="B4" s="87"/>
      <c r="C4" s="86"/>
      <c r="D4" s="86"/>
      <c r="E4" s="86"/>
      <c r="F4" s="86"/>
      <c r="G4" s="86"/>
      <c r="H4" s="88"/>
      <c r="I4" s="83"/>
      <c r="J4" s="89"/>
      <c r="K4" s="83"/>
      <c r="L4" s="83"/>
      <c r="M4" s="83"/>
      <c r="N4" s="83"/>
      <c r="O4" s="83"/>
      <c r="U4" s="88"/>
      <c r="V4" s="88"/>
      <c r="W4" s="88"/>
      <c r="X4" s="88"/>
      <c r="Y4" s="88"/>
      <c r="Z4" s="88"/>
      <c r="AA4" s="88"/>
      <c r="AB4" s="88"/>
      <c r="AC4" s="88"/>
      <c r="AD4" s="88"/>
      <c r="AF4" s="88"/>
      <c r="AG4" s="88"/>
      <c r="AH4" s="88"/>
      <c r="AI4" s="88"/>
      <c r="AW4" s="88"/>
      <c r="AX4" s="88"/>
      <c r="AY4" s="88"/>
      <c r="AZ4" s="88"/>
      <c r="BA4" s="88"/>
      <c r="BB4" s="88"/>
      <c r="BC4" s="88"/>
      <c r="BD4" s="88"/>
      <c r="BF4" s="88"/>
      <c r="BG4" s="88"/>
      <c r="BH4" s="88"/>
    </row>
    <row r="5" spans="1:83" ht="13.5" customHeight="1">
      <c r="A5" s="279" t="s">
        <v>4</v>
      </c>
      <c r="B5" s="282" t="s">
        <v>136</v>
      </c>
      <c r="C5" s="282" t="s">
        <v>98</v>
      </c>
      <c r="D5" s="282" t="s">
        <v>99</v>
      </c>
      <c r="E5" s="282" t="s">
        <v>122</v>
      </c>
      <c r="F5" s="282" t="s">
        <v>123</v>
      </c>
      <c r="G5" s="282" t="s">
        <v>5</v>
      </c>
      <c r="H5" s="282" t="s">
        <v>6</v>
      </c>
      <c r="I5" s="282" t="s">
        <v>0</v>
      </c>
      <c r="J5" s="286" t="s">
        <v>95</v>
      </c>
      <c r="K5" s="289" t="s">
        <v>96</v>
      </c>
      <c r="L5" s="286" t="s">
        <v>94</v>
      </c>
      <c r="M5" s="286" t="s">
        <v>112</v>
      </c>
      <c r="N5" s="286" t="s">
        <v>113</v>
      </c>
      <c r="O5" s="286" t="s">
        <v>7</v>
      </c>
      <c r="P5" s="282" t="s">
        <v>2</v>
      </c>
      <c r="Q5" s="282" t="s">
        <v>92</v>
      </c>
      <c r="R5" s="293" t="s">
        <v>3</v>
      </c>
      <c r="S5" s="293" t="s">
        <v>93</v>
      </c>
      <c r="T5" s="296" t="s">
        <v>97</v>
      </c>
      <c r="U5" s="299" t="s">
        <v>54</v>
      </c>
      <c r="V5" s="296" t="s">
        <v>53</v>
      </c>
      <c r="W5" s="274" t="s">
        <v>150</v>
      </c>
      <c r="X5" s="275"/>
      <c r="Y5" s="275"/>
      <c r="Z5" s="275"/>
      <c r="AA5" s="276"/>
      <c r="AB5" s="274" t="s">
        <v>151</v>
      </c>
      <c r="AC5" s="275"/>
      <c r="AD5" s="275"/>
      <c r="AE5" s="276"/>
      <c r="AF5" s="274" t="s">
        <v>152</v>
      </c>
      <c r="AG5" s="275"/>
      <c r="AH5" s="275"/>
      <c r="AI5" s="276"/>
      <c r="AJ5" s="274" t="s">
        <v>153</v>
      </c>
      <c r="AK5" s="275"/>
      <c r="AL5" s="275"/>
      <c r="AM5" s="275"/>
      <c r="AN5" s="276"/>
      <c r="AO5" s="274" t="s">
        <v>154</v>
      </c>
      <c r="AP5" s="275"/>
      <c r="AQ5" s="275"/>
      <c r="AR5" s="276"/>
      <c r="AS5" s="274" t="s">
        <v>155</v>
      </c>
      <c r="AT5" s="275"/>
      <c r="AU5" s="275"/>
      <c r="AV5" s="276"/>
      <c r="AW5" s="274" t="s">
        <v>131</v>
      </c>
      <c r="AX5" s="275"/>
      <c r="AY5" s="275"/>
      <c r="AZ5" s="275"/>
      <c r="BA5" s="276"/>
      <c r="BB5" s="274" t="s">
        <v>132</v>
      </c>
      <c r="BC5" s="275"/>
      <c r="BD5" s="275"/>
      <c r="BE5" s="276"/>
      <c r="BF5" s="274" t="s">
        <v>121</v>
      </c>
      <c r="BG5" s="275"/>
      <c r="BH5" s="275"/>
      <c r="BI5" s="276"/>
      <c r="BJ5" s="274" t="s">
        <v>134</v>
      </c>
      <c r="BK5" s="275"/>
      <c r="BL5" s="275"/>
      <c r="BM5" s="275"/>
      <c r="BN5" s="276"/>
      <c r="BO5" s="274" t="s">
        <v>156</v>
      </c>
      <c r="BP5" s="275"/>
      <c r="BQ5" s="275"/>
      <c r="BR5" s="276"/>
      <c r="BS5" s="292" t="s">
        <v>100</v>
      </c>
      <c r="BT5" s="292"/>
      <c r="BU5" s="292"/>
      <c r="BV5" s="292"/>
      <c r="BW5" s="292"/>
      <c r="BX5" s="275" t="s">
        <v>301</v>
      </c>
      <c r="BY5" s="275"/>
      <c r="BZ5" s="275"/>
      <c r="CA5" s="276"/>
      <c r="CB5" s="274" t="s">
        <v>302</v>
      </c>
      <c r="CC5" s="275"/>
      <c r="CD5" s="275"/>
      <c r="CE5" s="276"/>
    </row>
    <row r="6" spans="1:83" s="82" customFormat="1">
      <c r="A6" s="280"/>
      <c r="B6" s="283"/>
      <c r="C6" s="283"/>
      <c r="D6" s="283"/>
      <c r="E6" s="283"/>
      <c r="F6" s="283"/>
      <c r="G6" s="283"/>
      <c r="H6" s="283"/>
      <c r="I6" s="283"/>
      <c r="J6" s="287"/>
      <c r="K6" s="290"/>
      <c r="L6" s="287"/>
      <c r="M6" s="287"/>
      <c r="N6" s="287"/>
      <c r="O6" s="287"/>
      <c r="P6" s="283"/>
      <c r="Q6" s="283"/>
      <c r="R6" s="294"/>
      <c r="S6" s="294"/>
      <c r="T6" s="297"/>
      <c r="U6" s="300"/>
      <c r="V6" s="297"/>
      <c r="W6" s="91" t="s">
        <v>133</v>
      </c>
      <c r="X6" s="91" t="s">
        <v>184</v>
      </c>
      <c r="Y6" s="91" t="s">
        <v>185</v>
      </c>
      <c r="Z6" s="91" t="s">
        <v>290</v>
      </c>
      <c r="AA6" s="91" t="s">
        <v>291</v>
      </c>
      <c r="AB6" s="91" t="s">
        <v>186</v>
      </c>
      <c r="AC6" s="91" t="s">
        <v>187</v>
      </c>
      <c r="AD6" s="91" t="s">
        <v>188</v>
      </c>
      <c r="AE6" s="91" t="s">
        <v>189</v>
      </c>
      <c r="AF6" s="91" t="s">
        <v>190</v>
      </c>
      <c r="AG6" s="91" t="s">
        <v>191</v>
      </c>
      <c r="AH6" s="91" t="s">
        <v>192</v>
      </c>
      <c r="AI6" s="91" t="s">
        <v>193</v>
      </c>
      <c r="AJ6" s="91" t="s">
        <v>194</v>
      </c>
      <c r="AK6" s="91" t="s">
        <v>195</v>
      </c>
      <c r="AL6" s="91" t="s">
        <v>196</v>
      </c>
      <c r="AM6" s="91" t="s">
        <v>197</v>
      </c>
      <c r="AN6" s="91" t="s">
        <v>198</v>
      </c>
      <c r="AO6" s="91" t="s">
        <v>199</v>
      </c>
      <c r="AP6" s="91" t="s">
        <v>200</v>
      </c>
      <c r="AQ6" s="91" t="s">
        <v>201</v>
      </c>
      <c r="AR6" s="91" t="s">
        <v>202</v>
      </c>
      <c r="AS6" s="91" t="s">
        <v>214</v>
      </c>
      <c r="AT6" s="91" t="s">
        <v>203</v>
      </c>
      <c r="AU6" s="91" t="s">
        <v>204</v>
      </c>
      <c r="AV6" s="91" t="s">
        <v>157</v>
      </c>
      <c r="AW6" s="91" t="s">
        <v>158</v>
      </c>
      <c r="AX6" s="91" t="s">
        <v>159</v>
      </c>
      <c r="AY6" s="91" t="s">
        <v>160</v>
      </c>
      <c r="AZ6" s="91" t="s">
        <v>161</v>
      </c>
      <c r="BA6" s="91" t="s">
        <v>162</v>
      </c>
      <c r="BB6" s="91" t="s">
        <v>163</v>
      </c>
      <c r="BC6" s="91" t="s">
        <v>164</v>
      </c>
      <c r="BD6" s="91" t="s">
        <v>165</v>
      </c>
      <c r="BE6" s="91" t="s">
        <v>166</v>
      </c>
      <c r="BF6" s="91" t="s">
        <v>167</v>
      </c>
      <c r="BG6" s="91" t="s">
        <v>168</v>
      </c>
      <c r="BH6" s="91" t="s">
        <v>169</v>
      </c>
      <c r="BI6" s="91" t="s">
        <v>170</v>
      </c>
      <c r="BJ6" s="91" t="s">
        <v>171</v>
      </c>
      <c r="BK6" s="91" t="s">
        <v>172</v>
      </c>
      <c r="BL6" s="91" t="s">
        <v>173</v>
      </c>
      <c r="BM6" s="91" t="s">
        <v>174</v>
      </c>
      <c r="BN6" s="91" t="s">
        <v>175</v>
      </c>
      <c r="BO6" s="91" t="s">
        <v>176</v>
      </c>
      <c r="BP6" s="91" t="s">
        <v>177</v>
      </c>
      <c r="BQ6" s="91" t="s">
        <v>215</v>
      </c>
      <c r="BR6" s="91" t="s">
        <v>178</v>
      </c>
      <c r="BS6" s="91" t="s">
        <v>179</v>
      </c>
      <c r="BT6" s="91" t="s">
        <v>180</v>
      </c>
      <c r="BU6" s="91" t="s">
        <v>181</v>
      </c>
      <c r="BV6" s="91" t="s">
        <v>182</v>
      </c>
      <c r="BW6" s="91" t="s">
        <v>183</v>
      </c>
      <c r="BX6" s="91" t="s">
        <v>259</v>
      </c>
      <c r="BY6" s="91" t="s">
        <v>260</v>
      </c>
      <c r="BZ6" s="91" t="s">
        <v>261</v>
      </c>
      <c r="CA6" s="91" t="s">
        <v>262</v>
      </c>
      <c r="CB6" s="91" t="s">
        <v>263</v>
      </c>
      <c r="CC6" s="91" t="s">
        <v>264</v>
      </c>
      <c r="CD6" s="91" t="s">
        <v>265</v>
      </c>
      <c r="CE6" s="91" t="s">
        <v>266</v>
      </c>
    </row>
    <row r="7" spans="1:83" s="82" customFormat="1" ht="13.5" customHeight="1">
      <c r="A7" s="280"/>
      <c r="B7" s="283"/>
      <c r="C7" s="283"/>
      <c r="D7" s="283"/>
      <c r="E7" s="283"/>
      <c r="F7" s="283"/>
      <c r="G7" s="283"/>
      <c r="H7" s="283"/>
      <c r="I7" s="283"/>
      <c r="J7" s="287"/>
      <c r="K7" s="290"/>
      <c r="L7" s="287"/>
      <c r="M7" s="287"/>
      <c r="N7" s="287"/>
      <c r="O7" s="287"/>
      <c r="P7" s="283"/>
      <c r="Q7" s="283"/>
      <c r="R7" s="294"/>
      <c r="S7" s="294"/>
      <c r="T7" s="297"/>
      <c r="U7" s="300"/>
      <c r="V7" s="297"/>
      <c r="W7" s="92">
        <v>45656</v>
      </c>
      <c r="X7" s="92">
        <f t="shared" ref="X7:CE7" si="0">W7+7</f>
        <v>45663</v>
      </c>
      <c r="Y7" s="92">
        <f t="shared" si="0"/>
        <v>45670</v>
      </c>
      <c r="Z7" s="92">
        <f t="shared" si="0"/>
        <v>45677</v>
      </c>
      <c r="AA7" s="92">
        <f t="shared" si="0"/>
        <v>45684</v>
      </c>
      <c r="AB7" s="92">
        <f t="shared" si="0"/>
        <v>45691</v>
      </c>
      <c r="AC7" s="92">
        <f t="shared" si="0"/>
        <v>45698</v>
      </c>
      <c r="AD7" s="92">
        <f t="shared" si="0"/>
        <v>45705</v>
      </c>
      <c r="AE7" s="92">
        <f t="shared" si="0"/>
        <v>45712</v>
      </c>
      <c r="AF7" s="92">
        <f t="shared" si="0"/>
        <v>45719</v>
      </c>
      <c r="AG7" s="92">
        <f t="shared" si="0"/>
        <v>45726</v>
      </c>
      <c r="AH7" s="92">
        <f t="shared" si="0"/>
        <v>45733</v>
      </c>
      <c r="AI7" s="92">
        <f t="shared" si="0"/>
        <v>45740</v>
      </c>
      <c r="AJ7" s="92">
        <f t="shared" si="0"/>
        <v>45747</v>
      </c>
      <c r="AK7" s="92">
        <f t="shared" si="0"/>
        <v>45754</v>
      </c>
      <c r="AL7" s="92">
        <f t="shared" si="0"/>
        <v>45761</v>
      </c>
      <c r="AM7" s="92">
        <f t="shared" si="0"/>
        <v>45768</v>
      </c>
      <c r="AN7" s="92">
        <f>AM7+7</f>
        <v>45775</v>
      </c>
      <c r="AO7" s="92">
        <f t="shared" si="0"/>
        <v>45782</v>
      </c>
      <c r="AP7" s="92">
        <f t="shared" si="0"/>
        <v>45789</v>
      </c>
      <c r="AQ7" s="92">
        <f t="shared" si="0"/>
        <v>45796</v>
      </c>
      <c r="AR7" s="92">
        <f>AQ7+7</f>
        <v>45803</v>
      </c>
      <c r="AS7" s="92">
        <f t="shared" si="0"/>
        <v>45810</v>
      </c>
      <c r="AT7" s="92">
        <f t="shared" si="0"/>
        <v>45817</v>
      </c>
      <c r="AU7" s="92">
        <f t="shared" si="0"/>
        <v>45824</v>
      </c>
      <c r="AV7" s="92">
        <f t="shared" si="0"/>
        <v>45831</v>
      </c>
      <c r="AW7" s="92">
        <f t="shared" si="0"/>
        <v>45838</v>
      </c>
      <c r="AX7" s="92">
        <f t="shared" si="0"/>
        <v>45845</v>
      </c>
      <c r="AY7" s="92">
        <f t="shared" si="0"/>
        <v>45852</v>
      </c>
      <c r="AZ7" s="92">
        <f t="shared" si="0"/>
        <v>45859</v>
      </c>
      <c r="BA7" s="92">
        <f t="shared" si="0"/>
        <v>45866</v>
      </c>
      <c r="BB7" s="92">
        <f t="shared" si="0"/>
        <v>45873</v>
      </c>
      <c r="BC7" s="92">
        <f t="shared" si="0"/>
        <v>45880</v>
      </c>
      <c r="BD7" s="92">
        <f t="shared" si="0"/>
        <v>45887</v>
      </c>
      <c r="BE7" s="92">
        <f t="shared" si="0"/>
        <v>45894</v>
      </c>
      <c r="BF7" s="92">
        <f t="shared" si="0"/>
        <v>45901</v>
      </c>
      <c r="BG7" s="92">
        <f t="shared" si="0"/>
        <v>45908</v>
      </c>
      <c r="BH7" s="92">
        <f t="shared" si="0"/>
        <v>45915</v>
      </c>
      <c r="BI7" s="92">
        <f t="shared" si="0"/>
        <v>45922</v>
      </c>
      <c r="BJ7" s="92">
        <f t="shared" si="0"/>
        <v>45929</v>
      </c>
      <c r="BK7" s="92">
        <f t="shared" si="0"/>
        <v>45936</v>
      </c>
      <c r="BL7" s="92">
        <f t="shared" si="0"/>
        <v>45943</v>
      </c>
      <c r="BM7" s="92">
        <f t="shared" si="0"/>
        <v>45950</v>
      </c>
      <c r="BN7" s="92">
        <f t="shared" si="0"/>
        <v>45957</v>
      </c>
      <c r="BO7" s="92">
        <f>BN7+7</f>
        <v>45964</v>
      </c>
      <c r="BP7" s="92">
        <f t="shared" si="0"/>
        <v>45971</v>
      </c>
      <c r="BQ7" s="92">
        <f t="shared" si="0"/>
        <v>45978</v>
      </c>
      <c r="BR7" s="92">
        <f t="shared" si="0"/>
        <v>45985</v>
      </c>
      <c r="BS7" s="92">
        <f t="shared" si="0"/>
        <v>45992</v>
      </c>
      <c r="BT7" s="92">
        <f t="shared" si="0"/>
        <v>45999</v>
      </c>
      <c r="BU7" s="92">
        <f t="shared" si="0"/>
        <v>46006</v>
      </c>
      <c r="BV7" s="92">
        <f t="shared" si="0"/>
        <v>46013</v>
      </c>
      <c r="BW7" s="92">
        <f>BV7+7</f>
        <v>46020</v>
      </c>
      <c r="BX7" s="92">
        <f t="shared" si="0"/>
        <v>46027</v>
      </c>
      <c r="BY7" s="92">
        <f t="shared" si="0"/>
        <v>46034</v>
      </c>
      <c r="BZ7" s="92">
        <f t="shared" si="0"/>
        <v>46041</v>
      </c>
      <c r="CA7" s="92">
        <f>BZ7+7</f>
        <v>46048</v>
      </c>
      <c r="CB7" s="92">
        <f t="shared" si="0"/>
        <v>46055</v>
      </c>
      <c r="CC7" s="92">
        <f t="shared" si="0"/>
        <v>46062</v>
      </c>
      <c r="CD7" s="92">
        <f t="shared" si="0"/>
        <v>46069</v>
      </c>
      <c r="CE7" s="92">
        <f t="shared" si="0"/>
        <v>46076</v>
      </c>
    </row>
    <row r="8" spans="1:83" s="82" customFormat="1">
      <c r="A8" s="281"/>
      <c r="B8" s="284"/>
      <c r="C8" s="284"/>
      <c r="D8" s="284"/>
      <c r="E8" s="284"/>
      <c r="F8" s="284"/>
      <c r="G8" s="284"/>
      <c r="H8" s="284"/>
      <c r="I8" s="285"/>
      <c r="J8" s="288"/>
      <c r="K8" s="291"/>
      <c r="L8" s="288"/>
      <c r="M8" s="288"/>
      <c r="N8" s="288"/>
      <c r="O8" s="288"/>
      <c r="P8" s="285"/>
      <c r="Q8" s="285"/>
      <c r="R8" s="295"/>
      <c r="S8" s="295"/>
      <c r="T8" s="298"/>
      <c r="U8" s="301"/>
      <c r="V8" s="298"/>
      <c r="W8" s="93">
        <f t="shared" ref="W8:CE8" si="1">W7+4</f>
        <v>45660</v>
      </c>
      <c r="X8" s="93">
        <f t="shared" si="1"/>
        <v>45667</v>
      </c>
      <c r="Y8" s="93">
        <f t="shared" si="1"/>
        <v>45674</v>
      </c>
      <c r="Z8" s="93">
        <f t="shared" si="1"/>
        <v>45681</v>
      </c>
      <c r="AA8" s="93">
        <f t="shared" si="1"/>
        <v>45688</v>
      </c>
      <c r="AB8" s="93">
        <f t="shared" si="1"/>
        <v>45695</v>
      </c>
      <c r="AC8" s="93">
        <f t="shared" si="1"/>
        <v>45702</v>
      </c>
      <c r="AD8" s="93">
        <f t="shared" si="1"/>
        <v>45709</v>
      </c>
      <c r="AE8" s="93">
        <f t="shared" si="1"/>
        <v>45716</v>
      </c>
      <c r="AF8" s="93">
        <f t="shared" si="1"/>
        <v>45723</v>
      </c>
      <c r="AG8" s="93">
        <f t="shared" si="1"/>
        <v>45730</v>
      </c>
      <c r="AH8" s="93">
        <f t="shared" si="1"/>
        <v>45737</v>
      </c>
      <c r="AI8" s="93">
        <f t="shared" si="1"/>
        <v>45744</v>
      </c>
      <c r="AJ8" s="93">
        <f t="shared" si="1"/>
        <v>45751</v>
      </c>
      <c r="AK8" s="93">
        <f t="shared" si="1"/>
        <v>45758</v>
      </c>
      <c r="AL8" s="93">
        <f t="shared" si="1"/>
        <v>45765</v>
      </c>
      <c r="AM8" s="93">
        <f t="shared" si="1"/>
        <v>45772</v>
      </c>
      <c r="AN8" s="93">
        <f t="shared" si="1"/>
        <v>45779</v>
      </c>
      <c r="AO8" s="93">
        <f t="shared" si="1"/>
        <v>45786</v>
      </c>
      <c r="AP8" s="93">
        <f t="shared" si="1"/>
        <v>45793</v>
      </c>
      <c r="AQ8" s="93">
        <f t="shared" si="1"/>
        <v>45800</v>
      </c>
      <c r="AR8" s="93">
        <f t="shared" si="1"/>
        <v>45807</v>
      </c>
      <c r="AS8" s="93">
        <f t="shared" si="1"/>
        <v>45814</v>
      </c>
      <c r="AT8" s="93">
        <f t="shared" si="1"/>
        <v>45821</v>
      </c>
      <c r="AU8" s="93">
        <f t="shared" si="1"/>
        <v>45828</v>
      </c>
      <c r="AV8" s="93">
        <f t="shared" si="1"/>
        <v>45835</v>
      </c>
      <c r="AW8" s="93">
        <f t="shared" si="1"/>
        <v>45842</v>
      </c>
      <c r="AX8" s="93">
        <f t="shared" si="1"/>
        <v>45849</v>
      </c>
      <c r="AY8" s="93">
        <f t="shared" si="1"/>
        <v>45856</v>
      </c>
      <c r="AZ8" s="93">
        <f t="shared" si="1"/>
        <v>45863</v>
      </c>
      <c r="BA8" s="93">
        <f t="shared" si="1"/>
        <v>45870</v>
      </c>
      <c r="BB8" s="93">
        <f t="shared" si="1"/>
        <v>45877</v>
      </c>
      <c r="BC8" s="93">
        <f t="shared" si="1"/>
        <v>45884</v>
      </c>
      <c r="BD8" s="93">
        <f t="shared" si="1"/>
        <v>45891</v>
      </c>
      <c r="BE8" s="93">
        <f t="shared" si="1"/>
        <v>45898</v>
      </c>
      <c r="BF8" s="93">
        <f t="shared" si="1"/>
        <v>45905</v>
      </c>
      <c r="BG8" s="93">
        <f t="shared" si="1"/>
        <v>45912</v>
      </c>
      <c r="BH8" s="93">
        <f t="shared" si="1"/>
        <v>45919</v>
      </c>
      <c r="BI8" s="93">
        <f t="shared" si="1"/>
        <v>45926</v>
      </c>
      <c r="BJ8" s="93">
        <f t="shared" si="1"/>
        <v>45933</v>
      </c>
      <c r="BK8" s="93">
        <f t="shared" si="1"/>
        <v>45940</v>
      </c>
      <c r="BL8" s="93">
        <f t="shared" si="1"/>
        <v>45947</v>
      </c>
      <c r="BM8" s="93">
        <f t="shared" si="1"/>
        <v>45954</v>
      </c>
      <c r="BN8" s="93">
        <f t="shared" si="1"/>
        <v>45961</v>
      </c>
      <c r="BO8" s="93">
        <f t="shared" si="1"/>
        <v>45968</v>
      </c>
      <c r="BP8" s="93">
        <f t="shared" si="1"/>
        <v>45975</v>
      </c>
      <c r="BQ8" s="93">
        <f t="shared" si="1"/>
        <v>45982</v>
      </c>
      <c r="BR8" s="93">
        <f t="shared" si="1"/>
        <v>45989</v>
      </c>
      <c r="BS8" s="93">
        <f t="shared" si="1"/>
        <v>45996</v>
      </c>
      <c r="BT8" s="93">
        <f t="shared" si="1"/>
        <v>46003</v>
      </c>
      <c r="BU8" s="93">
        <f t="shared" si="1"/>
        <v>46010</v>
      </c>
      <c r="BV8" s="93">
        <f t="shared" si="1"/>
        <v>46017</v>
      </c>
      <c r="BW8" s="93">
        <f t="shared" si="1"/>
        <v>46024</v>
      </c>
      <c r="BX8" s="93">
        <f t="shared" si="1"/>
        <v>46031</v>
      </c>
      <c r="BY8" s="93">
        <f t="shared" si="1"/>
        <v>46038</v>
      </c>
      <c r="BZ8" s="93">
        <f t="shared" si="1"/>
        <v>46045</v>
      </c>
      <c r="CA8" s="93">
        <f t="shared" si="1"/>
        <v>46052</v>
      </c>
      <c r="CB8" s="93">
        <f t="shared" si="1"/>
        <v>46059</v>
      </c>
      <c r="CC8" s="93">
        <f t="shared" si="1"/>
        <v>46066</v>
      </c>
      <c r="CD8" s="93">
        <f t="shared" si="1"/>
        <v>46073</v>
      </c>
      <c r="CE8" s="93">
        <f t="shared" si="1"/>
        <v>46080</v>
      </c>
    </row>
    <row r="9" spans="1:83" ht="17.25" thickBot="1">
      <c r="A9" s="94">
        <v>0</v>
      </c>
      <c r="B9" s="95"/>
      <c r="C9" s="96"/>
      <c r="D9" s="96"/>
      <c r="E9" s="96"/>
      <c r="F9" s="96"/>
      <c r="G9" s="96"/>
      <c r="H9" s="97"/>
      <c r="I9" s="98">
        <f>SUM(I10,I21,I32,I43,I65,I54,I76,I87)</f>
        <v>100</v>
      </c>
      <c r="J9" s="99"/>
      <c r="K9" s="100"/>
      <c r="L9" s="101"/>
      <c r="M9" s="102"/>
      <c r="N9" s="102"/>
      <c r="O9" s="103"/>
      <c r="P9" s="104">
        <f>MIN(P10,P21,P32,P43,P54,P65,P76,P87)</f>
        <v>0</v>
      </c>
      <c r="Q9" s="104">
        <f>MAX(Q10,Q21,Q32,Q43,Q54,Q65,Q76,Q87)</f>
        <v>0</v>
      </c>
      <c r="R9" s="104"/>
      <c r="S9" s="104"/>
      <c r="T9" s="94"/>
      <c r="U9" s="105" t="str">
        <f t="shared" ref="U9:U40" si="2">IF(ISBLANK(T9),"",(DAYS360(VLOOKUP(T9,$A$9:$Q$97,15,FALSE),P9)-1))</f>
        <v/>
      </c>
      <c r="V9" s="106">
        <f>NETWORKDAYS(P9,Q9,진행현황_전체!C$59:C$77)</f>
        <v>0</v>
      </c>
      <c r="W9" s="107"/>
      <c r="X9" s="108"/>
      <c r="Y9" s="108"/>
      <c r="Z9" s="248"/>
      <c r="AA9" s="111"/>
      <c r="AB9" s="112"/>
      <c r="AC9" s="110"/>
      <c r="AD9" s="110"/>
      <c r="AE9" s="111"/>
      <c r="AF9" s="109"/>
      <c r="AG9" s="110"/>
      <c r="AH9" s="110"/>
      <c r="AI9" s="111"/>
      <c r="AJ9" s="109"/>
      <c r="AK9" s="112"/>
      <c r="AL9" s="110"/>
      <c r="AM9" s="110"/>
      <c r="AN9" s="192"/>
      <c r="AO9" s="112"/>
      <c r="AP9" s="110"/>
      <c r="AQ9" s="110"/>
      <c r="AR9" s="111"/>
      <c r="AS9" s="109"/>
      <c r="AT9" s="110"/>
      <c r="AU9" s="110"/>
      <c r="AV9" s="111"/>
      <c r="AW9" s="107"/>
      <c r="AX9" s="108"/>
      <c r="AY9" s="108"/>
      <c r="AZ9" s="248"/>
      <c r="BA9" s="111"/>
      <c r="BB9" s="112"/>
      <c r="BC9" s="110"/>
      <c r="BD9" s="110"/>
      <c r="BE9" s="111"/>
      <c r="BF9" s="109"/>
      <c r="BG9" s="110"/>
      <c r="BH9" s="110"/>
      <c r="BI9" s="111"/>
      <c r="BJ9" s="112"/>
      <c r="BK9" s="110"/>
      <c r="BL9" s="110"/>
      <c r="BM9" s="250"/>
      <c r="BN9" s="111"/>
      <c r="BO9" s="112"/>
      <c r="BP9" s="110"/>
      <c r="BQ9" s="110"/>
      <c r="BR9" s="111"/>
      <c r="BS9" s="112"/>
      <c r="BT9" s="110"/>
      <c r="BU9" s="110"/>
      <c r="BV9" s="110"/>
      <c r="BW9" s="111"/>
      <c r="BX9" s="112"/>
      <c r="BY9" s="110"/>
      <c r="BZ9" s="110"/>
      <c r="CA9" s="111"/>
      <c r="CB9" s="109"/>
      <c r="CC9" s="110"/>
      <c r="CD9" s="110"/>
      <c r="CE9" s="111"/>
    </row>
    <row r="10" spans="1:83" ht="17.25" thickBot="1">
      <c r="A10" s="113">
        <v>1</v>
      </c>
      <c r="B10" s="114" t="str">
        <f>진행현황_템플릿!B15</f>
        <v>단계1</v>
      </c>
      <c r="C10" s="115"/>
      <c r="D10" s="115"/>
      <c r="E10" s="115"/>
      <c r="F10" s="115"/>
      <c r="G10" s="115"/>
      <c r="H10" s="116">
        <f>SUM(I11:I20)</f>
        <v>100</v>
      </c>
      <c r="I10" s="117">
        <f>진행현황_템플릿!B16</f>
        <v>15</v>
      </c>
      <c r="J10" s="118">
        <f>SUM(L11:L20)</f>
        <v>0.99999999999999989</v>
      </c>
      <c r="K10" s="119">
        <f>SUM(M11:M20)</f>
        <v>0</v>
      </c>
      <c r="L10" s="120">
        <f>SUM(L11:L20)*I10</f>
        <v>14.999999999999998</v>
      </c>
      <c r="M10" s="120">
        <f>SUM(M11:M20)*I10</f>
        <v>0</v>
      </c>
      <c r="N10" s="120">
        <f t="shared" ref="N10:N75" si="3">M10-L10</f>
        <v>-14.999999999999998</v>
      </c>
      <c r="O10" s="121"/>
      <c r="P10" s="122">
        <f>MIN(P11:P20)</f>
        <v>0</v>
      </c>
      <c r="Q10" s="122">
        <f>MAX(Q11:Q20)</f>
        <v>0</v>
      </c>
      <c r="R10" s="122">
        <f>MIN(R11:R20)</f>
        <v>0</v>
      </c>
      <c r="S10" s="122">
        <f>MAX(S11:S20)</f>
        <v>0</v>
      </c>
      <c r="T10" s="113"/>
      <c r="U10" s="123" t="str">
        <f t="shared" si="2"/>
        <v/>
      </c>
      <c r="V10" s="124">
        <f>NETWORKDAYS(P10,Q10,진행현황_전체!C$59:C$77)</f>
        <v>0</v>
      </c>
      <c r="W10" s="125"/>
      <c r="X10" s="126"/>
      <c r="Y10" s="126"/>
      <c r="Z10" s="249"/>
      <c r="AA10" s="127"/>
      <c r="AB10" s="129"/>
      <c r="AC10" s="126"/>
      <c r="AD10" s="126"/>
      <c r="AE10" s="127"/>
      <c r="AF10" s="128"/>
      <c r="AG10" s="126"/>
      <c r="AH10" s="126"/>
      <c r="AI10" s="127"/>
      <c r="AJ10" s="128"/>
      <c r="AK10" s="129"/>
      <c r="AL10" s="126"/>
      <c r="AM10" s="126"/>
      <c r="AN10" s="193"/>
      <c r="AO10" s="129"/>
      <c r="AP10" s="126"/>
      <c r="AQ10" s="126"/>
      <c r="AR10" s="127"/>
      <c r="AS10" s="128"/>
      <c r="AT10" s="126"/>
      <c r="AU10" s="126"/>
      <c r="AV10" s="127"/>
      <c r="AW10" s="125"/>
      <c r="AX10" s="126"/>
      <c r="AY10" s="126"/>
      <c r="AZ10" s="249"/>
      <c r="BA10" s="127"/>
      <c r="BB10" s="129"/>
      <c r="BC10" s="126"/>
      <c r="BD10" s="126"/>
      <c r="BE10" s="127"/>
      <c r="BF10" s="128"/>
      <c r="BG10" s="126"/>
      <c r="BH10" s="126"/>
      <c r="BI10" s="127"/>
      <c r="BJ10" s="129"/>
      <c r="BK10" s="126"/>
      <c r="BL10" s="126"/>
      <c r="BM10" s="249"/>
      <c r="BN10" s="127"/>
      <c r="BO10" s="129"/>
      <c r="BP10" s="126"/>
      <c r="BQ10" s="126"/>
      <c r="BR10" s="127"/>
      <c r="BS10" s="129"/>
      <c r="BT10" s="126"/>
      <c r="BU10" s="126"/>
      <c r="BV10" s="126"/>
      <c r="BW10" s="127"/>
      <c r="BX10" s="129"/>
      <c r="BY10" s="126"/>
      <c r="BZ10" s="126"/>
      <c r="CA10" s="127"/>
      <c r="CB10" s="128"/>
      <c r="CC10" s="126"/>
      <c r="CD10" s="126"/>
      <c r="CE10" s="127"/>
    </row>
    <row r="11" spans="1:83">
      <c r="A11" s="130" t="s">
        <v>56</v>
      </c>
      <c r="B11" s="95"/>
      <c r="C11" s="96"/>
      <c r="D11" s="96"/>
      <c r="E11" s="96"/>
      <c r="F11" s="96"/>
      <c r="G11" s="96"/>
      <c r="H11" s="97"/>
      <c r="I11" s="94">
        <v>10</v>
      </c>
      <c r="J11" s="131">
        <f t="shared" ref="J11:J20" si="4">IF(CheckDay&gt;=Q11,1,IF(CheckDay&lt;P11, 0,DAYS360(P11,CheckDay+1)/Y11))</f>
        <v>1</v>
      </c>
      <c r="K11" s="101">
        <v>0</v>
      </c>
      <c r="L11" s="132">
        <f t="shared" ref="L11:L20" si="5">I11*J11/100</f>
        <v>0.1</v>
      </c>
      <c r="M11" s="132">
        <f t="shared" ref="M11:M20" si="6">I11*K11/100</f>
        <v>0</v>
      </c>
      <c r="N11" s="132">
        <f t="shared" si="3"/>
        <v>-0.1</v>
      </c>
      <c r="O11" s="133" t="str">
        <f t="shared" ref="O11:O20" si="7">IF(AND(K11=0%,N11=0),"",IF(N11&lt;0,"지연",IF(K11=100%,"종료","진행")))</f>
        <v>지연</v>
      </c>
      <c r="P11" s="104"/>
      <c r="Q11" s="104"/>
      <c r="R11" s="104"/>
      <c r="S11" s="104"/>
      <c r="T11" s="94"/>
      <c r="U11" s="134" t="str">
        <f t="shared" si="2"/>
        <v/>
      </c>
      <c r="V11" s="253">
        <f>NETWORKDAYS(P11,Q11,진행현황_전체!C$59:C$77)</f>
        <v>0</v>
      </c>
      <c r="W11" s="135">
        <f t="shared" ref="W11:AQ20" si="8">IF(OR((AND($P11&lt;=W$7,AND($Q11&lt;=W$8, $Q11&gt;=W$7))),(AND(AND($P11&gt;=W$7, $P11&lt;=W$8),$Q11&gt;=W$8)), AND($P11&gt;=W$7, $Q11&lt;=W$8), AND($P11&lt;=W$7,$Q11&gt;=W$8)),1,0)</f>
        <v>0</v>
      </c>
      <c r="X11" s="136">
        <f t="shared" si="8"/>
        <v>0</v>
      </c>
      <c r="Y11" s="136">
        <f t="shared" si="8"/>
        <v>0</v>
      </c>
      <c r="Z11" s="136">
        <f t="shared" si="8"/>
        <v>0</v>
      </c>
      <c r="AA11" s="137">
        <f t="shared" si="8"/>
        <v>0</v>
      </c>
      <c r="AB11" s="138">
        <f t="shared" si="8"/>
        <v>0</v>
      </c>
      <c r="AC11" s="136">
        <f t="shared" si="8"/>
        <v>0</v>
      </c>
      <c r="AD11" s="136">
        <f t="shared" si="8"/>
        <v>0</v>
      </c>
      <c r="AE11" s="137">
        <f t="shared" si="8"/>
        <v>0</v>
      </c>
      <c r="AF11" s="135">
        <f t="shared" si="8"/>
        <v>0</v>
      </c>
      <c r="AG11" s="136">
        <f t="shared" si="8"/>
        <v>0</v>
      </c>
      <c r="AH11" s="136">
        <f t="shared" si="8"/>
        <v>0</v>
      </c>
      <c r="AI11" s="137">
        <f t="shared" si="8"/>
        <v>0</v>
      </c>
      <c r="AJ11" s="135">
        <f t="shared" si="8"/>
        <v>0</v>
      </c>
      <c r="AK11" s="138">
        <f t="shared" si="8"/>
        <v>0</v>
      </c>
      <c r="AL11" s="136">
        <f t="shared" si="8"/>
        <v>0</v>
      </c>
      <c r="AM11" s="136">
        <f t="shared" si="8"/>
        <v>0</v>
      </c>
      <c r="AN11" s="194">
        <f t="shared" si="8"/>
        <v>0</v>
      </c>
      <c r="AO11" s="138">
        <f t="shared" si="8"/>
        <v>0</v>
      </c>
      <c r="AP11" s="136">
        <f t="shared" si="8"/>
        <v>0</v>
      </c>
      <c r="AQ11" s="136">
        <f t="shared" si="8"/>
        <v>0</v>
      </c>
      <c r="AR11" s="137">
        <f t="shared" ref="AR11:BG20" si="9">IF(OR((AND($P11&lt;=AR$7,AND($Q11&lt;=AR$8, $Q11&gt;=AR$7))),(AND(AND($P11&gt;=AR$7, $P11&lt;=AR$8),$Q11&gt;=AR$8)), AND($P11&gt;=AR$7, $Q11&lt;=AR$8), AND($P11&lt;=AR$7,$Q11&gt;=AR$8)),1,0)</f>
        <v>0</v>
      </c>
      <c r="AS11" s="135">
        <f t="shared" si="9"/>
        <v>0</v>
      </c>
      <c r="AT11" s="136">
        <f t="shared" si="9"/>
        <v>0</v>
      </c>
      <c r="AU11" s="136">
        <f t="shared" si="9"/>
        <v>0</v>
      </c>
      <c r="AV11" s="137">
        <f t="shared" si="9"/>
        <v>0</v>
      </c>
      <c r="AW11" s="135">
        <f t="shared" si="9"/>
        <v>0</v>
      </c>
      <c r="AX11" s="136">
        <f t="shared" si="9"/>
        <v>0</v>
      </c>
      <c r="AY11" s="136">
        <f t="shared" si="9"/>
        <v>0</v>
      </c>
      <c r="AZ11" s="136">
        <f t="shared" si="9"/>
        <v>0</v>
      </c>
      <c r="BA11" s="137">
        <f t="shared" si="9"/>
        <v>0</v>
      </c>
      <c r="BB11" s="138">
        <f t="shared" si="9"/>
        <v>0</v>
      </c>
      <c r="BC11" s="136">
        <f t="shared" si="9"/>
        <v>0</v>
      </c>
      <c r="BD11" s="136">
        <f t="shared" si="9"/>
        <v>0</v>
      </c>
      <c r="BE11" s="137">
        <f t="shared" si="9"/>
        <v>0</v>
      </c>
      <c r="BF11" s="135">
        <f t="shared" si="9"/>
        <v>0</v>
      </c>
      <c r="BG11" s="136">
        <f t="shared" si="9"/>
        <v>0</v>
      </c>
      <c r="BH11" s="136">
        <f t="shared" ref="BH11:CE20" si="10">IF(OR((AND($P11&lt;=BH$7,AND($Q11&lt;=BH$8, $Q11&gt;=BH$7))),(AND(AND($P11&gt;=BH$7, $P11&lt;=BH$8),$Q11&gt;=BH$8)), AND($P11&gt;=BH$7, $Q11&lt;=BH$8), AND($P11&lt;=BH$7,$Q11&gt;=BH$8)),1,0)</f>
        <v>0</v>
      </c>
      <c r="BI11" s="137">
        <f t="shared" si="10"/>
        <v>0</v>
      </c>
      <c r="BJ11" s="138">
        <f t="shared" si="10"/>
        <v>0</v>
      </c>
      <c r="BK11" s="136">
        <f t="shared" si="10"/>
        <v>0</v>
      </c>
      <c r="BL11" s="136">
        <f t="shared" si="10"/>
        <v>0</v>
      </c>
      <c r="BM11" s="136">
        <f t="shared" si="10"/>
        <v>0</v>
      </c>
      <c r="BN11" s="137">
        <f t="shared" si="10"/>
        <v>0</v>
      </c>
      <c r="BO11" s="138">
        <f t="shared" si="10"/>
        <v>0</v>
      </c>
      <c r="BP11" s="136">
        <f t="shared" si="10"/>
        <v>0</v>
      </c>
      <c r="BQ11" s="136">
        <f t="shared" si="10"/>
        <v>0</v>
      </c>
      <c r="BR11" s="137">
        <f t="shared" si="10"/>
        <v>0</v>
      </c>
      <c r="BS11" s="138">
        <f t="shared" si="10"/>
        <v>0</v>
      </c>
      <c r="BT11" s="136">
        <f t="shared" si="10"/>
        <v>0</v>
      </c>
      <c r="BU11" s="136">
        <f t="shared" si="10"/>
        <v>0</v>
      </c>
      <c r="BV11" s="136">
        <f t="shared" si="10"/>
        <v>0</v>
      </c>
      <c r="BW11" s="137">
        <f t="shared" si="10"/>
        <v>0</v>
      </c>
      <c r="BX11" s="138">
        <f t="shared" si="10"/>
        <v>0</v>
      </c>
      <c r="BY11" s="136">
        <f t="shared" si="10"/>
        <v>0</v>
      </c>
      <c r="BZ11" s="136">
        <f t="shared" si="10"/>
        <v>0</v>
      </c>
      <c r="CA11" s="137">
        <f t="shared" si="10"/>
        <v>0</v>
      </c>
      <c r="CB11" s="135">
        <f t="shared" si="10"/>
        <v>0</v>
      </c>
      <c r="CC11" s="136">
        <f t="shared" si="10"/>
        <v>0</v>
      </c>
      <c r="CD11" s="136">
        <f t="shared" si="10"/>
        <v>0</v>
      </c>
      <c r="CE11" s="137">
        <f t="shared" si="10"/>
        <v>0</v>
      </c>
    </row>
    <row r="12" spans="1:83">
      <c r="A12" s="130" t="s">
        <v>57</v>
      </c>
      <c r="B12" s="95"/>
      <c r="C12" s="96"/>
      <c r="D12" s="96"/>
      <c r="E12" s="96"/>
      <c r="F12" s="96"/>
      <c r="G12" s="96"/>
      <c r="H12" s="97"/>
      <c r="I12" s="94">
        <v>10</v>
      </c>
      <c r="J12" s="131">
        <f t="shared" si="4"/>
        <v>1</v>
      </c>
      <c r="K12" s="101">
        <v>0</v>
      </c>
      <c r="L12" s="132">
        <f t="shared" ref="L12:L19" si="11">I12*J12/100</f>
        <v>0.1</v>
      </c>
      <c r="M12" s="132">
        <f t="shared" ref="M12:M19" si="12">I12*K12/100</f>
        <v>0</v>
      </c>
      <c r="N12" s="132">
        <f t="shared" ref="N12:N19" si="13">M12-L12</f>
        <v>-0.1</v>
      </c>
      <c r="O12" s="133" t="str">
        <f t="shared" ref="O12:O19" si="14">IF(AND(K12=0%,N12=0),"",IF(N12&lt;0,"지연",IF(K12=100%,"종료","진행")))</f>
        <v>지연</v>
      </c>
      <c r="P12" s="104"/>
      <c r="Q12" s="104"/>
      <c r="R12" s="104"/>
      <c r="S12" s="104"/>
      <c r="T12" s="94"/>
      <c r="U12" s="134" t="str">
        <f t="shared" si="2"/>
        <v/>
      </c>
      <c r="V12" s="253">
        <f>NETWORKDAYS(P12,Q12,진행현황_전체!C$59:C$77)</f>
        <v>0</v>
      </c>
      <c r="W12" s="135">
        <f t="shared" si="8"/>
        <v>0</v>
      </c>
      <c r="X12" s="136">
        <f t="shared" si="8"/>
        <v>0</v>
      </c>
      <c r="Y12" s="136">
        <f t="shared" si="8"/>
        <v>0</v>
      </c>
      <c r="Z12" s="136">
        <f t="shared" si="8"/>
        <v>0</v>
      </c>
      <c r="AA12" s="137">
        <f t="shared" si="8"/>
        <v>0</v>
      </c>
      <c r="AB12" s="138">
        <f t="shared" si="8"/>
        <v>0</v>
      </c>
      <c r="AC12" s="136">
        <f t="shared" si="8"/>
        <v>0</v>
      </c>
      <c r="AD12" s="136">
        <f t="shared" si="8"/>
        <v>0</v>
      </c>
      <c r="AE12" s="137">
        <f t="shared" si="8"/>
        <v>0</v>
      </c>
      <c r="AF12" s="135">
        <f t="shared" si="8"/>
        <v>0</v>
      </c>
      <c r="AG12" s="136">
        <f t="shared" si="8"/>
        <v>0</v>
      </c>
      <c r="AH12" s="136">
        <f t="shared" si="8"/>
        <v>0</v>
      </c>
      <c r="AI12" s="137">
        <f t="shared" si="8"/>
        <v>0</v>
      </c>
      <c r="AJ12" s="135">
        <f t="shared" si="8"/>
        <v>0</v>
      </c>
      <c r="AK12" s="138">
        <f t="shared" si="8"/>
        <v>0</v>
      </c>
      <c r="AL12" s="136">
        <f t="shared" si="8"/>
        <v>0</v>
      </c>
      <c r="AM12" s="136">
        <f t="shared" si="8"/>
        <v>0</v>
      </c>
      <c r="AN12" s="194">
        <f t="shared" si="8"/>
        <v>0</v>
      </c>
      <c r="AO12" s="138">
        <f t="shared" si="8"/>
        <v>0</v>
      </c>
      <c r="AP12" s="136">
        <f t="shared" si="8"/>
        <v>0</v>
      </c>
      <c r="AQ12" s="136">
        <f t="shared" si="8"/>
        <v>0</v>
      </c>
      <c r="AR12" s="137">
        <f t="shared" si="9"/>
        <v>0</v>
      </c>
      <c r="AS12" s="135">
        <f t="shared" si="9"/>
        <v>0</v>
      </c>
      <c r="AT12" s="136">
        <f t="shared" si="9"/>
        <v>0</v>
      </c>
      <c r="AU12" s="136">
        <f t="shared" si="9"/>
        <v>0</v>
      </c>
      <c r="AV12" s="137">
        <f t="shared" si="9"/>
        <v>0</v>
      </c>
      <c r="AW12" s="135">
        <f t="shared" si="9"/>
        <v>0</v>
      </c>
      <c r="AX12" s="136">
        <f t="shared" si="9"/>
        <v>0</v>
      </c>
      <c r="AY12" s="136">
        <f t="shared" si="9"/>
        <v>0</v>
      </c>
      <c r="AZ12" s="136">
        <f t="shared" si="9"/>
        <v>0</v>
      </c>
      <c r="BA12" s="137">
        <f t="shared" si="9"/>
        <v>0</v>
      </c>
      <c r="BB12" s="138">
        <f t="shared" si="9"/>
        <v>0</v>
      </c>
      <c r="BC12" s="136">
        <f t="shared" si="9"/>
        <v>0</v>
      </c>
      <c r="BD12" s="136">
        <f t="shared" si="9"/>
        <v>0</v>
      </c>
      <c r="BE12" s="137">
        <f t="shared" si="9"/>
        <v>0</v>
      </c>
      <c r="BF12" s="135">
        <f t="shared" si="9"/>
        <v>0</v>
      </c>
      <c r="BG12" s="136">
        <f t="shared" si="9"/>
        <v>0</v>
      </c>
      <c r="BH12" s="136">
        <f t="shared" si="10"/>
        <v>0</v>
      </c>
      <c r="BI12" s="137">
        <f t="shared" si="10"/>
        <v>0</v>
      </c>
      <c r="BJ12" s="138">
        <f t="shared" si="10"/>
        <v>0</v>
      </c>
      <c r="BK12" s="136">
        <f t="shared" si="10"/>
        <v>0</v>
      </c>
      <c r="BL12" s="136">
        <f t="shared" si="10"/>
        <v>0</v>
      </c>
      <c r="BM12" s="136">
        <f t="shared" si="10"/>
        <v>0</v>
      </c>
      <c r="BN12" s="137">
        <f t="shared" si="10"/>
        <v>0</v>
      </c>
      <c r="BO12" s="138">
        <f t="shared" si="10"/>
        <v>0</v>
      </c>
      <c r="BP12" s="136">
        <f t="shared" si="10"/>
        <v>0</v>
      </c>
      <c r="BQ12" s="136">
        <f t="shared" si="10"/>
        <v>0</v>
      </c>
      <c r="BR12" s="137">
        <f t="shared" si="10"/>
        <v>0</v>
      </c>
      <c r="BS12" s="138">
        <f t="shared" si="10"/>
        <v>0</v>
      </c>
      <c r="BT12" s="136">
        <f t="shared" si="10"/>
        <v>0</v>
      </c>
      <c r="BU12" s="136">
        <f t="shared" si="10"/>
        <v>0</v>
      </c>
      <c r="BV12" s="136">
        <f t="shared" si="10"/>
        <v>0</v>
      </c>
      <c r="BW12" s="137">
        <f t="shared" si="10"/>
        <v>0</v>
      </c>
      <c r="BX12" s="138">
        <f t="shared" si="10"/>
        <v>0</v>
      </c>
      <c r="BY12" s="136">
        <f t="shared" si="10"/>
        <v>0</v>
      </c>
      <c r="BZ12" s="136">
        <f t="shared" si="10"/>
        <v>0</v>
      </c>
      <c r="CA12" s="137">
        <f t="shared" si="10"/>
        <v>0</v>
      </c>
      <c r="CB12" s="135">
        <f t="shared" si="10"/>
        <v>0</v>
      </c>
      <c r="CC12" s="136">
        <f t="shared" si="10"/>
        <v>0</v>
      </c>
      <c r="CD12" s="136">
        <f t="shared" si="10"/>
        <v>0</v>
      </c>
      <c r="CE12" s="137">
        <f t="shared" si="10"/>
        <v>0</v>
      </c>
    </row>
    <row r="13" spans="1:83">
      <c r="A13" s="130" t="s">
        <v>58</v>
      </c>
      <c r="B13" s="95"/>
      <c r="C13" s="96"/>
      <c r="D13" s="96"/>
      <c r="E13" s="96"/>
      <c r="F13" s="96"/>
      <c r="G13" s="96"/>
      <c r="H13" s="97"/>
      <c r="I13" s="94">
        <v>10</v>
      </c>
      <c r="J13" s="131">
        <f t="shared" si="4"/>
        <v>1</v>
      </c>
      <c r="K13" s="101">
        <v>0</v>
      </c>
      <c r="L13" s="132">
        <f t="shared" si="11"/>
        <v>0.1</v>
      </c>
      <c r="M13" s="132">
        <f t="shared" si="12"/>
        <v>0</v>
      </c>
      <c r="N13" s="132">
        <f t="shared" si="13"/>
        <v>-0.1</v>
      </c>
      <c r="O13" s="133" t="str">
        <f t="shared" si="14"/>
        <v>지연</v>
      </c>
      <c r="P13" s="104"/>
      <c r="Q13" s="104"/>
      <c r="R13" s="104"/>
      <c r="S13" s="104"/>
      <c r="T13" s="94"/>
      <c r="U13" s="134" t="str">
        <f t="shared" si="2"/>
        <v/>
      </c>
      <c r="V13" s="253">
        <f>NETWORKDAYS(P13,Q13,진행현황_전체!C$59:C$77)</f>
        <v>0</v>
      </c>
      <c r="W13" s="135">
        <f t="shared" si="8"/>
        <v>0</v>
      </c>
      <c r="X13" s="136">
        <f t="shared" si="8"/>
        <v>0</v>
      </c>
      <c r="Y13" s="136">
        <f t="shared" si="8"/>
        <v>0</v>
      </c>
      <c r="Z13" s="136">
        <f t="shared" si="8"/>
        <v>0</v>
      </c>
      <c r="AA13" s="137">
        <f t="shared" si="8"/>
        <v>0</v>
      </c>
      <c r="AB13" s="138">
        <f t="shared" si="8"/>
        <v>0</v>
      </c>
      <c r="AC13" s="136">
        <f t="shared" si="8"/>
        <v>0</v>
      </c>
      <c r="AD13" s="136">
        <f t="shared" si="8"/>
        <v>0</v>
      </c>
      <c r="AE13" s="137">
        <f t="shared" si="8"/>
        <v>0</v>
      </c>
      <c r="AF13" s="135">
        <f t="shared" si="8"/>
        <v>0</v>
      </c>
      <c r="AG13" s="136">
        <f t="shared" si="8"/>
        <v>0</v>
      </c>
      <c r="AH13" s="136">
        <f t="shared" si="8"/>
        <v>0</v>
      </c>
      <c r="AI13" s="137">
        <f t="shared" si="8"/>
        <v>0</v>
      </c>
      <c r="AJ13" s="135">
        <f t="shared" si="8"/>
        <v>0</v>
      </c>
      <c r="AK13" s="138">
        <f t="shared" si="8"/>
        <v>0</v>
      </c>
      <c r="AL13" s="136">
        <f t="shared" si="8"/>
        <v>0</v>
      </c>
      <c r="AM13" s="136">
        <f t="shared" si="8"/>
        <v>0</v>
      </c>
      <c r="AN13" s="194">
        <f t="shared" si="8"/>
        <v>0</v>
      </c>
      <c r="AO13" s="138">
        <f t="shared" si="8"/>
        <v>0</v>
      </c>
      <c r="AP13" s="136">
        <f t="shared" si="8"/>
        <v>0</v>
      </c>
      <c r="AQ13" s="136">
        <f t="shared" si="8"/>
        <v>0</v>
      </c>
      <c r="AR13" s="137">
        <f t="shared" si="9"/>
        <v>0</v>
      </c>
      <c r="AS13" s="135">
        <f t="shared" si="9"/>
        <v>0</v>
      </c>
      <c r="AT13" s="136">
        <f t="shared" si="9"/>
        <v>0</v>
      </c>
      <c r="AU13" s="136">
        <f t="shared" si="9"/>
        <v>0</v>
      </c>
      <c r="AV13" s="137">
        <f t="shared" si="9"/>
        <v>0</v>
      </c>
      <c r="AW13" s="135">
        <f t="shared" si="9"/>
        <v>0</v>
      </c>
      <c r="AX13" s="136">
        <f t="shared" si="9"/>
        <v>0</v>
      </c>
      <c r="AY13" s="136">
        <f t="shared" si="9"/>
        <v>0</v>
      </c>
      <c r="AZ13" s="136">
        <f t="shared" si="9"/>
        <v>0</v>
      </c>
      <c r="BA13" s="137">
        <f t="shared" si="9"/>
        <v>0</v>
      </c>
      <c r="BB13" s="138">
        <f t="shared" si="9"/>
        <v>0</v>
      </c>
      <c r="BC13" s="136">
        <f t="shared" si="9"/>
        <v>0</v>
      </c>
      <c r="BD13" s="136">
        <f t="shared" si="9"/>
        <v>0</v>
      </c>
      <c r="BE13" s="137">
        <f t="shared" si="9"/>
        <v>0</v>
      </c>
      <c r="BF13" s="135">
        <f t="shared" si="9"/>
        <v>0</v>
      </c>
      <c r="BG13" s="136">
        <f t="shared" si="9"/>
        <v>0</v>
      </c>
      <c r="BH13" s="136">
        <f t="shared" si="10"/>
        <v>0</v>
      </c>
      <c r="BI13" s="137">
        <f t="shared" si="10"/>
        <v>0</v>
      </c>
      <c r="BJ13" s="138">
        <f t="shared" si="10"/>
        <v>0</v>
      </c>
      <c r="BK13" s="136">
        <f t="shared" si="10"/>
        <v>0</v>
      </c>
      <c r="BL13" s="136">
        <f t="shared" si="10"/>
        <v>0</v>
      </c>
      <c r="BM13" s="136">
        <f t="shared" si="10"/>
        <v>0</v>
      </c>
      <c r="BN13" s="137">
        <f t="shared" si="10"/>
        <v>0</v>
      </c>
      <c r="BO13" s="138">
        <f t="shared" si="10"/>
        <v>0</v>
      </c>
      <c r="BP13" s="136">
        <f t="shared" si="10"/>
        <v>0</v>
      </c>
      <c r="BQ13" s="136">
        <f t="shared" si="10"/>
        <v>0</v>
      </c>
      <c r="BR13" s="137">
        <f t="shared" si="10"/>
        <v>0</v>
      </c>
      <c r="BS13" s="138">
        <f t="shared" si="10"/>
        <v>0</v>
      </c>
      <c r="BT13" s="136">
        <f t="shared" si="10"/>
        <v>0</v>
      </c>
      <c r="BU13" s="136">
        <f t="shared" si="10"/>
        <v>0</v>
      </c>
      <c r="BV13" s="136">
        <f t="shared" si="10"/>
        <v>0</v>
      </c>
      <c r="BW13" s="137">
        <f t="shared" si="10"/>
        <v>0</v>
      </c>
      <c r="BX13" s="138">
        <f t="shared" si="10"/>
        <v>0</v>
      </c>
      <c r="BY13" s="136">
        <f t="shared" si="10"/>
        <v>0</v>
      </c>
      <c r="BZ13" s="136">
        <f t="shared" si="10"/>
        <v>0</v>
      </c>
      <c r="CA13" s="137">
        <f t="shared" si="10"/>
        <v>0</v>
      </c>
      <c r="CB13" s="135">
        <f t="shared" si="10"/>
        <v>0</v>
      </c>
      <c r="CC13" s="136">
        <f t="shared" si="10"/>
        <v>0</v>
      </c>
      <c r="CD13" s="136">
        <f t="shared" si="10"/>
        <v>0</v>
      </c>
      <c r="CE13" s="137">
        <f t="shared" si="10"/>
        <v>0</v>
      </c>
    </row>
    <row r="14" spans="1:83">
      <c r="A14" s="130" t="s">
        <v>59</v>
      </c>
      <c r="B14" s="95"/>
      <c r="C14" s="96"/>
      <c r="D14" s="96"/>
      <c r="E14" s="96"/>
      <c r="F14" s="96"/>
      <c r="G14" s="96"/>
      <c r="H14" s="97"/>
      <c r="I14" s="94">
        <v>10</v>
      </c>
      <c r="J14" s="131">
        <f t="shared" si="4"/>
        <v>1</v>
      </c>
      <c r="K14" s="101">
        <v>0</v>
      </c>
      <c r="L14" s="132">
        <f t="shared" si="11"/>
        <v>0.1</v>
      </c>
      <c r="M14" s="132">
        <f t="shared" si="12"/>
        <v>0</v>
      </c>
      <c r="N14" s="132">
        <f t="shared" si="13"/>
        <v>-0.1</v>
      </c>
      <c r="O14" s="133" t="str">
        <f t="shared" si="14"/>
        <v>지연</v>
      </c>
      <c r="P14" s="104"/>
      <c r="Q14" s="104"/>
      <c r="R14" s="104"/>
      <c r="S14" s="104"/>
      <c r="T14" s="94"/>
      <c r="U14" s="134" t="str">
        <f t="shared" si="2"/>
        <v/>
      </c>
      <c r="V14" s="253">
        <f>NETWORKDAYS(P14,Q14,진행현황_전체!C$59:C$77)</f>
        <v>0</v>
      </c>
      <c r="W14" s="135">
        <f t="shared" si="8"/>
        <v>0</v>
      </c>
      <c r="X14" s="136">
        <f t="shared" si="8"/>
        <v>0</v>
      </c>
      <c r="Y14" s="136">
        <f t="shared" si="8"/>
        <v>0</v>
      </c>
      <c r="Z14" s="136">
        <f t="shared" si="8"/>
        <v>0</v>
      </c>
      <c r="AA14" s="137">
        <f t="shared" si="8"/>
        <v>0</v>
      </c>
      <c r="AB14" s="138">
        <f t="shared" si="8"/>
        <v>0</v>
      </c>
      <c r="AC14" s="136">
        <f t="shared" si="8"/>
        <v>0</v>
      </c>
      <c r="AD14" s="136">
        <f t="shared" si="8"/>
        <v>0</v>
      </c>
      <c r="AE14" s="137">
        <f t="shared" si="8"/>
        <v>0</v>
      </c>
      <c r="AF14" s="135">
        <f t="shared" si="8"/>
        <v>0</v>
      </c>
      <c r="AG14" s="136">
        <f t="shared" si="8"/>
        <v>0</v>
      </c>
      <c r="AH14" s="136">
        <f t="shared" si="8"/>
        <v>0</v>
      </c>
      <c r="AI14" s="137">
        <f t="shared" si="8"/>
        <v>0</v>
      </c>
      <c r="AJ14" s="135">
        <f t="shared" si="8"/>
        <v>0</v>
      </c>
      <c r="AK14" s="138">
        <f t="shared" si="8"/>
        <v>0</v>
      </c>
      <c r="AL14" s="136">
        <f t="shared" si="8"/>
        <v>0</v>
      </c>
      <c r="AM14" s="136">
        <f t="shared" si="8"/>
        <v>0</v>
      </c>
      <c r="AN14" s="194">
        <f t="shared" si="8"/>
        <v>0</v>
      </c>
      <c r="AO14" s="138">
        <f t="shared" si="8"/>
        <v>0</v>
      </c>
      <c r="AP14" s="136">
        <f t="shared" si="8"/>
        <v>0</v>
      </c>
      <c r="AQ14" s="136">
        <f t="shared" si="8"/>
        <v>0</v>
      </c>
      <c r="AR14" s="137">
        <f t="shared" si="9"/>
        <v>0</v>
      </c>
      <c r="AS14" s="135">
        <f t="shared" si="9"/>
        <v>0</v>
      </c>
      <c r="AT14" s="136">
        <f t="shared" si="9"/>
        <v>0</v>
      </c>
      <c r="AU14" s="136">
        <f t="shared" si="9"/>
        <v>0</v>
      </c>
      <c r="AV14" s="137">
        <f t="shared" si="9"/>
        <v>0</v>
      </c>
      <c r="AW14" s="135">
        <f t="shared" si="9"/>
        <v>0</v>
      </c>
      <c r="AX14" s="136">
        <f t="shared" si="9"/>
        <v>0</v>
      </c>
      <c r="AY14" s="136">
        <f t="shared" si="9"/>
        <v>0</v>
      </c>
      <c r="AZ14" s="136">
        <f t="shared" si="9"/>
        <v>0</v>
      </c>
      <c r="BA14" s="137">
        <f t="shared" si="9"/>
        <v>0</v>
      </c>
      <c r="BB14" s="138">
        <f t="shared" si="9"/>
        <v>0</v>
      </c>
      <c r="BC14" s="136">
        <f t="shared" si="9"/>
        <v>0</v>
      </c>
      <c r="BD14" s="136">
        <f t="shared" si="9"/>
        <v>0</v>
      </c>
      <c r="BE14" s="137">
        <f t="shared" si="9"/>
        <v>0</v>
      </c>
      <c r="BF14" s="135">
        <f t="shared" si="9"/>
        <v>0</v>
      </c>
      <c r="BG14" s="136">
        <f t="shared" si="9"/>
        <v>0</v>
      </c>
      <c r="BH14" s="136">
        <f t="shared" si="10"/>
        <v>0</v>
      </c>
      <c r="BI14" s="137">
        <f t="shared" si="10"/>
        <v>0</v>
      </c>
      <c r="BJ14" s="138">
        <f t="shared" si="10"/>
        <v>0</v>
      </c>
      <c r="BK14" s="136">
        <f t="shared" si="10"/>
        <v>0</v>
      </c>
      <c r="BL14" s="136">
        <f t="shared" si="10"/>
        <v>0</v>
      </c>
      <c r="BM14" s="136">
        <f t="shared" si="10"/>
        <v>0</v>
      </c>
      <c r="BN14" s="137">
        <f t="shared" si="10"/>
        <v>0</v>
      </c>
      <c r="BO14" s="138">
        <f t="shared" si="10"/>
        <v>0</v>
      </c>
      <c r="BP14" s="136">
        <f t="shared" si="10"/>
        <v>0</v>
      </c>
      <c r="BQ14" s="136">
        <f t="shared" si="10"/>
        <v>0</v>
      </c>
      <c r="BR14" s="137">
        <f t="shared" si="10"/>
        <v>0</v>
      </c>
      <c r="BS14" s="138">
        <f t="shared" si="10"/>
        <v>0</v>
      </c>
      <c r="BT14" s="136">
        <f t="shared" si="10"/>
        <v>0</v>
      </c>
      <c r="BU14" s="136">
        <f t="shared" si="10"/>
        <v>0</v>
      </c>
      <c r="BV14" s="136">
        <f t="shared" si="10"/>
        <v>0</v>
      </c>
      <c r="BW14" s="137">
        <f t="shared" si="10"/>
        <v>0</v>
      </c>
      <c r="BX14" s="138">
        <f t="shared" si="10"/>
        <v>0</v>
      </c>
      <c r="BY14" s="136">
        <f t="shared" si="10"/>
        <v>0</v>
      </c>
      <c r="BZ14" s="136">
        <f t="shared" si="10"/>
        <v>0</v>
      </c>
      <c r="CA14" s="137">
        <f t="shared" si="10"/>
        <v>0</v>
      </c>
      <c r="CB14" s="135">
        <f t="shared" si="10"/>
        <v>0</v>
      </c>
      <c r="CC14" s="136">
        <f t="shared" si="10"/>
        <v>0</v>
      </c>
      <c r="CD14" s="136">
        <f t="shared" si="10"/>
        <v>0</v>
      </c>
      <c r="CE14" s="137">
        <f t="shared" si="10"/>
        <v>0</v>
      </c>
    </row>
    <row r="15" spans="1:83">
      <c r="A15" s="130" t="s">
        <v>60</v>
      </c>
      <c r="B15" s="95"/>
      <c r="C15" s="96"/>
      <c r="D15" s="96"/>
      <c r="E15" s="96"/>
      <c r="F15" s="96"/>
      <c r="G15" s="96"/>
      <c r="H15" s="97"/>
      <c r="I15" s="94">
        <v>10</v>
      </c>
      <c r="J15" s="131">
        <f t="shared" si="4"/>
        <v>1</v>
      </c>
      <c r="K15" s="101">
        <v>0</v>
      </c>
      <c r="L15" s="132">
        <f t="shared" ref="L15:L16" si="15">I15*J15/100</f>
        <v>0.1</v>
      </c>
      <c r="M15" s="132">
        <f t="shared" ref="M15:M16" si="16">I15*K15/100</f>
        <v>0</v>
      </c>
      <c r="N15" s="132">
        <f t="shared" ref="N15:N16" si="17">M15-L15</f>
        <v>-0.1</v>
      </c>
      <c r="O15" s="133" t="str">
        <f t="shared" ref="O15:O16" si="18">IF(AND(K15=0%,N15=0),"",IF(N15&lt;0,"지연",IF(K15=100%,"종료","진행")))</f>
        <v>지연</v>
      </c>
      <c r="P15" s="104"/>
      <c r="Q15" s="104"/>
      <c r="R15" s="104"/>
      <c r="S15" s="104"/>
      <c r="T15" s="94"/>
      <c r="U15" s="134" t="str">
        <f t="shared" si="2"/>
        <v/>
      </c>
      <c r="V15" s="253">
        <f>NETWORKDAYS(P15,Q15,진행현황_전체!C$59:C$77)</f>
        <v>0</v>
      </c>
      <c r="W15" s="135">
        <f t="shared" si="8"/>
        <v>0</v>
      </c>
      <c r="X15" s="136">
        <f t="shared" si="8"/>
        <v>0</v>
      </c>
      <c r="Y15" s="136">
        <f t="shared" si="8"/>
        <v>0</v>
      </c>
      <c r="Z15" s="136">
        <f t="shared" si="8"/>
        <v>0</v>
      </c>
      <c r="AA15" s="137">
        <f t="shared" si="8"/>
        <v>0</v>
      </c>
      <c r="AB15" s="138">
        <f t="shared" si="8"/>
        <v>0</v>
      </c>
      <c r="AC15" s="136">
        <f t="shared" si="8"/>
        <v>0</v>
      </c>
      <c r="AD15" s="136">
        <f t="shared" si="8"/>
        <v>0</v>
      </c>
      <c r="AE15" s="137">
        <f t="shared" si="8"/>
        <v>0</v>
      </c>
      <c r="AF15" s="135">
        <f t="shared" si="8"/>
        <v>0</v>
      </c>
      <c r="AG15" s="136">
        <f t="shared" si="8"/>
        <v>0</v>
      </c>
      <c r="AH15" s="136">
        <f t="shared" si="8"/>
        <v>0</v>
      </c>
      <c r="AI15" s="137">
        <f t="shared" si="8"/>
        <v>0</v>
      </c>
      <c r="AJ15" s="135">
        <f t="shared" si="8"/>
        <v>0</v>
      </c>
      <c r="AK15" s="138">
        <f t="shared" si="8"/>
        <v>0</v>
      </c>
      <c r="AL15" s="136">
        <f t="shared" si="8"/>
        <v>0</v>
      </c>
      <c r="AM15" s="136">
        <f t="shared" si="8"/>
        <v>0</v>
      </c>
      <c r="AN15" s="194">
        <f t="shared" si="8"/>
        <v>0</v>
      </c>
      <c r="AO15" s="138">
        <f t="shared" si="8"/>
        <v>0</v>
      </c>
      <c r="AP15" s="136">
        <f t="shared" si="8"/>
        <v>0</v>
      </c>
      <c r="AQ15" s="136">
        <f t="shared" si="8"/>
        <v>0</v>
      </c>
      <c r="AR15" s="137">
        <f t="shared" si="9"/>
        <v>0</v>
      </c>
      <c r="AS15" s="135">
        <f t="shared" si="9"/>
        <v>0</v>
      </c>
      <c r="AT15" s="136">
        <f t="shared" si="9"/>
        <v>0</v>
      </c>
      <c r="AU15" s="136">
        <f t="shared" si="9"/>
        <v>0</v>
      </c>
      <c r="AV15" s="137">
        <f t="shared" si="9"/>
        <v>0</v>
      </c>
      <c r="AW15" s="135">
        <f t="shared" si="9"/>
        <v>0</v>
      </c>
      <c r="AX15" s="136">
        <f t="shared" si="9"/>
        <v>0</v>
      </c>
      <c r="AY15" s="136">
        <f t="shared" si="9"/>
        <v>0</v>
      </c>
      <c r="AZ15" s="136">
        <f t="shared" si="9"/>
        <v>0</v>
      </c>
      <c r="BA15" s="137">
        <f t="shared" si="9"/>
        <v>0</v>
      </c>
      <c r="BB15" s="138">
        <f t="shared" si="9"/>
        <v>0</v>
      </c>
      <c r="BC15" s="136">
        <f t="shared" si="9"/>
        <v>0</v>
      </c>
      <c r="BD15" s="136">
        <f t="shared" si="9"/>
        <v>0</v>
      </c>
      <c r="BE15" s="137">
        <f t="shared" si="9"/>
        <v>0</v>
      </c>
      <c r="BF15" s="135">
        <f t="shared" si="9"/>
        <v>0</v>
      </c>
      <c r="BG15" s="136">
        <f t="shared" si="9"/>
        <v>0</v>
      </c>
      <c r="BH15" s="136">
        <f t="shared" si="10"/>
        <v>0</v>
      </c>
      <c r="BI15" s="137">
        <f t="shared" si="10"/>
        <v>0</v>
      </c>
      <c r="BJ15" s="138">
        <f t="shared" si="10"/>
        <v>0</v>
      </c>
      <c r="BK15" s="136">
        <f t="shared" si="10"/>
        <v>0</v>
      </c>
      <c r="BL15" s="136">
        <f t="shared" si="10"/>
        <v>0</v>
      </c>
      <c r="BM15" s="136">
        <f t="shared" si="10"/>
        <v>0</v>
      </c>
      <c r="BN15" s="137">
        <f t="shared" si="10"/>
        <v>0</v>
      </c>
      <c r="BO15" s="138">
        <f t="shared" si="10"/>
        <v>0</v>
      </c>
      <c r="BP15" s="136">
        <f t="shared" si="10"/>
        <v>0</v>
      </c>
      <c r="BQ15" s="136">
        <f t="shared" si="10"/>
        <v>0</v>
      </c>
      <c r="BR15" s="137">
        <f t="shared" si="10"/>
        <v>0</v>
      </c>
      <c r="BS15" s="138">
        <f t="shared" si="10"/>
        <v>0</v>
      </c>
      <c r="BT15" s="136">
        <f t="shared" si="10"/>
        <v>0</v>
      </c>
      <c r="BU15" s="136">
        <f t="shared" si="10"/>
        <v>0</v>
      </c>
      <c r="BV15" s="136">
        <f t="shared" si="10"/>
        <v>0</v>
      </c>
      <c r="BW15" s="137">
        <f t="shared" si="10"/>
        <v>0</v>
      </c>
      <c r="BX15" s="138">
        <f t="shared" si="10"/>
        <v>0</v>
      </c>
      <c r="BY15" s="136">
        <f t="shared" si="10"/>
        <v>0</v>
      </c>
      <c r="BZ15" s="136">
        <f t="shared" si="10"/>
        <v>0</v>
      </c>
      <c r="CA15" s="137">
        <f t="shared" si="10"/>
        <v>0</v>
      </c>
      <c r="CB15" s="135">
        <f t="shared" si="10"/>
        <v>0</v>
      </c>
      <c r="CC15" s="136">
        <f t="shared" si="10"/>
        <v>0</v>
      </c>
      <c r="CD15" s="136">
        <f t="shared" si="10"/>
        <v>0</v>
      </c>
      <c r="CE15" s="137">
        <f t="shared" si="10"/>
        <v>0</v>
      </c>
    </row>
    <row r="16" spans="1:83">
      <c r="A16" s="130" t="s">
        <v>61</v>
      </c>
      <c r="B16" s="95"/>
      <c r="C16" s="96"/>
      <c r="D16" s="96"/>
      <c r="E16" s="96"/>
      <c r="F16" s="96"/>
      <c r="G16" s="96"/>
      <c r="H16" s="97"/>
      <c r="I16" s="94">
        <v>10</v>
      </c>
      <c r="J16" s="131">
        <f t="shared" si="4"/>
        <v>1</v>
      </c>
      <c r="K16" s="101">
        <v>0</v>
      </c>
      <c r="L16" s="132">
        <f t="shared" si="15"/>
        <v>0.1</v>
      </c>
      <c r="M16" s="132">
        <f t="shared" si="16"/>
        <v>0</v>
      </c>
      <c r="N16" s="132">
        <f t="shared" si="17"/>
        <v>-0.1</v>
      </c>
      <c r="O16" s="133" t="str">
        <f t="shared" si="18"/>
        <v>지연</v>
      </c>
      <c r="P16" s="104"/>
      <c r="Q16" s="104"/>
      <c r="R16" s="104"/>
      <c r="S16" s="104"/>
      <c r="T16" s="94"/>
      <c r="U16" s="134" t="str">
        <f t="shared" si="2"/>
        <v/>
      </c>
      <c r="V16" s="253">
        <f>NETWORKDAYS(P16,Q16,진행현황_전체!C$59:C$77)</f>
        <v>0</v>
      </c>
      <c r="W16" s="135">
        <f t="shared" si="8"/>
        <v>0</v>
      </c>
      <c r="X16" s="136">
        <f t="shared" si="8"/>
        <v>0</v>
      </c>
      <c r="Y16" s="136">
        <f t="shared" si="8"/>
        <v>0</v>
      </c>
      <c r="Z16" s="136">
        <f t="shared" si="8"/>
        <v>0</v>
      </c>
      <c r="AA16" s="137">
        <f t="shared" si="8"/>
        <v>0</v>
      </c>
      <c r="AB16" s="138">
        <f t="shared" si="8"/>
        <v>0</v>
      </c>
      <c r="AC16" s="136">
        <f t="shared" si="8"/>
        <v>0</v>
      </c>
      <c r="AD16" s="136">
        <f t="shared" si="8"/>
        <v>0</v>
      </c>
      <c r="AE16" s="137">
        <f t="shared" si="8"/>
        <v>0</v>
      </c>
      <c r="AF16" s="135">
        <f t="shared" si="8"/>
        <v>0</v>
      </c>
      <c r="AG16" s="136">
        <f t="shared" si="8"/>
        <v>0</v>
      </c>
      <c r="AH16" s="136">
        <f t="shared" si="8"/>
        <v>0</v>
      </c>
      <c r="AI16" s="137">
        <f t="shared" si="8"/>
        <v>0</v>
      </c>
      <c r="AJ16" s="135">
        <f t="shared" si="8"/>
        <v>0</v>
      </c>
      <c r="AK16" s="138">
        <f t="shared" si="8"/>
        <v>0</v>
      </c>
      <c r="AL16" s="136">
        <f t="shared" si="8"/>
        <v>0</v>
      </c>
      <c r="AM16" s="136">
        <f t="shared" si="8"/>
        <v>0</v>
      </c>
      <c r="AN16" s="194">
        <f t="shared" si="8"/>
        <v>0</v>
      </c>
      <c r="AO16" s="138">
        <f t="shared" si="8"/>
        <v>0</v>
      </c>
      <c r="AP16" s="136">
        <f t="shared" si="8"/>
        <v>0</v>
      </c>
      <c r="AQ16" s="136">
        <f t="shared" si="8"/>
        <v>0</v>
      </c>
      <c r="AR16" s="137">
        <f t="shared" si="9"/>
        <v>0</v>
      </c>
      <c r="AS16" s="135">
        <f t="shared" si="9"/>
        <v>0</v>
      </c>
      <c r="AT16" s="136">
        <f t="shared" si="9"/>
        <v>0</v>
      </c>
      <c r="AU16" s="136">
        <f t="shared" si="9"/>
        <v>0</v>
      </c>
      <c r="AV16" s="137">
        <f t="shared" si="9"/>
        <v>0</v>
      </c>
      <c r="AW16" s="135">
        <f t="shared" si="9"/>
        <v>0</v>
      </c>
      <c r="AX16" s="136">
        <f t="shared" si="9"/>
        <v>0</v>
      </c>
      <c r="AY16" s="136">
        <f t="shared" si="9"/>
        <v>0</v>
      </c>
      <c r="AZ16" s="136">
        <f t="shared" si="9"/>
        <v>0</v>
      </c>
      <c r="BA16" s="137">
        <f t="shared" si="9"/>
        <v>0</v>
      </c>
      <c r="BB16" s="138">
        <f t="shared" si="9"/>
        <v>0</v>
      </c>
      <c r="BC16" s="136">
        <f t="shared" si="9"/>
        <v>0</v>
      </c>
      <c r="BD16" s="136">
        <f t="shared" si="9"/>
        <v>0</v>
      </c>
      <c r="BE16" s="137">
        <f t="shared" si="9"/>
        <v>0</v>
      </c>
      <c r="BF16" s="135">
        <f t="shared" si="9"/>
        <v>0</v>
      </c>
      <c r="BG16" s="136">
        <f t="shared" si="9"/>
        <v>0</v>
      </c>
      <c r="BH16" s="136">
        <f t="shared" si="10"/>
        <v>0</v>
      </c>
      <c r="BI16" s="137">
        <f t="shared" si="10"/>
        <v>0</v>
      </c>
      <c r="BJ16" s="138">
        <f t="shared" si="10"/>
        <v>0</v>
      </c>
      <c r="BK16" s="136">
        <f t="shared" si="10"/>
        <v>0</v>
      </c>
      <c r="BL16" s="136">
        <f t="shared" si="10"/>
        <v>0</v>
      </c>
      <c r="BM16" s="136">
        <f t="shared" si="10"/>
        <v>0</v>
      </c>
      <c r="BN16" s="137">
        <f t="shared" si="10"/>
        <v>0</v>
      </c>
      <c r="BO16" s="138">
        <f t="shared" si="10"/>
        <v>0</v>
      </c>
      <c r="BP16" s="136">
        <f t="shared" si="10"/>
        <v>0</v>
      </c>
      <c r="BQ16" s="136">
        <f t="shared" si="10"/>
        <v>0</v>
      </c>
      <c r="BR16" s="137">
        <f t="shared" si="10"/>
        <v>0</v>
      </c>
      <c r="BS16" s="138">
        <f t="shared" si="10"/>
        <v>0</v>
      </c>
      <c r="BT16" s="136">
        <f t="shared" si="10"/>
        <v>0</v>
      </c>
      <c r="BU16" s="136">
        <f t="shared" si="10"/>
        <v>0</v>
      </c>
      <c r="BV16" s="136">
        <f t="shared" si="10"/>
        <v>0</v>
      </c>
      <c r="BW16" s="137">
        <f t="shared" si="10"/>
        <v>0</v>
      </c>
      <c r="BX16" s="138">
        <f t="shared" si="10"/>
        <v>0</v>
      </c>
      <c r="BY16" s="136">
        <f t="shared" si="10"/>
        <v>0</v>
      </c>
      <c r="BZ16" s="136">
        <f t="shared" si="10"/>
        <v>0</v>
      </c>
      <c r="CA16" s="137">
        <f t="shared" si="10"/>
        <v>0</v>
      </c>
      <c r="CB16" s="135">
        <f t="shared" si="10"/>
        <v>0</v>
      </c>
      <c r="CC16" s="136">
        <f t="shared" si="10"/>
        <v>0</v>
      </c>
      <c r="CD16" s="136">
        <f t="shared" si="10"/>
        <v>0</v>
      </c>
      <c r="CE16" s="137">
        <f t="shared" si="10"/>
        <v>0</v>
      </c>
    </row>
    <row r="17" spans="1:83">
      <c r="A17" s="130" t="s">
        <v>62</v>
      </c>
      <c r="B17" s="95"/>
      <c r="C17" s="96"/>
      <c r="D17" s="96"/>
      <c r="E17" s="96"/>
      <c r="F17" s="96"/>
      <c r="G17" s="96"/>
      <c r="H17" s="97"/>
      <c r="I17" s="94">
        <v>10</v>
      </c>
      <c r="J17" s="131">
        <f t="shared" si="4"/>
        <v>1</v>
      </c>
      <c r="K17" s="101">
        <v>0</v>
      </c>
      <c r="L17" s="132">
        <f t="shared" ref="L17" si="19">I17*J17/100</f>
        <v>0.1</v>
      </c>
      <c r="M17" s="132">
        <f t="shared" ref="M17" si="20">I17*K17/100</f>
        <v>0</v>
      </c>
      <c r="N17" s="132">
        <f t="shared" ref="N17" si="21">M17-L17</f>
        <v>-0.1</v>
      </c>
      <c r="O17" s="133" t="str">
        <f t="shared" ref="O17" si="22">IF(AND(K17=0%,N17=0),"",IF(N17&lt;0,"지연",IF(K17=100%,"종료","진행")))</f>
        <v>지연</v>
      </c>
      <c r="P17" s="104"/>
      <c r="Q17" s="104"/>
      <c r="R17" s="104"/>
      <c r="S17" s="104"/>
      <c r="T17" s="94"/>
      <c r="U17" s="134" t="str">
        <f t="shared" si="2"/>
        <v/>
      </c>
      <c r="V17" s="253">
        <f>NETWORKDAYS(P17,Q17,진행현황_전체!C$59:C$77)</f>
        <v>0</v>
      </c>
      <c r="W17" s="135">
        <f t="shared" si="8"/>
        <v>0</v>
      </c>
      <c r="X17" s="136">
        <f t="shared" si="8"/>
        <v>0</v>
      </c>
      <c r="Y17" s="136">
        <f t="shared" si="8"/>
        <v>0</v>
      </c>
      <c r="Z17" s="136">
        <f t="shared" si="8"/>
        <v>0</v>
      </c>
      <c r="AA17" s="137">
        <f t="shared" si="8"/>
        <v>0</v>
      </c>
      <c r="AB17" s="138">
        <f t="shared" si="8"/>
        <v>0</v>
      </c>
      <c r="AC17" s="136">
        <f t="shared" si="8"/>
        <v>0</v>
      </c>
      <c r="AD17" s="136">
        <f t="shared" si="8"/>
        <v>0</v>
      </c>
      <c r="AE17" s="137">
        <f t="shared" si="8"/>
        <v>0</v>
      </c>
      <c r="AF17" s="135">
        <f t="shared" si="8"/>
        <v>0</v>
      </c>
      <c r="AG17" s="136">
        <f t="shared" si="8"/>
        <v>0</v>
      </c>
      <c r="AH17" s="136">
        <f t="shared" si="8"/>
        <v>0</v>
      </c>
      <c r="AI17" s="137">
        <f t="shared" si="8"/>
        <v>0</v>
      </c>
      <c r="AJ17" s="135">
        <f t="shared" si="8"/>
        <v>0</v>
      </c>
      <c r="AK17" s="138">
        <f t="shared" si="8"/>
        <v>0</v>
      </c>
      <c r="AL17" s="136">
        <f t="shared" si="8"/>
        <v>0</v>
      </c>
      <c r="AM17" s="136">
        <f t="shared" si="8"/>
        <v>0</v>
      </c>
      <c r="AN17" s="194">
        <f t="shared" si="8"/>
        <v>0</v>
      </c>
      <c r="AO17" s="138">
        <f t="shared" si="8"/>
        <v>0</v>
      </c>
      <c r="AP17" s="136">
        <f t="shared" si="8"/>
        <v>0</v>
      </c>
      <c r="AQ17" s="136">
        <f t="shared" si="8"/>
        <v>0</v>
      </c>
      <c r="AR17" s="137">
        <f t="shared" si="9"/>
        <v>0</v>
      </c>
      <c r="AS17" s="135">
        <f t="shared" si="9"/>
        <v>0</v>
      </c>
      <c r="AT17" s="136">
        <f t="shared" si="9"/>
        <v>0</v>
      </c>
      <c r="AU17" s="136">
        <f t="shared" si="9"/>
        <v>0</v>
      </c>
      <c r="AV17" s="137">
        <f t="shared" si="9"/>
        <v>0</v>
      </c>
      <c r="AW17" s="135">
        <f t="shared" si="9"/>
        <v>0</v>
      </c>
      <c r="AX17" s="136">
        <f t="shared" si="9"/>
        <v>0</v>
      </c>
      <c r="AY17" s="136">
        <f t="shared" si="9"/>
        <v>0</v>
      </c>
      <c r="AZ17" s="136">
        <f t="shared" si="9"/>
        <v>0</v>
      </c>
      <c r="BA17" s="137">
        <f t="shared" si="9"/>
        <v>0</v>
      </c>
      <c r="BB17" s="138">
        <f t="shared" si="9"/>
        <v>0</v>
      </c>
      <c r="BC17" s="136">
        <f t="shared" si="9"/>
        <v>0</v>
      </c>
      <c r="BD17" s="136">
        <f t="shared" si="9"/>
        <v>0</v>
      </c>
      <c r="BE17" s="137">
        <f t="shared" si="9"/>
        <v>0</v>
      </c>
      <c r="BF17" s="135">
        <f t="shared" si="9"/>
        <v>0</v>
      </c>
      <c r="BG17" s="136">
        <f t="shared" si="9"/>
        <v>0</v>
      </c>
      <c r="BH17" s="136">
        <f t="shared" si="10"/>
        <v>0</v>
      </c>
      <c r="BI17" s="137">
        <f t="shared" si="10"/>
        <v>0</v>
      </c>
      <c r="BJ17" s="138">
        <f t="shared" si="10"/>
        <v>0</v>
      </c>
      <c r="BK17" s="136">
        <f t="shared" si="10"/>
        <v>0</v>
      </c>
      <c r="BL17" s="136">
        <f t="shared" si="10"/>
        <v>0</v>
      </c>
      <c r="BM17" s="136">
        <f t="shared" si="10"/>
        <v>0</v>
      </c>
      <c r="BN17" s="137">
        <f t="shared" si="10"/>
        <v>0</v>
      </c>
      <c r="BO17" s="138">
        <f t="shared" si="10"/>
        <v>0</v>
      </c>
      <c r="BP17" s="136">
        <f t="shared" si="10"/>
        <v>0</v>
      </c>
      <c r="BQ17" s="136">
        <f t="shared" si="10"/>
        <v>0</v>
      </c>
      <c r="BR17" s="137">
        <f t="shared" si="10"/>
        <v>0</v>
      </c>
      <c r="BS17" s="138">
        <f t="shared" si="10"/>
        <v>0</v>
      </c>
      <c r="BT17" s="136">
        <f t="shared" si="10"/>
        <v>0</v>
      </c>
      <c r="BU17" s="136">
        <f t="shared" si="10"/>
        <v>0</v>
      </c>
      <c r="BV17" s="136">
        <f t="shared" si="10"/>
        <v>0</v>
      </c>
      <c r="BW17" s="137">
        <f t="shared" si="10"/>
        <v>0</v>
      </c>
      <c r="BX17" s="138">
        <f t="shared" si="10"/>
        <v>0</v>
      </c>
      <c r="BY17" s="136">
        <f t="shared" si="10"/>
        <v>0</v>
      </c>
      <c r="BZ17" s="136">
        <f t="shared" si="10"/>
        <v>0</v>
      </c>
      <c r="CA17" s="137">
        <f t="shared" si="10"/>
        <v>0</v>
      </c>
      <c r="CB17" s="135">
        <f t="shared" si="10"/>
        <v>0</v>
      </c>
      <c r="CC17" s="136">
        <f t="shared" si="10"/>
        <v>0</v>
      </c>
      <c r="CD17" s="136">
        <f t="shared" si="10"/>
        <v>0</v>
      </c>
      <c r="CE17" s="137">
        <f t="shared" si="10"/>
        <v>0</v>
      </c>
    </row>
    <row r="18" spans="1:83">
      <c r="A18" s="130" t="s">
        <v>63</v>
      </c>
      <c r="B18" s="95"/>
      <c r="C18" s="96"/>
      <c r="D18" s="96"/>
      <c r="E18" s="96"/>
      <c r="F18" s="96"/>
      <c r="G18" s="96"/>
      <c r="H18" s="97"/>
      <c r="I18" s="94">
        <v>10</v>
      </c>
      <c r="J18" s="131">
        <f t="shared" si="4"/>
        <v>1</v>
      </c>
      <c r="K18" s="101">
        <v>0</v>
      </c>
      <c r="L18" s="132">
        <f t="shared" si="11"/>
        <v>0.1</v>
      </c>
      <c r="M18" s="132">
        <f t="shared" si="12"/>
        <v>0</v>
      </c>
      <c r="N18" s="132">
        <f t="shared" si="13"/>
        <v>-0.1</v>
      </c>
      <c r="O18" s="133" t="str">
        <f t="shared" si="14"/>
        <v>지연</v>
      </c>
      <c r="P18" s="104"/>
      <c r="Q18" s="104"/>
      <c r="R18" s="104"/>
      <c r="S18" s="104"/>
      <c r="T18" s="94"/>
      <c r="U18" s="134" t="str">
        <f t="shared" si="2"/>
        <v/>
      </c>
      <c r="V18" s="253">
        <f>NETWORKDAYS(P18,Q18,진행현황_전체!C$59:C$77)</f>
        <v>0</v>
      </c>
      <c r="W18" s="135">
        <f t="shared" si="8"/>
        <v>0</v>
      </c>
      <c r="X18" s="136">
        <f t="shared" si="8"/>
        <v>0</v>
      </c>
      <c r="Y18" s="136">
        <f t="shared" si="8"/>
        <v>0</v>
      </c>
      <c r="Z18" s="136">
        <f t="shared" si="8"/>
        <v>0</v>
      </c>
      <c r="AA18" s="137">
        <f t="shared" si="8"/>
        <v>0</v>
      </c>
      <c r="AB18" s="138">
        <f t="shared" si="8"/>
        <v>0</v>
      </c>
      <c r="AC18" s="136">
        <f t="shared" si="8"/>
        <v>0</v>
      </c>
      <c r="AD18" s="136">
        <f t="shared" si="8"/>
        <v>0</v>
      </c>
      <c r="AE18" s="137">
        <f t="shared" si="8"/>
        <v>0</v>
      </c>
      <c r="AF18" s="135">
        <f t="shared" si="8"/>
        <v>0</v>
      </c>
      <c r="AG18" s="136">
        <f t="shared" si="8"/>
        <v>0</v>
      </c>
      <c r="AH18" s="136">
        <f t="shared" si="8"/>
        <v>0</v>
      </c>
      <c r="AI18" s="137">
        <f t="shared" si="8"/>
        <v>0</v>
      </c>
      <c r="AJ18" s="135">
        <f t="shared" si="8"/>
        <v>0</v>
      </c>
      <c r="AK18" s="138">
        <f t="shared" si="8"/>
        <v>0</v>
      </c>
      <c r="AL18" s="136">
        <f t="shared" si="8"/>
        <v>0</v>
      </c>
      <c r="AM18" s="136">
        <f t="shared" si="8"/>
        <v>0</v>
      </c>
      <c r="AN18" s="194">
        <f t="shared" si="8"/>
        <v>0</v>
      </c>
      <c r="AO18" s="138">
        <f t="shared" si="8"/>
        <v>0</v>
      </c>
      <c r="AP18" s="136">
        <f t="shared" si="8"/>
        <v>0</v>
      </c>
      <c r="AQ18" s="136">
        <f t="shared" si="8"/>
        <v>0</v>
      </c>
      <c r="AR18" s="137">
        <f t="shared" si="9"/>
        <v>0</v>
      </c>
      <c r="AS18" s="135">
        <f t="shared" si="9"/>
        <v>0</v>
      </c>
      <c r="AT18" s="136">
        <f t="shared" si="9"/>
        <v>0</v>
      </c>
      <c r="AU18" s="136">
        <f t="shared" si="9"/>
        <v>0</v>
      </c>
      <c r="AV18" s="137">
        <f t="shared" si="9"/>
        <v>0</v>
      </c>
      <c r="AW18" s="135">
        <f t="shared" si="9"/>
        <v>0</v>
      </c>
      <c r="AX18" s="136">
        <f t="shared" si="9"/>
        <v>0</v>
      </c>
      <c r="AY18" s="136">
        <f t="shared" si="9"/>
        <v>0</v>
      </c>
      <c r="AZ18" s="136">
        <f t="shared" si="9"/>
        <v>0</v>
      </c>
      <c r="BA18" s="137">
        <f t="shared" si="9"/>
        <v>0</v>
      </c>
      <c r="BB18" s="138">
        <f t="shared" si="9"/>
        <v>0</v>
      </c>
      <c r="BC18" s="136">
        <f t="shared" si="9"/>
        <v>0</v>
      </c>
      <c r="BD18" s="136">
        <f t="shared" si="9"/>
        <v>0</v>
      </c>
      <c r="BE18" s="137">
        <f t="shared" si="9"/>
        <v>0</v>
      </c>
      <c r="BF18" s="135">
        <f t="shared" si="9"/>
        <v>0</v>
      </c>
      <c r="BG18" s="136">
        <f t="shared" si="9"/>
        <v>0</v>
      </c>
      <c r="BH18" s="136">
        <f t="shared" si="10"/>
        <v>0</v>
      </c>
      <c r="BI18" s="137">
        <f t="shared" si="10"/>
        <v>0</v>
      </c>
      <c r="BJ18" s="138">
        <f t="shared" si="10"/>
        <v>0</v>
      </c>
      <c r="BK18" s="136">
        <f t="shared" si="10"/>
        <v>0</v>
      </c>
      <c r="BL18" s="136">
        <f t="shared" si="10"/>
        <v>0</v>
      </c>
      <c r="BM18" s="136">
        <f t="shared" si="10"/>
        <v>0</v>
      </c>
      <c r="BN18" s="137">
        <f t="shared" si="10"/>
        <v>0</v>
      </c>
      <c r="BO18" s="138">
        <f t="shared" si="10"/>
        <v>0</v>
      </c>
      <c r="BP18" s="136">
        <f t="shared" si="10"/>
        <v>0</v>
      </c>
      <c r="BQ18" s="136">
        <f t="shared" si="10"/>
        <v>0</v>
      </c>
      <c r="BR18" s="137">
        <f t="shared" si="10"/>
        <v>0</v>
      </c>
      <c r="BS18" s="138">
        <f t="shared" si="10"/>
        <v>0</v>
      </c>
      <c r="BT18" s="136">
        <f t="shared" si="10"/>
        <v>0</v>
      </c>
      <c r="BU18" s="136">
        <f t="shared" si="10"/>
        <v>0</v>
      </c>
      <c r="BV18" s="136">
        <f t="shared" si="10"/>
        <v>0</v>
      </c>
      <c r="BW18" s="137">
        <f t="shared" si="10"/>
        <v>0</v>
      </c>
      <c r="BX18" s="138">
        <f t="shared" si="10"/>
        <v>0</v>
      </c>
      <c r="BY18" s="136">
        <f t="shared" si="10"/>
        <v>0</v>
      </c>
      <c r="BZ18" s="136">
        <f t="shared" si="10"/>
        <v>0</v>
      </c>
      <c r="CA18" s="137">
        <f t="shared" si="10"/>
        <v>0</v>
      </c>
      <c r="CB18" s="135">
        <f t="shared" si="10"/>
        <v>0</v>
      </c>
      <c r="CC18" s="136">
        <f t="shared" si="10"/>
        <v>0</v>
      </c>
      <c r="CD18" s="136">
        <f t="shared" si="10"/>
        <v>0</v>
      </c>
      <c r="CE18" s="137">
        <f t="shared" si="10"/>
        <v>0</v>
      </c>
    </row>
    <row r="19" spans="1:83">
      <c r="A19" s="130" t="s">
        <v>64</v>
      </c>
      <c r="B19" s="95"/>
      <c r="C19" s="96"/>
      <c r="D19" s="96"/>
      <c r="E19" s="96"/>
      <c r="F19" s="96"/>
      <c r="G19" s="96"/>
      <c r="H19" s="97"/>
      <c r="I19" s="94">
        <v>10</v>
      </c>
      <c r="J19" s="131">
        <f t="shared" si="4"/>
        <v>1</v>
      </c>
      <c r="K19" s="101">
        <v>0</v>
      </c>
      <c r="L19" s="132">
        <f t="shared" si="11"/>
        <v>0.1</v>
      </c>
      <c r="M19" s="132">
        <f t="shared" si="12"/>
        <v>0</v>
      </c>
      <c r="N19" s="132">
        <f t="shared" si="13"/>
        <v>-0.1</v>
      </c>
      <c r="O19" s="133" t="str">
        <f t="shared" si="14"/>
        <v>지연</v>
      </c>
      <c r="P19" s="104"/>
      <c r="Q19" s="104"/>
      <c r="R19" s="104"/>
      <c r="S19" s="104"/>
      <c r="T19" s="94"/>
      <c r="U19" s="134" t="str">
        <f t="shared" si="2"/>
        <v/>
      </c>
      <c r="V19" s="253">
        <f>NETWORKDAYS(P19,Q19,진행현황_전체!C$59:C$77)</f>
        <v>0</v>
      </c>
      <c r="W19" s="135">
        <f t="shared" si="8"/>
        <v>0</v>
      </c>
      <c r="X19" s="136">
        <f t="shared" si="8"/>
        <v>0</v>
      </c>
      <c r="Y19" s="136">
        <f t="shared" si="8"/>
        <v>0</v>
      </c>
      <c r="Z19" s="136">
        <f t="shared" si="8"/>
        <v>0</v>
      </c>
      <c r="AA19" s="137">
        <f t="shared" si="8"/>
        <v>0</v>
      </c>
      <c r="AB19" s="138">
        <f t="shared" si="8"/>
        <v>0</v>
      </c>
      <c r="AC19" s="136">
        <f t="shared" si="8"/>
        <v>0</v>
      </c>
      <c r="AD19" s="136">
        <f t="shared" si="8"/>
        <v>0</v>
      </c>
      <c r="AE19" s="137">
        <f t="shared" si="8"/>
        <v>0</v>
      </c>
      <c r="AF19" s="135">
        <f t="shared" si="8"/>
        <v>0</v>
      </c>
      <c r="AG19" s="136">
        <f t="shared" si="8"/>
        <v>0</v>
      </c>
      <c r="AH19" s="136">
        <f t="shared" si="8"/>
        <v>0</v>
      </c>
      <c r="AI19" s="137">
        <f t="shared" si="8"/>
        <v>0</v>
      </c>
      <c r="AJ19" s="135">
        <f t="shared" si="8"/>
        <v>0</v>
      </c>
      <c r="AK19" s="138">
        <f t="shared" si="8"/>
        <v>0</v>
      </c>
      <c r="AL19" s="136">
        <f t="shared" si="8"/>
        <v>0</v>
      </c>
      <c r="AM19" s="136">
        <f t="shared" si="8"/>
        <v>0</v>
      </c>
      <c r="AN19" s="194">
        <f t="shared" si="8"/>
        <v>0</v>
      </c>
      <c r="AO19" s="138">
        <f t="shared" si="8"/>
        <v>0</v>
      </c>
      <c r="AP19" s="136">
        <f t="shared" si="8"/>
        <v>0</v>
      </c>
      <c r="AQ19" s="136">
        <f t="shared" si="8"/>
        <v>0</v>
      </c>
      <c r="AR19" s="137">
        <f t="shared" si="9"/>
        <v>0</v>
      </c>
      <c r="AS19" s="135">
        <f t="shared" si="9"/>
        <v>0</v>
      </c>
      <c r="AT19" s="136">
        <f t="shared" si="9"/>
        <v>0</v>
      </c>
      <c r="AU19" s="136">
        <f t="shared" si="9"/>
        <v>0</v>
      </c>
      <c r="AV19" s="137">
        <f t="shared" si="9"/>
        <v>0</v>
      </c>
      <c r="AW19" s="135">
        <f t="shared" si="9"/>
        <v>0</v>
      </c>
      <c r="AX19" s="136">
        <f t="shared" si="9"/>
        <v>0</v>
      </c>
      <c r="AY19" s="136">
        <f t="shared" si="9"/>
        <v>0</v>
      </c>
      <c r="AZ19" s="136">
        <f t="shared" si="9"/>
        <v>0</v>
      </c>
      <c r="BA19" s="137">
        <f t="shared" si="9"/>
        <v>0</v>
      </c>
      <c r="BB19" s="138">
        <f t="shared" si="9"/>
        <v>0</v>
      </c>
      <c r="BC19" s="136">
        <f t="shared" si="9"/>
        <v>0</v>
      </c>
      <c r="BD19" s="136">
        <f t="shared" si="9"/>
        <v>0</v>
      </c>
      <c r="BE19" s="137">
        <f t="shared" si="9"/>
        <v>0</v>
      </c>
      <c r="BF19" s="135">
        <f t="shared" si="9"/>
        <v>0</v>
      </c>
      <c r="BG19" s="136">
        <f t="shared" si="9"/>
        <v>0</v>
      </c>
      <c r="BH19" s="136">
        <f t="shared" si="10"/>
        <v>0</v>
      </c>
      <c r="BI19" s="137">
        <f t="shared" si="10"/>
        <v>0</v>
      </c>
      <c r="BJ19" s="138">
        <f t="shared" si="10"/>
        <v>0</v>
      </c>
      <c r="BK19" s="136">
        <f t="shared" si="10"/>
        <v>0</v>
      </c>
      <c r="BL19" s="136">
        <f t="shared" si="10"/>
        <v>0</v>
      </c>
      <c r="BM19" s="136">
        <f t="shared" si="10"/>
        <v>0</v>
      </c>
      <c r="BN19" s="137">
        <f t="shared" si="10"/>
        <v>0</v>
      </c>
      <c r="BO19" s="138">
        <f t="shared" si="10"/>
        <v>0</v>
      </c>
      <c r="BP19" s="136">
        <f t="shared" si="10"/>
        <v>0</v>
      </c>
      <c r="BQ19" s="136">
        <f t="shared" si="10"/>
        <v>0</v>
      </c>
      <c r="BR19" s="137">
        <f t="shared" si="10"/>
        <v>0</v>
      </c>
      <c r="BS19" s="138">
        <f t="shared" si="10"/>
        <v>0</v>
      </c>
      <c r="BT19" s="136">
        <f t="shared" si="10"/>
        <v>0</v>
      </c>
      <c r="BU19" s="136">
        <f t="shared" si="10"/>
        <v>0</v>
      </c>
      <c r="BV19" s="136">
        <f t="shared" si="10"/>
        <v>0</v>
      </c>
      <c r="BW19" s="137">
        <f t="shared" si="10"/>
        <v>0</v>
      </c>
      <c r="BX19" s="138">
        <f t="shared" si="10"/>
        <v>0</v>
      </c>
      <c r="BY19" s="136">
        <f t="shared" si="10"/>
        <v>0</v>
      </c>
      <c r="BZ19" s="136">
        <f t="shared" si="10"/>
        <v>0</v>
      </c>
      <c r="CA19" s="137">
        <f t="shared" si="10"/>
        <v>0</v>
      </c>
      <c r="CB19" s="135">
        <f t="shared" si="10"/>
        <v>0</v>
      </c>
      <c r="CC19" s="136">
        <f t="shared" si="10"/>
        <v>0</v>
      </c>
      <c r="CD19" s="136">
        <f t="shared" si="10"/>
        <v>0</v>
      </c>
      <c r="CE19" s="137">
        <f t="shared" si="10"/>
        <v>0</v>
      </c>
    </row>
    <row r="20" spans="1:83" ht="17.25" thickBot="1">
      <c r="A20" s="130" t="s">
        <v>65</v>
      </c>
      <c r="B20" s="95"/>
      <c r="C20" s="96"/>
      <c r="D20" s="96"/>
      <c r="E20" s="96"/>
      <c r="F20" s="96"/>
      <c r="G20" s="96"/>
      <c r="H20" s="97"/>
      <c r="I20" s="94">
        <v>10</v>
      </c>
      <c r="J20" s="131">
        <f t="shared" si="4"/>
        <v>1</v>
      </c>
      <c r="K20" s="101">
        <v>0</v>
      </c>
      <c r="L20" s="132">
        <f t="shared" si="5"/>
        <v>0.1</v>
      </c>
      <c r="M20" s="132">
        <f t="shared" si="6"/>
        <v>0</v>
      </c>
      <c r="N20" s="132">
        <f t="shared" si="3"/>
        <v>-0.1</v>
      </c>
      <c r="O20" s="133" t="str">
        <f t="shared" si="7"/>
        <v>지연</v>
      </c>
      <c r="P20" s="104"/>
      <c r="Q20" s="104"/>
      <c r="R20" s="104"/>
      <c r="S20" s="104"/>
      <c r="T20" s="94"/>
      <c r="U20" s="134" t="str">
        <f t="shared" si="2"/>
        <v/>
      </c>
      <c r="V20" s="253">
        <f>NETWORKDAYS(P20,Q20,진행현황_전체!C$59:C$77)</f>
        <v>0</v>
      </c>
      <c r="W20" s="135">
        <f t="shared" si="8"/>
        <v>0</v>
      </c>
      <c r="X20" s="136">
        <f t="shared" si="8"/>
        <v>0</v>
      </c>
      <c r="Y20" s="136">
        <f t="shared" si="8"/>
        <v>0</v>
      </c>
      <c r="Z20" s="136">
        <f t="shared" si="8"/>
        <v>0</v>
      </c>
      <c r="AA20" s="137">
        <f t="shared" si="8"/>
        <v>0</v>
      </c>
      <c r="AB20" s="138">
        <f t="shared" si="8"/>
        <v>0</v>
      </c>
      <c r="AC20" s="136">
        <f t="shared" si="8"/>
        <v>0</v>
      </c>
      <c r="AD20" s="136">
        <f t="shared" si="8"/>
        <v>0</v>
      </c>
      <c r="AE20" s="137">
        <f t="shared" si="8"/>
        <v>0</v>
      </c>
      <c r="AF20" s="135">
        <f t="shared" si="8"/>
        <v>0</v>
      </c>
      <c r="AG20" s="136">
        <f t="shared" si="8"/>
        <v>0</v>
      </c>
      <c r="AH20" s="136">
        <f t="shared" si="8"/>
        <v>0</v>
      </c>
      <c r="AI20" s="137">
        <f t="shared" si="8"/>
        <v>0</v>
      </c>
      <c r="AJ20" s="135">
        <f t="shared" si="8"/>
        <v>0</v>
      </c>
      <c r="AK20" s="138">
        <f t="shared" si="8"/>
        <v>0</v>
      </c>
      <c r="AL20" s="136">
        <f t="shared" si="8"/>
        <v>0</v>
      </c>
      <c r="AM20" s="136">
        <f t="shared" si="8"/>
        <v>0</v>
      </c>
      <c r="AN20" s="194">
        <f t="shared" si="8"/>
        <v>0</v>
      </c>
      <c r="AO20" s="138">
        <f t="shared" si="8"/>
        <v>0</v>
      </c>
      <c r="AP20" s="136">
        <f t="shared" si="8"/>
        <v>0</v>
      </c>
      <c r="AQ20" s="136">
        <f t="shared" si="8"/>
        <v>0</v>
      </c>
      <c r="AR20" s="137">
        <f t="shared" si="9"/>
        <v>0</v>
      </c>
      <c r="AS20" s="135">
        <f t="shared" si="9"/>
        <v>0</v>
      </c>
      <c r="AT20" s="136">
        <f t="shared" si="9"/>
        <v>0</v>
      </c>
      <c r="AU20" s="136">
        <f t="shared" si="9"/>
        <v>0</v>
      </c>
      <c r="AV20" s="137">
        <f t="shared" si="9"/>
        <v>0</v>
      </c>
      <c r="AW20" s="135">
        <f t="shared" si="9"/>
        <v>0</v>
      </c>
      <c r="AX20" s="136">
        <f t="shared" si="9"/>
        <v>0</v>
      </c>
      <c r="AY20" s="136">
        <f t="shared" si="9"/>
        <v>0</v>
      </c>
      <c r="AZ20" s="136">
        <f t="shared" si="9"/>
        <v>0</v>
      </c>
      <c r="BA20" s="137">
        <f t="shared" si="9"/>
        <v>0</v>
      </c>
      <c r="BB20" s="138">
        <f t="shared" si="9"/>
        <v>0</v>
      </c>
      <c r="BC20" s="136">
        <f t="shared" si="9"/>
        <v>0</v>
      </c>
      <c r="BD20" s="136">
        <f t="shared" si="9"/>
        <v>0</v>
      </c>
      <c r="BE20" s="137">
        <f t="shared" si="9"/>
        <v>0</v>
      </c>
      <c r="BF20" s="135">
        <f t="shared" si="9"/>
        <v>0</v>
      </c>
      <c r="BG20" s="136">
        <f t="shared" si="9"/>
        <v>0</v>
      </c>
      <c r="BH20" s="136">
        <f t="shared" si="10"/>
        <v>0</v>
      </c>
      <c r="BI20" s="137">
        <f t="shared" si="10"/>
        <v>0</v>
      </c>
      <c r="BJ20" s="138">
        <f t="shared" si="10"/>
        <v>0</v>
      </c>
      <c r="BK20" s="136">
        <f t="shared" si="10"/>
        <v>0</v>
      </c>
      <c r="BL20" s="136">
        <f t="shared" si="10"/>
        <v>0</v>
      </c>
      <c r="BM20" s="136">
        <f t="shared" si="10"/>
        <v>0</v>
      </c>
      <c r="BN20" s="137">
        <f t="shared" si="10"/>
        <v>0</v>
      </c>
      <c r="BO20" s="138">
        <f t="shared" si="10"/>
        <v>0</v>
      </c>
      <c r="BP20" s="136">
        <f t="shared" si="10"/>
        <v>0</v>
      </c>
      <c r="BQ20" s="136">
        <f t="shared" si="10"/>
        <v>0</v>
      </c>
      <c r="BR20" s="137">
        <f t="shared" si="10"/>
        <v>0</v>
      </c>
      <c r="BS20" s="138">
        <f t="shared" si="10"/>
        <v>0</v>
      </c>
      <c r="BT20" s="136">
        <f t="shared" si="10"/>
        <v>0</v>
      </c>
      <c r="BU20" s="136">
        <f t="shared" si="10"/>
        <v>0</v>
      </c>
      <c r="BV20" s="136">
        <f t="shared" si="10"/>
        <v>0</v>
      </c>
      <c r="BW20" s="137">
        <f t="shared" si="10"/>
        <v>0</v>
      </c>
      <c r="BX20" s="138">
        <f t="shared" si="10"/>
        <v>0</v>
      </c>
      <c r="BY20" s="136">
        <f t="shared" si="10"/>
        <v>0</v>
      </c>
      <c r="BZ20" s="136">
        <f t="shared" si="10"/>
        <v>0</v>
      </c>
      <c r="CA20" s="137">
        <f t="shared" si="10"/>
        <v>0</v>
      </c>
      <c r="CB20" s="135">
        <f t="shared" si="10"/>
        <v>0</v>
      </c>
      <c r="CC20" s="136">
        <f t="shared" si="10"/>
        <v>0</v>
      </c>
      <c r="CD20" s="136">
        <f t="shared" si="10"/>
        <v>0</v>
      </c>
      <c r="CE20" s="137">
        <f t="shared" si="10"/>
        <v>0</v>
      </c>
    </row>
    <row r="21" spans="1:83" ht="17.25" thickBot="1">
      <c r="A21" s="139" t="s">
        <v>76</v>
      </c>
      <c r="B21" s="114" t="str">
        <f>진행현황_템플릿!C15</f>
        <v>단계2</v>
      </c>
      <c r="C21" s="115"/>
      <c r="D21" s="115"/>
      <c r="E21" s="115"/>
      <c r="F21" s="115"/>
      <c r="G21" s="115"/>
      <c r="H21" s="116">
        <f>SUM(I22:I31)</f>
        <v>100</v>
      </c>
      <c r="I21" s="117">
        <f>진행현황_템플릿!C16</f>
        <v>15</v>
      </c>
      <c r="J21" s="118">
        <f>SUM(L22:L31)</f>
        <v>0.99999999999999989</v>
      </c>
      <c r="K21" s="119">
        <f>SUM(M22:M31)</f>
        <v>0</v>
      </c>
      <c r="L21" s="120">
        <f>SUM(L22:L31)*I21</f>
        <v>14.999999999999998</v>
      </c>
      <c r="M21" s="120">
        <f>SUM(M22:M31)*I21</f>
        <v>0</v>
      </c>
      <c r="N21" s="120">
        <f t="shared" si="3"/>
        <v>-14.999999999999998</v>
      </c>
      <c r="O21" s="121"/>
      <c r="P21" s="122">
        <f>MIN(P22:P31)</f>
        <v>0</v>
      </c>
      <c r="Q21" s="122">
        <f>MAX(Q22:Q31)</f>
        <v>0</v>
      </c>
      <c r="R21" s="122">
        <f>MIN(R22:R31)</f>
        <v>0</v>
      </c>
      <c r="S21" s="122">
        <f>MAX(S22:S31)</f>
        <v>0</v>
      </c>
      <c r="T21" s="113"/>
      <c r="U21" s="123" t="str">
        <f t="shared" si="2"/>
        <v/>
      </c>
      <c r="V21" s="124">
        <f>NETWORKDAYS(P21,Q21,진행현황_전체!C$59:C$77)</f>
        <v>0</v>
      </c>
      <c r="W21" s="125"/>
      <c r="X21" s="126"/>
      <c r="Y21" s="126"/>
      <c r="Z21" s="126"/>
      <c r="AA21" s="127"/>
      <c r="AB21" s="129"/>
      <c r="AC21" s="126"/>
      <c r="AD21" s="126"/>
      <c r="AE21" s="127"/>
      <c r="AF21" s="128"/>
      <c r="AG21" s="126"/>
      <c r="AH21" s="126"/>
      <c r="AI21" s="127"/>
      <c r="AJ21" s="128"/>
      <c r="AK21" s="129"/>
      <c r="AL21" s="126"/>
      <c r="AM21" s="126"/>
      <c r="AN21" s="193"/>
      <c r="AO21" s="129"/>
      <c r="AP21" s="126"/>
      <c r="AQ21" s="126"/>
      <c r="AR21" s="127"/>
      <c r="AS21" s="128"/>
      <c r="AT21" s="126"/>
      <c r="AU21" s="126"/>
      <c r="AV21" s="127"/>
      <c r="AW21" s="125"/>
      <c r="AX21" s="126"/>
      <c r="AY21" s="126"/>
      <c r="AZ21" s="126"/>
      <c r="BA21" s="127"/>
      <c r="BB21" s="129"/>
      <c r="BC21" s="126"/>
      <c r="BD21" s="126"/>
      <c r="BE21" s="127"/>
      <c r="BF21" s="128"/>
      <c r="BG21" s="126"/>
      <c r="BH21" s="126"/>
      <c r="BI21" s="127"/>
      <c r="BJ21" s="129"/>
      <c r="BK21" s="126"/>
      <c r="BL21" s="126"/>
      <c r="BM21" s="126"/>
      <c r="BN21" s="127"/>
      <c r="BO21" s="129"/>
      <c r="BP21" s="126"/>
      <c r="BQ21" s="126"/>
      <c r="BR21" s="127"/>
      <c r="BS21" s="129"/>
      <c r="BT21" s="126"/>
      <c r="BU21" s="126"/>
      <c r="BV21" s="126"/>
      <c r="BW21" s="127"/>
      <c r="BX21" s="129"/>
      <c r="BY21" s="126"/>
      <c r="BZ21" s="126"/>
      <c r="CA21" s="127"/>
      <c r="CB21" s="128"/>
      <c r="CC21" s="126"/>
      <c r="CD21" s="126"/>
      <c r="CE21" s="127"/>
    </row>
    <row r="22" spans="1:83">
      <c r="A22" s="130" t="s">
        <v>66</v>
      </c>
      <c r="B22" s="140"/>
      <c r="C22" s="96"/>
      <c r="D22" s="96"/>
      <c r="E22" s="96"/>
      <c r="F22" s="96"/>
      <c r="G22" s="96"/>
      <c r="H22" s="97"/>
      <c r="I22" s="94">
        <v>10</v>
      </c>
      <c r="J22" s="131">
        <f t="shared" ref="J22:J31" si="23">IF(CheckDay&gt;=Q22,1,IF(CheckDay&lt;P22, 0,DAYS360(P22,CheckDay+1)/Y22))</f>
        <v>1</v>
      </c>
      <c r="K22" s="101">
        <v>0</v>
      </c>
      <c r="L22" s="132">
        <f t="shared" ref="L22:L31" si="24">I22*J22/100</f>
        <v>0.1</v>
      </c>
      <c r="M22" s="132">
        <f t="shared" ref="M22:M31" si="25">I22*K22/100</f>
        <v>0</v>
      </c>
      <c r="N22" s="132">
        <f t="shared" si="3"/>
        <v>-0.1</v>
      </c>
      <c r="O22" s="133" t="str">
        <f t="shared" ref="O22:O31" si="26">IF(AND(K22=0%,N22=0),"",IF(N22&lt;0,"지연",IF(K22=100%,"종료","진행")))</f>
        <v>지연</v>
      </c>
      <c r="P22" s="104"/>
      <c r="Q22" s="104"/>
      <c r="R22" s="104"/>
      <c r="S22" s="104"/>
      <c r="T22" s="94"/>
      <c r="U22" s="134" t="str">
        <f t="shared" si="2"/>
        <v/>
      </c>
      <c r="V22" s="253">
        <f>NETWORKDAYS(P22,Q22,진행현황_전체!C$59:C$77)</f>
        <v>0</v>
      </c>
      <c r="W22" s="135">
        <f t="shared" ref="W22:AQ31" si="27">IF(OR((AND($P22&lt;=W$7,AND($Q22&lt;=W$8, $Q22&gt;=W$7))),(AND(AND($P22&gt;=W$7, $P22&lt;=W$8),$Q22&gt;=W$8)), AND($P22&gt;=W$7, $Q22&lt;=W$8), AND($P22&lt;=W$7,$Q22&gt;=W$8)),1,0)</f>
        <v>0</v>
      </c>
      <c r="X22" s="136">
        <f t="shared" si="27"/>
        <v>0</v>
      </c>
      <c r="Y22" s="136">
        <f t="shared" si="27"/>
        <v>0</v>
      </c>
      <c r="Z22" s="136">
        <f t="shared" si="27"/>
        <v>0</v>
      </c>
      <c r="AA22" s="137">
        <f t="shared" si="27"/>
        <v>0</v>
      </c>
      <c r="AB22" s="138">
        <f t="shared" si="27"/>
        <v>0</v>
      </c>
      <c r="AC22" s="136">
        <f t="shared" si="27"/>
        <v>0</v>
      </c>
      <c r="AD22" s="136">
        <f t="shared" si="27"/>
        <v>0</v>
      </c>
      <c r="AE22" s="137">
        <f t="shared" si="27"/>
        <v>0</v>
      </c>
      <c r="AF22" s="135">
        <f t="shared" si="27"/>
        <v>0</v>
      </c>
      <c r="AG22" s="136">
        <f t="shared" si="27"/>
        <v>0</v>
      </c>
      <c r="AH22" s="136">
        <f t="shared" si="27"/>
        <v>0</v>
      </c>
      <c r="AI22" s="137">
        <f t="shared" si="27"/>
        <v>0</v>
      </c>
      <c r="AJ22" s="135">
        <f t="shared" si="27"/>
        <v>0</v>
      </c>
      <c r="AK22" s="138">
        <f t="shared" si="27"/>
        <v>0</v>
      </c>
      <c r="AL22" s="136">
        <f t="shared" si="27"/>
        <v>0</v>
      </c>
      <c r="AM22" s="136">
        <f t="shared" si="27"/>
        <v>0</v>
      </c>
      <c r="AN22" s="194">
        <f t="shared" si="27"/>
        <v>0</v>
      </c>
      <c r="AO22" s="138">
        <f t="shared" si="27"/>
        <v>0</v>
      </c>
      <c r="AP22" s="136">
        <f t="shared" si="27"/>
        <v>0</v>
      </c>
      <c r="AQ22" s="136">
        <f t="shared" si="27"/>
        <v>0</v>
      </c>
      <c r="AR22" s="137">
        <f t="shared" ref="AR22:BG31" si="28">IF(OR((AND($P22&lt;=AR$7,AND($Q22&lt;=AR$8, $Q22&gt;=AR$7))),(AND(AND($P22&gt;=AR$7, $P22&lt;=AR$8),$Q22&gt;=AR$8)), AND($P22&gt;=AR$7, $Q22&lt;=AR$8), AND($P22&lt;=AR$7,$Q22&gt;=AR$8)),1,0)</f>
        <v>0</v>
      </c>
      <c r="AS22" s="135">
        <f t="shared" si="28"/>
        <v>0</v>
      </c>
      <c r="AT22" s="136">
        <f t="shared" si="28"/>
        <v>0</v>
      </c>
      <c r="AU22" s="136">
        <f t="shared" si="28"/>
        <v>0</v>
      </c>
      <c r="AV22" s="137">
        <f t="shared" si="28"/>
        <v>0</v>
      </c>
      <c r="AW22" s="135">
        <f t="shared" si="28"/>
        <v>0</v>
      </c>
      <c r="AX22" s="136">
        <f t="shared" si="28"/>
        <v>0</v>
      </c>
      <c r="AY22" s="136">
        <f t="shared" si="28"/>
        <v>0</v>
      </c>
      <c r="AZ22" s="136">
        <f t="shared" si="28"/>
        <v>0</v>
      </c>
      <c r="BA22" s="137">
        <f t="shared" si="28"/>
        <v>0</v>
      </c>
      <c r="BB22" s="138">
        <f t="shared" si="28"/>
        <v>0</v>
      </c>
      <c r="BC22" s="136">
        <f t="shared" si="28"/>
        <v>0</v>
      </c>
      <c r="BD22" s="136">
        <f t="shared" si="28"/>
        <v>0</v>
      </c>
      <c r="BE22" s="137">
        <f t="shared" si="28"/>
        <v>0</v>
      </c>
      <c r="BF22" s="135">
        <f t="shared" si="28"/>
        <v>0</v>
      </c>
      <c r="BG22" s="136">
        <f t="shared" si="28"/>
        <v>0</v>
      </c>
      <c r="BH22" s="136">
        <f t="shared" ref="BH22:CE31" si="29">IF(OR((AND($P22&lt;=BH$7,AND($Q22&lt;=BH$8, $Q22&gt;=BH$7))),(AND(AND($P22&gt;=BH$7, $P22&lt;=BH$8),$Q22&gt;=BH$8)), AND($P22&gt;=BH$7, $Q22&lt;=BH$8), AND($P22&lt;=BH$7,$Q22&gt;=BH$8)),1,0)</f>
        <v>0</v>
      </c>
      <c r="BI22" s="137">
        <f t="shared" si="29"/>
        <v>0</v>
      </c>
      <c r="BJ22" s="138">
        <f t="shared" si="29"/>
        <v>0</v>
      </c>
      <c r="BK22" s="136">
        <f t="shared" si="29"/>
        <v>0</v>
      </c>
      <c r="BL22" s="136">
        <f t="shared" si="29"/>
        <v>0</v>
      </c>
      <c r="BM22" s="136">
        <f t="shared" si="29"/>
        <v>0</v>
      </c>
      <c r="BN22" s="137">
        <f t="shared" si="29"/>
        <v>0</v>
      </c>
      <c r="BO22" s="138">
        <f t="shared" si="29"/>
        <v>0</v>
      </c>
      <c r="BP22" s="136">
        <f t="shared" si="29"/>
        <v>0</v>
      </c>
      <c r="BQ22" s="136">
        <f t="shared" si="29"/>
        <v>0</v>
      </c>
      <c r="BR22" s="137">
        <f t="shared" si="29"/>
        <v>0</v>
      </c>
      <c r="BS22" s="138">
        <f t="shared" si="29"/>
        <v>0</v>
      </c>
      <c r="BT22" s="136">
        <f t="shared" si="29"/>
        <v>0</v>
      </c>
      <c r="BU22" s="136">
        <f t="shared" si="29"/>
        <v>0</v>
      </c>
      <c r="BV22" s="136">
        <f t="shared" si="29"/>
        <v>0</v>
      </c>
      <c r="BW22" s="137">
        <f t="shared" si="29"/>
        <v>0</v>
      </c>
      <c r="BX22" s="138">
        <f t="shared" si="29"/>
        <v>0</v>
      </c>
      <c r="BY22" s="136">
        <f t="shared" si="29"/>
        <v>0</v>
      </c>
      <c r="BZ22" s="136">
        <f t="shared" si="29"/>
        <v>0</v>
      </c>
      <c r="CA22" s="137">
        <f t="shared" si="29"/>
        <v>0</v>
      </c>
      <c r="CB22" s="135">
        <f t="shared" si="29"/>
        <v>0</v>
      </c>
      <c r="CC22" s="136">
        <f t="shared" si="29"/>
        <v>0</v>
      </c>
      <c r="CD22" s="136">
        <f t="shared" si="29"/>
        <v>0</v>
      </c>
      <c r="CE22" s="137">
        <f t="shared" si="29"/>
        <v>0</v>
      </c>
    </row>
    <row r="23" spans="1:83">
      <c r="A23" s="130" t="s">
        <v>67</v>
      </c>
      <c r="B23" s="95"/>
      <c r="C23" s="96"/>
      <c r="D23" s="96"/>
      <c r="E23" s="96"/>
      <c r="F23" s="96"/>
      <c r="G23" s="96"/>
      <c r="H23" s="97"/>
      <c r="I23" s="94">
        <v>10</v>
      </c>
      <c r="J23" s="131">
        <f t="shared" si="23"/>
        <v>1</v>
      </c>
      <c r="K23" s="101">
        <v>0</v>
      </c>
      <c r="L23" s="132">
        <f t="shared" si="24"/>
        <v>0.1</v>
      </c>
      <c r="M23" s="132">
        <f t="shared" si="25"/>
        <v>0</v>
      </c>
      <c r="N23" s="132">
        <f t="shared" si="3"/>
        <v>-0.1</v>
      </c>
      <c r="O23" s="133" t="str">
        <f t="shared" si="26"/>
        <v>지연</v>
      </c>
      <c r="P23" s="104"/>
      <c r="Q23" s="104"/>
      <c r="R23" s="104"/>
      <c r="S23" s="104"/>
      <c r="T23" s="94"/>
      <c r="U23" s="134" t="str">
        <f t="shared" si="2"/>
        <v/>
      </c>
      <c r="V23" s="253">
        <f>NETWORKDAYS(P23,Q23,진행현황_전체!C$59:C$77)</f>
        <v>0</v>
      </c>
      <c r="W23" s="135">
        <f t="shared" si="27"/>
        <v>0</v>
      </c>
      <c r="X23" s="136">
        <f t="shared" si="27"/>
        <v>0</v>
      </c>
      <c r="Y23" s="136">
        <f t="shared" si="27"/>
        <v>0</v>
      </c>
      <c r="Z23" s="136">
        <f t="shared" si="27"/>
        <v>0</v>
      </c>
      <c r="AA23" s="137">
        <f t="shared" si="27"/>
        <v>0</v>
      </c>
      <c r="AB23" s="138">
        <f t="shared" si="27"/>
        <v>0</v>
      </c>
      <c r="AC23" s="136">
        <f t="shared" si="27"/>
        <v>0</v>
      </c>
      <c r="AD23" s="136">
        <f t="shared" si="27"/>
        <v>0</v>
      </c>
      <c r="AE23" s="137">
        <f t="shared" si="27"/>
        <v>0</v>
      </c>
      <c r="AF23" s="135">
        <f t="shared" si="27"/>
        <v>0</v>
      </c>
      <c r="AG23" s="136">
        <f t="shared" si="27"/>
        <v>0</v>
      </c>
      <c r="AH23" s="136">
        <f t="shared" si="27"/>
        <v>0</v>
      </c>
      <c r="AI23" s="137">
        <f t="shared" si="27"/>
        <v>0</v>
      </c>
      <c r="AJ23" s="135">
        <f t="shared" si="27"/>
        <v>0</v>
      </c>
      <c r="AK23" s="138">
        <f t="shared" si="27"/>
        <v>0</v>
      </c>
      <c r="AL23" s="136">
        <f t="shared" si="27"/>
        <v>0</v>
      </c>
      <c r="AM23" s="136">
        <f t="shared" si="27"/>
        <v>0</v>
      </c>
      <c r="AN23" s="194">
        <f t="shared" si="27"/>
        <v>0</v>
      </c>
      <c r="AO23" s="138">
        <f t="shared" si="27"/>
        <v>0</v>
      </c>
      <c r="AP23" s="136">
        <f t="shared" si="27"/>
        <v>0</v>
      </c>
      <c r="AQ23" s="136">
        <f t="shared" si="27"/>
        <v>0</v>
      </c>
      <c r="AR23" s="137">
        <f t="shared" si="28"/>
        <v>0</v>
      </c>
      <c r="AS23" s="135">
        <f t="shared" si="28"/>
        <v>0</v>
      </c>
      <c r="AT23" s="136">
        <f t="shared" si="28"/>
        <v>0</v>
      </c>
      <c r="AU23" s="136">
        <f t="shared" si="28"/>
        <v>0</v>
      </c>
      <c r="AV23" s="137">
        <f t="shared" si="28"/>
        <v>0</v>
      </c>
      <c r="AW23" s="135">
        <f t="shared" si="28"/>
        <v>0</v>
      </c>
      <c r="AX23" s="136">
        <f t="shared" si="28"/>
        <v>0</v>
      </c>
      <c r="AY23" s="136">
        <f t="shared" si="28"/>
        <v>0</v>
      </c>
      <c r="AZ23" s="136">
        <f t="shared" si="28"/>
        <v>0</v>
      </c>
      <c r="BA23" s="137">
        <f t="shared" si="28"/>
        <v>0</v>
      </c>
      <c r="BB23" s="138">
        <f t="shared" si="28"/>
        <v>0</v>
      </c>
      <c r="BC23" s="136">
        <f t="shared" si="28"/>
        <v>0</v>
      </c>
      <c r="BD23" s="136">
        <f t="shared" si="28"/>
        <v>0</v>
      </c>
      <c r="BE23" s="137">
        <f t="shared" si="28"/>
        <v>0</v>
      </c>
      <c r="BF23" s="135">
        <f t="shared" si="28"/>
        <v>0</v>
      </c>
      <c r="BG23" s="136">
        <f t="shared" si="28"/>
        <v>0</v>
      </c>
      <c r="BH23" s="136">
        <f t="shared" si="29"/>
        <v>0</v>
      </c>
      <c r="BI23" s="137">
        <f t="shared" si="29"/>
        <v>0</v>
      </c>
      <c r="BJ23" s="138">
        <f t="shared" si="29"/>
        <v>0</v>
      </c>
      <c r="BK23" s="136">
        <f t="shared" si="29"/>
        <v>0</v>
      </c>
      <c r="BL23" s="136">
        <f t="shared" si="29"/>
        <v>0</v>
      </c>
      <c r="BM23" s="136">
        <f t="shared" si="29"/>
        <v>0</v>
      </c>
      <c r="BN23" s="137">
        <f t="shared" si="29"/>
        <v>0</v>
      </c>
      <c r="BO23" s="138">
        <f t="shared" si="29"/>
        <v>0</v>
      </c>
      <c r="BP23" s="136">
        <f t="shared" si="29"/>
        <v>0</v>
      </c>
      <c r="BQ23" s="136">
        <f t="shared" si="29"/>
        <v>0</v>
      </c>
      <c r="BR23" s="137">
        <f t="shared" si="29"/>
        <v>0</v>
      </c>
      <c r="BS23" s="138">
        <f t="shared" si="29"/>
        <v>0</v>
      </c>
      <c r="BT23" s="136">
        <f t="shared" si="29"/>
        <v>0</v>
      </c>
      <c r="BU23" s="136">
        <f t="shared" si="29"/>
        <v>0</v>
      </c>
      <c r="BV23" s="136">
        <f t="shared" si="29"/>
        <v>0</v>
      </c>
      <c r="BW23" s="137">
        <f t="shared" si="29"/>
        <v>0</v>
      </c>
      <c r="BX23" s="138">
        <f t="shared" si="29"/>
        <v>0</v>
      </c>
      <c r="BY23" s="136">
        <f t="shared" si="29"/>
        <v>0</v>
      </c>
      <c r="BZ23" s="136">
        <f t="shared" si="29"/>
        <v>0</v>
      </c>
      <c r="CA23" s="137">
        <f t="shared" si="29"/>
        <v>0</v>
      </c>
      <c r="CB23" s="135">
        <f t="shared" si="29"/>
        <v>0</v>
      </c>
      <c r="CC23" s="136">
        <f t="shared" si="29"/>
        <v>0</v>
      </c>
      <c r="CD23" s="136">
        <f t="shared" si="29"/>
        <v>0</v>
      </c>
      <c r="CE23" s="137">
        <f t="shared" si="29"/>
        <v>0</v>
      </c>
    </row>
    <row r="24" spans="1:83">
      <c r="A24" s="130" t="s">
        <v>68</v>
      </c>
      <c r="B24" s="95"/>
      <c r="C24" s="96"/>
      <c r="D24" s="96"/>
      <c r="E24" s="96"/>
      <c r="F24" s="96"/>
      <c r="G24" s="96"/>
      <c r="H24" s="97"/>
      <c r="I24" s="94">
        <v>10</v>
      </c>
      <c r="J24" s="131">
        <f t="shared" si="23"/>
        <v>1</v>
      </c>
      <c r="K24" s="101">
        <v>0</v>
      </c>
      <c r="L24" s="132">
        <f t="shared" si="24"/>
        <v>0.1</v>
      </c>
      <c r="M24" s="132">
        <f t="shared" si="25"/>
        <v>0</v>
      </c>
      <c r="N24" s="132">
        <f t="shared" si="3"/>
        <v>-0.1</v>
      </c>
      <c r="O24" s="133" t="str">
        <f t="shared" si="26"/>
        <v>지연</v>
      </c>
      <c r="P24" s="104"/>
      <c r="Q24" s="104"/>
      <c r="R24" s="104"/>
      <c r="S24" s="104"/>
      <c r="T24" s="94"/>
      <c r="U24" s="134" t="str">
        <f t="shared" si="2"/>
        <v/>
      </c>
      <c r="V24" s="253">
        <f>NETWORKDAYS(P24,Q24,진행현황_전체!C$59:C$77)</f>
        <v>0</v>
      </c>
      <c r="W24" s="135">
        <f t="shared" si="27"/>
        <v>0</v>
      </c>
      <c r="X24" s="136">
        <f t="shared" si="27"/>
        <v>0</v>
      </c>
      <c r="Y24" s="136">
        <f t="shared" si="27"/>
        <v>0</v>
      </c>
      <c r="Z24" s="136">
        <f t="shared" si="27"/>
        <v>0</v>
      </c>
      <c r="AA24" s="137">
        <f t="shared" si="27"/>
        <v>0</v>
      </c>
      <c r="AB24" s="138">
        <f t="shared" si="27"/>
        <v>0</v>
      </c>
      <c r="AC24" s="136">
        <f t="shared" si="27"/>
        <v>0</v>
      </c>
      <c r="AD24" s="136">
        <f t="shared" si="27"/>
        <v>0</v>
      </c>
      <c r="AE24" s="137">
        <f t="shared" si="27"/>
        <v>0</v>
      </c>
      <c r="AF24" s="135">
        <f t="shared" si="27"/>
        <v>0</v>
      </c>
      <c r="AG24" s="136">
        <f t="shared" si="27"/>
        <v>0</v>
      </c>
      <c r="AH24" s="136">
        <f t="shared" si="27"/>
        <v>0</v>
      </c>
      <c r="AI24" s="137">
        <f t="shared" si="27"/>
        <v>0</v>
      </c>
      <c r="AJ24" s="135">
        <f t="shared" si="27"/>
        <v>0</v>
      </c>
      <c r="AK24" s="138">
        <f t="shared" si="27"/>
        <v>0</v>
      </c>
      <c r="AL24" s="136">
        <f t="shared" si="27"/>
        <v>0</v>
      </c>
      <c r="AM24" s="136">
        <f t="shared" si="27"/>
        <v>0</v>
      </c>
      <c r="AN24" s="194">
        <f t="shared" si="27"/>
        <v>0</v>
      </c>
      <c r="AO24" s="138">
        <f t="shared" si="27"/>
        <v>0</v>
      </c>
      <c r="AP24" s="136">
        <f t="shared" si="27"/>
        <v>0</v>
      </c>
      <c r="AQ24" s="136">
        <f t="shared" si="27"/>
        <v>0</v>
      </c>
      <c r="AR24" s="137">
        <f t="shared" si="28"/>
        <v>0</v>
      </c>
      <c r="AS24" s="135">
        <f t="shared" si="28"/>
        <v>0</v>
      </c>
      <c r="AT24" s="136">
        <f t="shared" si="28"/>
        <v>0</v>
      </c>
      <c r="AU24" s="136">
        <f t="shared" si="28"/>
        <v>0</v>
      </c>
      <c r="AV24" s="137">
        <f t="shared" si="28"/>
        <v>0</v>
      </c>
      <c r="AW24" s="135">
        <f t="shared" si="28"/>
        <v>0</v>
      </c>
      <c r="AX24" s="136">
        <f t="shared" si="28"/>
        <v>0</v>
      </c>
      <c r="AY24" s="136">
        <f t="shared" si="28"/>
        <v>0</v>
      </c>
      <c r="AZ24" s="136">
        <f t="shared" si="28"/>
        <v>0</v>
      </c>
      <c r="BA24" s="137">
        <f t="shared" si="28"/>
        <v>0</v>
      </c>
      <c r="BB24" s="138">
        <f t="shared" si="28"/>
        <v>0</v>
      </c>
      <c r="BC24" s="136">
        <f t="shared" si="28"/>
        <v>0</v>
      </c>
      <c r="BD24" s="136">
        <f t="shared" si="28"/>
        <v>0</v>
      </c>
      <c r="BE24" s="137">
        <f t="shared" si="28"/>
        <v>0</v>
      </c>
      <c r="BF24" s="135">
        <f t="shared" si="28"/>
        <v>0</v>
      </c>
      <c r="BG24" s="136">
        <f t="shared" si="28"/>
        <v>0</v>
      </c>
      <c r="BH24" s="136">
        <f t="shared" si="29"/>
        <v>0</v>
      </c>
      <c r="BI24" s="137">
        <f t="shared" si="29"/>
        <v>0</v>
      </c>
      <c r="BJ24" s="138">
        <f t="shared" si="29"/>
        <v>0</v>
      </c>
      <c r="BK24" s="136">
        <f t="shared" si="29"/>
        <v>0</v>
      </c>
      <c r="BL24" s="136">
        <f t="shared" si="29"/>
        <v>0</v>
      </c>
      <c r="BM24" s="136">
        <f t="shared" si="29"/>
        <v>0</v>
      </c>
      <c r="BN24" s="137">
        <f t="shared" si="29"/>
        <v>0</v>
      </c>
      <c r="BO24" s="138">
        <f t="shared" si="29"/>
        <v>0</v>
      </c>
      <c r="BP24" s="136">
        <f t="shared" si="29"/>
        <v>0</v>
      </c>
      <c r="BQ24" s="136">
        <f t="shared" si="29"/>
        <v>0</v>
      </c>
      <c r="BR24" s="137">
        <f t="shared" si="29"/>
        <v>0</v>
      </c>
      <c r="BS24" s="138">
        <f t="shared" si="29"/>
        <v>0</v>
      </c>
      <c r="BT24" s="136">
        <f t="shared" si="29"/>
        <v>0</v>
      </c>
      <c r="BU24" s="136">
        <f t="shared" si="29"/>
        <v>0</v>
      </c>
      <c r="BV24" s="136">
        <f t="shared" si="29"/>
        <v>0</v>
      </c>
      <c r="BW24" s="137">
        <f t="shared" si="29"/>
        <v>0</v>
      </c>
      <c r="BX24" s="138">
        <f t="shared" si="29"/>
        <v>0</v>
      </c>
      <c r="BY24" s="136">
        <f t="shared" si="29"/>
        <v>0</v>
      </c>
      <c r="BZ24" s="136">
        <f t="shared" si="29"/>
        <v>0</v>
      </c>
      <c r="CA24" s="137">
        <f t="shared" si="29"/>
        <v>0</v>
      </c>
      <c r="CB24" s="135">
        <f t="shared" si="29"/>
        <v>0</v>
      </c>
      <c r="CC24" s="136">
        <f t="shared" si="29"/>
        <v>0</v>
      </c>
      <c r="CD24" s="136">
        <f t="shared" si="29"/>
        <v>0</v>
      </c>
      <c r="CE24" s="137">
        <f t="shared" si="29"/>
        <v>0</v>
      </c>
    </row>
    <row r="25" spans="1:83">
      <c r="A25" s="130" t="s">
        <v>69</v>
      </c>
      <c r="B25" s="95"/>
      <c r="C25" s="96"/>
      <c r="D25" s="96"/>
      <c r="E25" s="96"/>
      <c r="F25" s="96"/>
      <c r="G25" s="96"/>
      <c r="H25" s="97"/>
      <c r="I25" s="94">
        <v>10</v>
      </c>
      <c r="J25" s="131">
        <f t="shared" si="23"/>
        <v>1</v>
      </c>
      <c r="K25" s="101">
        <v>0</v>
      </c>
      <c r="L25" s="132">
        <f t="shared" si="24"/>
        <v>0.1</v>
      </c>
      <c r="M25" s="132">
        <f t="shared" si="25"/>
        <v>0</v>
      </c>
      <c r="N25" s="132">
        <f t="shared" si="3"/>
        <v>-0.1</v>
      </c>
      <c r="O25" s="133" t="str">
        <f t="shared" si="26"/>
        <v>지연</v>
      </c>
      <c r="P25" s="104"/>
      <c r="Q25" s="104"/>
      <c r="R25" s="104"/>
      <c r="S25" s="104"/>
      <c r="T25" s="94"/>
      <c r="U25" s="134" t="str">
        <f t="shared" si="2"/>
        <v/>
      </c>
      <c r="V25" s="253">
        <f>NETWORKDAYS(P25,Q25,진행현황_전체!C$59:C$77)</f>
        <v>0</v>
      </c>
      <c r="W25" s="135">
        <f t="shared" si="27"/>
        <v>0</v>
      </c>
      <c r="X25" s="136">
        <f t="shared" si="27"/>
        <v>0</v>
      </c>
      <c r="Y25" s="136">
        <f t="shared" si="27"/>
        <v>0</v>
      </c>
      <c r="Z25" s="136">
        <f t="shared" si="27"/>
        <v>0</v>
      </c>
      <c r="AA25" s="137">
        <f t="shared" si="27"/>
        <v>0</v>
      </c>
      <c r="AB25" s="138">
        <f t="shared" si="27"/>
        <v>0</v>
      </c>
      <c r="AC25" s="136">
        <f t="shared" si="27"/>
        <v>0</v>
      </c>
      <c r="AD25" s="136">
        <f t="shared" si="27"/>
        <v>0</v>
      </c>
      <c r="AE25" s="137">
        <f t="shared" si="27"/>
        <v>0</v>
      </c>
      <c r="AF25" s="135">
        <f t="shared" si="27"/>
        <v>0</v>
      </c>
      <c r="AG25" s="136">
        <f t="shared" si="27"/>
        <v>0</v>
      </c>
      <c r="AH25" s="136">
        <f t="shared" si="27"/>
        <v>0</v>
      </c>
      <c r="AI25" s="137">
        <f t="shared" si="27"/>
        <v>0</v>
      </c>
      <c r="AJ25" s="135">
        <f t="shared" si="27"/>
        <v>0</v>
      </c>
      <c r="AK25" s="138">
        <f t="shared" si="27"/>
        <v>0</v>
      </c>
      <c r="AL25" s="136">
        <f t="shared" si="27"/>
        <v>0</v>
      </c>
      <c r="AM25" s="136">
        <f t="shared" si="27"/>
        <v>0</v>
      </c>
      <c r="AN25" s="194">
        <f t="shared" si="27"/>
        <v>0</v>
      </c>
      <c r="AO25" s="138">
        <f t="shared" si="27"/>
        <v>0</v>
      </c>
      <c r="AP25" s="136">
        <f t="shared" si="27"/>
        <v>0</v>
      </c>
      <c r="AQ25" s="136">
        <f t="shared" si="27"/>
        <v>0</v>
      </c>
      <c r="AR25" s="137">
        <f t="shared" si="28"/>
        <v>0</v>
      </c>
      <c r="AS25" s="135">
        <f t="shared" si="28"/>
        <v>0</v>
      </c>
      <c r="AT25" s="136">
        <f t="shared" si="28"/>
        <v>0</v>
      </c>
      <c r="AU25" s="136">
        <f t="shared" si="28"/>
        <v>0</v>
      </c>
      <c r="AV25" s="137">
        <f t="shared" si="28"/>
        <v>0</v>
      </c>
      <c r="AW25" s="135">
        <f t="shared" si="28"/>
        <v>0</v>
      </c>
      <c r="AX25" s="136">
        <f t="shared" si="28"/>
        <v>0</v>
      </c>
      <c r="AY25" s="136">
        <f t="shared" si="28"/>
        <v>0</v>
      </c>
      <c r="AZ25" s="136">
        <f t="shared" si="28"/>
        <v>0</v>
      </c>
      <c r="BA25" s="137">
        <f t="shared" si="28"/>
        <v>0</v>
      </c>
      <c r="BB25" s="138">
        <f t="shared" si="28"/>
        <v>0</v>
      </c>
      <c r="BC25" s="136">
        <f t="shared" si="28"/>
        <v>0</v>
      </c>
      <c r="BD25" s="136">
        <f t="shared" si="28"/>
        <v>0</v>
      </c>
      <c r="BE25" s="137">
        <f t="shared" si="28"/>
        <v>0</v>
      </c>
      <c r="BF25" s="135">
        <f t="shared" si="28"/>
        <v>0</v>
      </c>
      <c r="BG25" s="136">
        <f t="shared" si="28"/>
        <v>0</v>
      </c>
      <c r="BH25" s="136">
        <f t="shared" si="29"/>
        <v>0</v>
      </c>
      <c r="BI25" s="137">
        <f t="shared" si="29"/>
        <v>0</v>
      </c>
      <c r="BJ25" s="138">
        <f t="shared" si="29"/>
        <v>0</v>
      </c>
      <c r="BK25" s="136">
        <f t="shared" si="29"/>
        <v>0</v>
      </c>
      <c r="BL25" s="136">
        <f t="shared" si="29"/>
        <v>0</v>
      </c>
      <c r="BM25" s="136">
        <f t="shared" si="29"/>
        <v>0</v>
      </c>
      <c r="BN25" s="137">
        <f t="shared" si="29"/>
        <v>0</v>
      </c>
      <c r="BO25" s="138">
        <f t="shared" si="29"/>
        <v>0</v>
      </c>
      <c r="BP25" s="136">
        <f t="shared" si="29"/>
        <v>0</v>
      </c>
      <c r="BQ25" s="136">
        <f t="shared" si="29"/>
        <v>0</v>
      </c>
      <c r="BR25" s="137">
        <f t="shared" si="29"/>
        <v>0</v>
      </c>
      <c r="BS25" s="138">
        <f t="shared" si="29"/>
        <v>0</v>
      </c>
      <c r="BT25" s="136">
        <f t="shared" si="29"/>
        <v>0</v>
      </c>
      <c r="BU25" s="136">
        <f t="shared" si="29"/>
        <v>0</v>
      </c>
      <c r="BV25" s="136">
        <f t="shared" si="29"/>
        <v>0</v>
      </c>
      <c r="BW25" s="137">
        <f t="shared" si="29"/>
        <v>0</v>
      </c>
      <c r="BX25" s="138">
        <f t="shared" si="29"/>
        <v>0</v>
      </c>
      <c r="BY25" s="136">
        <f t="shared" si="29"/>
        <v>0</v>
      </c>
      <c r="BZ25" s="136">
        <f t="shared" si="29"/>
        <v>0</v>
      </c>
      <c r="CA25" s="137">
        <f t="shared" si="29"/>
        <v>0</v>
      </c>
      <c r="CB25" s="135">
        <f t="shared" si="29"/>
        <v>0</v>
      </c>
      <c r="CC25" s="136">
        <f t="shared" si="29"/>
        <v>0</v>
      </c>
      <c r="CD25" s="136">
        <f t="shared" si="29"/>
        <v>0</v>
      </c>
      <c r="CE25" s="137">
        <f t="shared" si="29"/>
        <v>0</v>
      </c>
    </row>
    <row r="26" spans="1:83">
      <c r="A26" s="130" t="s">
        <v>70</v>
      </c>
      <c r="B26" s="95"/>
      <c r="C26" s="96"/>
      <c r="D26" s="96"/>
      <c r="E26" s="96"/>
      <c r="F26" s="96"/>
      <c r="G26" s="96"/>
      <c r="H26" s="97"/>
      <c r="I26" s="94">
        <v>10</v>
      </c>
      <c r="J26" s="131">
        <f t="shared" si="23"/>
        <v>1</v>
      </c>
      <c r="K26" s="101">
        <v>0</v>
      </c>
      <c r="L26" s="132">
        <f t="shared" si="24"/>
        <v>0.1</v>
      </c>
      <c r="M26" s="132">
        <f t="shared" si="25"/>
        <v>0</v>
      </c>
      <c r="N26" s="132">
        <f t="shared" si="3"/>
        <v>-0.1</v>
      </c>
      <c r="O26" s="133" t="str">
        <f t="shared" si="26"/>
        <v>지연</v>
      </c>
      <c r="P26" s="104"/>
      <c r="Q26" s="104"/>
      <c r="R26" s="104"/>
      <c r="S26" s="104"/>
      <c r="T26" s="94"/>
      <c r="U26" s="134" t="str">
        <f t="shared" si="2"/>
        <v/>
      </c>
      <c r="V26" s="253">
        <f>NETWORKDAYS(P26,Q26,진행현황_전체!C$59:C$77)</f>
        <v>0</v>
      </c>
      <c r="W26" s="135">
        <f t="shared" si="27"/>
        <v>0</v>
      </c>
      <c r="X26" s="136">
        <f t="shared" si="27"/>
        <v>0</v>
      </c>
      <c r="Y26" s="136">
        <f t="shared" si="27"/>
        <v>0</v>
      </c>
      <c r="Z26" s="136">
        <f t="shared" si="27"/>
        <v>0</v>
      </c>
      <c r="AA26" s="137">
        <f t="shared" si="27"/>
        <v>0</v>
      </c>
      <c r="AB26" s="138">
        <f t="shared" si="27"/>
        <v>0</v>
      </c>
      <c r="AC26" s="136">
        <f t="shared" si="27"/>
        <v>0</v>
      </c>
      <c r="AD26" s="136">
        <f t="shared" si="27"/>
        <v>0</v>
      </c>
      <c r="AE26" s="137">
        <f t="shared" si="27"/>
        <v>0</v>
      </c>
      <c r="AF26" s="135">
        <f t="shared" si="27"/>
        <v>0</v>
      </c>
      <c r="AG26" s="136">
        <f t="shared" si="27"/>
        <v>0</v>
      </c>
      <c r="AH26" s="136">
        <f t="shared" si="27"/>
        <v>0</v>
      </c>
      <c r="AI26" s="137">
        <f t="shared" si="27"/>
        <v>0</v>
      </c>
      <c r="AJ26" s="135">
        <f t="shared" si="27"/>
        <v>0</v>
      </c>
      <c r="AK26" s="138">
        <f t="shared" si="27"/>
        <v>0</v>
      </c>
      <c r="AL26" s="136">
        <f t="shared" si="27"/>
        <v>0</v>
      </c>
      <c r="AM26" s="136">
        <f t="shared" si="27"/>
        <v>0</v>
      </c>
      <c r="AN26" s="194">
        <f t="shared" si="27"/>
        <v>0</v>
      </c>
      <c r="AO26" s="138">
        <f t="shared" si="27"/>
        <v>0</v>
      </c>
      <c r="AP26" s="136">
        <f t="shared" si="27"/>
        <v>0</v>
      </c>
      <c r="AQ26" s="136">
        <f t="shared" si="27"/>
        <v>0</v>
      </c>
      <c r="AR26" s="137">
        <f t="shared" si="28"/>
        <v>0</v>
      </c>
      <c r="AS26" s="135">
        <f t="shared" si="28"/>
        <v>0</v>
      </c>
      <c r="AT26" s="136">
        <f t="shared" si="28"/>
        <v>0</v>
      </c>
      <c r="AU26" s="136">
        <f t="shared" si="28"/>
        <v>0</v>
      </c>
      <c r="AV26" s="137">
        <f t="shared" si="28"/>
        <v>0</v>
      </c>
      <c r="AW26" s="135">
        <f t="shared" si="28"/>
        <v>0</v>
      </c>
      <c r="AX26" s="136">
        <f t="shared" si="28"/>
        <v>0</v>
      </c>
      <c r="AY26" s="136">
        <f t="shared" si="28"/>
        <v>0</v>
      </c>
      <c r="AZ26" s="136">
        <f t="shared" si="28"/>
        <v>0</v>
      </c>
      <c r="BA26" s="137">
        <f t="shared" si="28"/>
        <v>0</v>
      </c>
      <c r="BB26" s="138">
        <f t="shared" si="28"/>
        <v>0</v>
      </c>
      <c r="BC26" s="136">
        <f t="shared" si="28"/>
        <v>0</v>
      </c>
      <c r="BD26" s="136">
        <f t="shared" si="28"/>
        <v>0</v>
      </c>
      <c r="BE26" s="137">
        <f t="shared" si="28"/>
        <v>0</v>
      </c>
      <c r="BF26" s="135">
        <f t="shared" si="28"/>
        <v>0</v>
      </c>
      <c r="BG26" s="136">
        <f t="shared" si="28"/>
        <v>0</v>
      </c>
      <c r="BH26" s="136">
        <f t="shared" si="29"/>
        <v>0</v>
      </c>
      <c r="BI26" s="137">
        <f t="shared" si="29"/>
        <v>0</v>
      </c>
      <c r="BJ26" s="138">
        <f t="shared" si="29"/>
        <v>0</v>
      </c>
      <c r="BK26" s="136">
        <f t="shared" si="29"/>
        <v>0</v>
      </c>
      <c r="BL26" s="136">
        <f t="shared" si="29"/>
        <v>0</v>
      </c>
      <c r="BM26" s="136">
        <f t="shared" si="29"/>
        <v>0</v>
      </c>
      <c r="BN26" s="137">
        <f t="shared" si="29"/>
        <v>0</v>
      </c>
      <c r="BO26" s="138">
        <f t="shared" si="29"/>
        <v>0</v>
      </c>
      <c r="BP26" s="136">
        <f t="shared" si="29"/>
        <v>0</v>
      </c>
      <c r="BQ26" s="136">
        <f t="shared" si="29"/>
        <v>0</v>
      </c>
      <c r="BR26" s="137">
        <f t="shared" si="29"/>
        <v>0</v>
      </c>
      <c r="BS26" s="138">
        <f t="shared" si="29"/>
        <v>0</v>
      </c>
      <c r="BT26" s="136">
        <f t="shared" si="29"/>
        <v>0</v>
      </c>
      <c r="BU26" s="136">
        <f t="shared" si="29"/>
        <v>0</v>
      </c>
      <c r="BV26" s="136">
        <f t="shared" si="29"/>
        <v>0</v>
      </c>
      <c r="BW26" s="137">
        <f t="shared" si="29"/>
        <v>0</v>
      </c>
      <c r="BX26" s="138">
        <f t="shared" si="29"/>
        <v>0</v>
      </c>
      <c r="BY26" s="136">
        <f t="shared" si="29"/>
        <v>0</v>
      </c>
      <c r="BZ26" s="136">
        <f t="shared" si="29"/>
        <v>0</v>
      </c>
      <c r="CA26" s="137">
        <f t="shared" si="29"/>
        <v>0</v>
      </c>
      <c r="CB26" s="135">
        <f t="shared" si="29"/>
        <v>0</v>
      </c>
      <c r="CC26" s="136">
        <f t="shared" si="29"/>
        <v>0</v>
      </c>
      <c r="CD26" s="136">
        <f t="shared" si="29"/>
        <v>0</v>
      </c>
      <c r="CE26" s="137">
        <f t="shared" si="29"/>
        <v>0</v>
      </c>
    </row>
    <row r="27" spans="1:83">
      <c r="A27" s="130" t="s">
        <v>71</v>
      </c>
      <c r="B27" s="95"/>
      <c r="C27" s="96"/>
      <c r="D27" s="96"/>
      <c r="E27" s="96"/>
      <c r="F27" s="96"/>
      <c r="G27" s="96"/>
      <c r="H27" s="97"/>
      <c r="I27" s="94">
        <v>10</v>
      </c>
      <c r="J27" s="131">
        <f t="shared" si="23"/>
        <v>1</v>
      </c>
      <c r="K27" s="101">
        <v>0</v>
      </c>
      <c r="L27" s="132">
        <f t="shared" si="24"/>
        <v>0.1</v>
      </c>
      <c r="M27" s="132">
        <f t="shared" si="25"/>
        <v>0</v>
      </c>
      <c r="N27" s="132">
        <f t="shared" si="3"/>
        <v>-0.1</v>
      </c>
      <c r="O27" s="133" t="str">
        <f t="shared" si="26"/>
        <v>지연</v>
      </c>
      <c r="P27" s="104"/>
      <c r="Q27" s="104"/>
      <c r="R27" s="104"/>
      <c r="S27" s="104"/>
      <c r="T27" s="94"/>
      <c r="U27" s="134" t="str">
        <f t="shared" si="2"/>
        <v/>
      </c>
      <c r="V27" s="253">
        <f>NETWORKDAYS(P27,Q27,진행현황_전체!C$59:C$77)</f>
        <v>0</v>
      </c>
      <c r="W27" s="135">
        <f t="shared" si="27"/>
        <v>0</v>
      </c>
      <c r="X27" s="136">
        <f t="shared" si="27"/>
        <v>0</v>
      </c>
      <c r="Y27" s="136">
        <f t="shared" si="27"/>
        <v>0</v>
      </c>
      <c r="Z27" s="136">
        <f t="shared" si="27"/>
        <v>0</v>
      </c>
      <c r="AA27" s="137">
        <f t="shared" si="27"/>
        <v>0</v>
      </c>
      <c r="AB27" s="138">
        <f t="shared" si="27"/>
        <v>0</v>
      </c>
      <c r="AC27" s="136">
        <f t="shared" si="27"/>
        <v>0</v>
      </c>
      <c r="AD27" s="136">
        <f t="shared" si="27"/>
        <v>0</v>
      </c>
      <c r="AE27" s="137">
        <f t="shared" si="27"/>
        <v>0</v>
      </c>
      <c r="AF27" s="135">
        <f t="shared" si="27"/>
        <v>0</v>
      </c>
      <c r="AG27" s="136">
        <f t="shared" si="27"/>
        <v>0</v>
      </c>
      <c r="AH27" s="136">
        <f t="shared" si="27"/>
        <v>0</v>
      </c>
      <c r="AI27" s="137">
        <f t="shared" si="27"/>
        <v>0</v>
      </c>
      <c r="AJ27" s="135">
        <f t="shared" si="27"/>
        <v>0</v>
      </c>
      <c r="AK27" s="138">
        <f t="shared" si="27"/>
        <v>0</v>
      </c>
      <c r="AL27" s="136">
        <f t="shared" si="27"/>
        <v>0</v>
      </c>
      <c r="AM27" s="136">
        <f t="shared" si="27"/>
        <v>0</v>
      </c>
      <c r="AN27" s="194">
        <f t="shared" si="27"/>
        <v>0</v>
      </c>
      <c r="AO27" s="138">
        <f t="shared" si="27"/>
        <v>0</v>
      </c>
      <c r="AP27" s="136">
        <f t="shared" si="27"/>
        <v>0</v>
      </c>
      <c r="AQ27" s="136">
        <f t="shared" si="27"/>
        <v>0</v>
      </c>
      <c r="AR27" s="137">
        <f t="shared" si="28"/>
        <v>0</v>
      </c>
      <c r="AS27" s="135">
        <f t="shared" si="28"/>
        <v>0</v>
      </c>
      <c r="AT27" s="136">
        <f t="shared" si="28"/>
        <v>0</v>
      </c>
      <c r="AU27" s="136">
        <f t="shared" si="28"/>
        <v>0</v>
      </c>
      <c r="AV27" s="137">
        <f t="shared" si="28"/>
        <v>0</v>
      </c>
      <c r="AW27" s="135">
        <f t="shared" si="28"/>
        <v>0</v>
      </c>
      <c r="AX27" s="136">
        <f t="shared" si="28"/>
        <v>0</v>
      </c>
      <c r="AY27" s="136">
        <f t="shared" si="28"/>
        <v>0</v>
      </c>
      <c r="AZ27" s="136">
        <f t="shared" si="28"/>
        <v>0</v>
      </c>
      <c r="BA27" s="137">
        <f t="shared" si="28"/>
        <v>0</v>
      </c>
      <c r="BB27" s="138">
        <f t="shared" si="28"/>
        <v>0</v>
      </c>
      <c r="BC27" s="136">
        <f t="shared" si="28"/>
        <v>0</v>
      </c>
      <c r="BD27" s="136">
        <f t="shared" si="28"/>
        <v>0</v>
      </c>
      <c r="BE27" s="137">
        <f t="shared" si="28"/>
        <v>0</v>
      </c>
      <c r="BF27" s="135">
        <f t="shared" si="28"/>
        <v>0</v>
      </c>
      <c r="BG27" s="136">
        <f t="shared" si="28"/>
        <v>0</v>
      </c>
      <c r="BH27" s="136">
        <f t="shared" si="29"/>
        <v>0</v>
      </c>
      <c r="BI27" s="137">
        <f t="shared" si="29"/>
        <v>0</v>
      </c>
      <c r="BJ27" s="138">
        <f t="shared" si="29"/>
        <v>0</v>
      </c>
      <c r="BK27" s="136">
        <f t="shared" si="29"/>
        <v>0</v>
      </c>
      <c r="BL27" s="136">
        <f t="shared" si="29"/>
        <v>0</v>
      </c>
      <c r="BM27" s="136">
        <f t="shared" si="29"/>
        <v>0</v>
      </c>
      <c r="BN27" s="137">
        <f t="shared" si="29"/>
        <v>0</v>
      </c>
      <c r="BO27" s="138">
        <f t="shared" si="29"/>
        <v>0</v>
      </c>
      <c r="BP27" s="136">
        <f t="shared" si="29"/>
        <v>0</v>
      </c>
      <c r="BQ27" s="136">
        <f t="shared" si="29"/>
        <v>0</v>
      </c>
      <c r="BR27" s="137">
        <f t="shared" si="29"/>
        <v>0</v>
      </c>
      <c r="BS27" s="138">
        <f t="shared" si="29"/>
        <v>0</v>
      </c>
      <c r="BT27" s="136">
        <f t="shared" si="29"/>
        <v>0</v>
      </c>
      <c r="BU27" s="136">
        <f t="shared" si="29"/>
        <v>0</v>
      </c>
      <c r="BV27" s="136">
        <f t="shared" si="29"/>
        <v>0</v>
      </c>
      <c r="BW27" s="137">
        <f t="shared" si="29"/>
        <v>0</v>
      </c>
      <c r="BX27" s="138">
        <f t="shared" si="29"/>
        <v>0</v>
      </c>
      <c r="BY27" s="136">
        <f t="shared" si="29"/>
        <v>0</v>
      </c>
      <c r="BZ27" s="136">
        <f t="shared" si="29"/>
        <v>0</v>
      </c>
      <c r="CA27" s="137">
        <f t="shared" si="29"/>
        <v>0</v>
      </c>
      <c r="CB27" s="135">
        <f t="shared" si="29"/>
        <v>0</v>
      </c>
      <c r="CC27" s="136">
        <f t="shared" si="29"/>
        <v>0</v>
      </c>
      <c r="CD27" s="136">
        <f t="shared" si="29"/>
        <v>0</v>
      </c>
      <c r="CE27" s="137">
        <f t="shared" si="29"/>
        <v>0</v>
      </c>
    </row>
    <row r="28" spans="1:83">
      <c r="A28" s="130" t="s">
        <v>72</v>
      </c>
      <c r="B28" s="95"/>
      <c r="C28" s="96"/>
      <c r="D28" s="96"/>
      <c r="E28" s="96"/>
      <c r="F28" s="96"/>
      <c r="G28" s="96"/>
      <c r="H28" s="97"/>
      <c r="I28" s="94">
        <v>10</v>
      </c>
      <c r="J28" s="131">
        <f t="shared" si="23"/>
        <v>1</v>
      </c>
      <c r="K28" s="101">
        <v>0</v>
      </c>
      <c r="L28" s="132">
        <f t="shared" si="24"/>
        <v>0.1</v>
      </c>
      <c r="M28" s="132">
        <f t="shared" si="25"/>
        <v>0</v>
      </c>
      <c r="N28" s="132">
        <f t="shared" si="3"/>
        <v>-0.1</v>
      </c>
      <c r="O28" s="133" t="str">
        <f t="shared" si="26"/>
        <v>지연</v>
      </c>
      <c r="P28" s="104"/>
      <c r="Q28" s="104"/>
      <c r="R28" s="104"/>
      <c r="S28" s="104"/>
      <c r="T28" s="94"/>
      <c r="U28" s="134" t="str">
        <f t="shared" si="2"/>
        <v/>
      </c>
      <c r="V28" s="253">
        <f>NETWORKDAYS(P28,Q28,진행현황_전체!C$59:C$77)</f>
        <v>0</v>
      </c>
      <c r="W28" s="135">
        <f t="shared" si="27"/>
        <v>0</v>
      </c>
      <c r="X28" s="136">
        <f t="shared" si="27"/>
        <v>0</v>
      </c>
      <c r="Y28" s="136">
        <f t="shared" si="27"/>
        <v>0</v>
      </c>
      <c r="Z28" s="136">
        <f t="shared" si="27"/>
        <v>0</v>
      </c>
      <c r="AA28" s="137">
        <f t="shared" si="27"/>
        <v>0</v>
      </c>
      <c r="AB28" s="138">
        <f t="shared" si="27"/>
        <v>0</v>
      </c>
      <c r="AC28" s="136">
        <f t="shared" si="27"/>
        <v>0</v>
      </c>
      <c r="AD28" s="136">
        <f t="shared" si="27"/>
        <v>0</v>
      </c>
      <c r="AE28" s="137">
        <f t="shared" si="27"/>
        <v>0</v>
      </c>
      <c r="AF28" s="135">
        <f t="shared" si="27"/>
        <v>0</v>
      </c>
      <c r="AG28" s="136">
        <f t="shared" si="27"/>
        <v>0</v>
      </c>
      <c r="AH28" s="136">
        <f t="shared" si="27"/>
        <v>0</v>
      </c>
      <c r="AI28" s="137">
        <f t="shared" si="27"/>
        <v>0</v>
      </c>
      <c r="AJ28" s="135">
        <f t="shared" si="27"/>
        <v>0</v>
      </c>
      <c r="AK28" s="138">
        <f t="shared" si="27"/>
        <v>0</v>
      </c>
      <c r="AL28" s="136">
        <f t="shared" si="27"/>
        <v>0</v>
      </c>
      <c r="AM28" s="136">
        <f t="shared" si="27"/>
        <v>0</v>
      </c>
      <c r="AN28" s="194">
        <f t="shared" si="27"/>
        <v>0</v>
      </c>
      <c r="AO28" s="138">
        <f t="shared" si="27"/>
        <v>0</v>
      </c>
      <c r="AP28" s="136">
        <f t="shared" si="27"/>
        <v>0</v>
      </c>
      <c r="AQ28" s="136">
        <f t="shared" si="27"/>
        <v>0</v>
      </c>
      <c r="AR28" s="137">
        <f t="shared" si="28"/>
        <v>0</v>
      </c>
      <c r="AS28" s="135">
        <f t="shared" si="28"/>
        <v>0</v>
      </c>
      <c r="AT28" s="136">
        <f t="shared" si="28"/>
        <v>0</v>
      </c>
      <c r="AU28" s="136">
        <f t="shared" si="28"/>
        <v>0</v>
      </c>
      <c r="AV28" s="137">
        <f t="shared" si="28"/>
        <v>0</v>
      </c>
      <c r="AW28" s="135">
        <f t="shared" si="28"/>
        <v>0</v>
      </c>
      <c r="AX28" s="136">
        <f t="shared" si="28"/>
        <v>0</v>
      </c>
      <c r="AY28" s="136">
        <f t="shared" si="28"/>
        <v>0</v>
      </c>
      <c r="AZ28" s="136">
        <f t="shared" si="28"/>
        <v>0</v>
      </c>
      <c r="BA28" s="137">
        <f t="shared" si="28"/>
        <v>0</v>
      </c>
      <c r="BB28" s="138">
        <f t="shared" si="28"/>
        <v>0</v>
      </c>
      <c r="BC28" s="136">
        <f t="shared" si="28"/>
        <v>0</v>
      </c>
      <c r="BD28" s="136">
        <f t="shared" si="28"/>
        <v>0</v>
      </c>
      <c r="BE28" s="137">
        <f t="shared" si="28"/>
        <v>0</v>
      </c>
      <c r="BF28" s="135">
        <f t="shared" si="28"/>
        <v>0</v>
      </c>
      <c r="BG28" s="136">
        <f t="shared" si="28"/>
        <v>0</v>
      </c>
      <c r="BH28" s="136">
        <f t="shared" si="29"/>
        <v>0</v>
      </c>
      <c r="BI28" s="137">
        <f t="shared" si="29"/>
        <v>0</v>
      </c>
      <c r="BJ28" s="138">
        <f t="shared" si="29"/>
        <v>0</v>
      </c>
      <c r="BK28" s="136">
        <f t="shared" si="29"/>
        <v>0</v>
      </c>
      <c r="BL28" s="136">
        <f t="shared" si="29"/>
        <v>0</v>
      </c>
      <c r="BM28" s="136">
        <f t="shared" si="29"/>
        <v>0</v>
      </c>
      <c r="BN28" s="137">
        <f t="shared" si="29"/>
        <v>0</v>
      </c>
      <c r="BO28" s="138">
        <f t="shared" si="29"/>
        <v>0</v>
      </c>
      <c r="BP28" s="136">
        <f t="shared" si="29"/>
        <v>0</v>
      </c>
      <c r="BQ28" s="136">
        <f t="shared" si="29"/>
        <v>0</v>
      </c>
      <c r="BR28" s="137">
        <f t="shared" si="29"/>
        <v>0</v>
      </c>
      <c r="BS28" s="138">
        <f t="shared" si="29"/>
        <v>0</v>
      </c>
      <c r="BT28" s="136">
        <f t="shared" si="29"/>
        <v>0</v>
      </c>
      <c r="BU28" s="136">
        <f t="shared" si="29"/>
        <v>0</v>
      </c>
      <c r="BV28" s="136">
        <f t="shared" si="29"/>
        <v>0</v>
      </c>
      <c r="BW28" s="137">
        <f t="shared" si="29"/>
        <v>0</v>
      </c>
      <c r="BX28" s="138">
        <f t="shared" si="29"/>
        <v>0</v>
      </c>
      <c r="BY28" s="136">
        <f t="shared" si="29"/>
        <v>0</v>
      </c>
      <c r="BZ28" s="136">
        <f t="shared" si="29"/>
        <v>0</v>
      </c>
      <c r="CA28" s="137">
        <f t="shared" si="29"/>
        <v>0</v>
      </c>
      <c r="CB28" s="135">
        <f t="shared" si="29"/>
        <v>0</v>
      </c>
      <c r="CC28" s="136">
        <f t="shared" si="29"/>
        <v>0</v>
      </c>
      <c r="CD28" s="136">
        <f t="shared" si="29"/>
        <v>0</v>
      </c>
      <c r="CE28" s="137">
        <f t="shared" si="29"/>
        <v>0</v>
      </c>
    </row>
    <row r="29" spans="1:83">
      <c r="A29" s="130" t="s">
        <v>73</v>
      </c>
      <c r="B29" s="95"/>
      <c r="C29" s="96"/>
      <c r="D29" s="96"/>
      <c r="E29" s="96"/>
      <c r="F29" s="96"/>
      <c r="G29" s="96"/>
      <c r="H29" s="97"/>
      <c r="I29" s="94">
        <v>10</v>
      </c>
      <c r="J29" s="131">
        <f t="shared" si="23"/>
        <v>1</v>
      </c>
      <c r="K29" s="101">
        <v>0</v>
      </c>
      <c r="L29" s="132">
        <f t="shared" si="24"/>
        <v>0.1</v>
      </c>
      <c r="M29" s="132">
        <f t="shared" si="25"/>
        <v>0</v>
      </c>
      <c r="N29" s="132">
        <f t="shared" si="3"/>
        <v>-0.1</v>
      </c>
      <c r="O29" s="133" t="str">
        <f t="shared" si="26"/>
        <v>지연</v>
      </c>
      <c r="P29" s="104"/>
      <c r="Q29" s="104"/>
      <c r="R29" s="104"/>
      <c r="S29" s="104"/>
      <c r="T29" s="94"/>
      <c r="U29" s="134" t="str">
        <f t="shared" si="2"/>
        <v/>
      </c>
      <c r="V29" s="253">
        <f>NETWORKDAYS(P29,Q29,진행현황_전체!C$59:C$77)</f>
        <v>0</v>
      </c>
      <c r="W29" s="135">
        <f t="shared" si="27"/>
        <v>0</v>
      </c>
      <c r="X29" s="136">
        <f t="shared" si="27"/>
        <v>0</v>
      </c>
      <c r="Y29" s="136">
        <f t="shared" si="27"/>
        <v>0</v>
      </c>
      <c r="Z29" s="136">
        <f t="shared" si="27"/>
        <v>0</v>
      </c>
      <c r="AA29" s="137">
        <f t="shared" si="27"/>
        <v>0</v>
      </c>
      <c r="AB29" s="138">
        <f t="shared" si="27"/>
        <v>0</v>
      </c>
      <c r="AC29" s="136">
        <f t="shared" si="27"/>
        <v>0</v>
      </c>
      <c r="AD29" s="136">
        <f t="shared" si="27"/>
        <v>0</v>
      </c>
      <c r="AE29" s="137">
        <f t="shared" si="27"/>
        <v>0</v>
      </c>
      <c r="AF29" s="135">
        <f t="shared" si="27"/>
        <v>0</v>
      </c>
      <c r="AG29" s="136">
        <f t="shared" si="27"/>
        <v>0</v>
      </c>
      <c r="AH29" s="136">
        <f t="shared" si="27"/>
        <v>0</v>
      </c>
      <c r="AI29" s="137">
        <f t="shared" si="27"/>
        <v>0</v>
      </c>
      <c r="AJ29" s="135">
        <f t="shared" si="27"/>
        <v>0</v>
      </c>
      <c r="AK29" s="138">
        <f t="shared" si="27"/>
        <v>0</v>
      </c>
      <c r="AL29" s="136">
        <f t="shared" si="27"/>
        <v>0</v>
      </c>
      <c r="AM29" s="136">
        <f t="shared" si="27"/>
        <v>0</v>
      </c>
      <c r="AN29" s="194">
        <f t="shared" si="27"/>
        <v>0</v>
      </c>
      <c r="AO29" s="138">
        <f t="shared" si="27"/>
        <v>0</v>
      </c>
      <c r="AP29" s="136">
        <f t="shared" si="27"/>
        <v>0</v>
      </c>
      <c r="AQ29" s="136">
        <f t="shared" si="27"/>
        <v>0</v>
      </c>
      <c r="AR29" s="137">
        <f t="shared" si="28"/>
        <v>0</v>
      </c>
      <c r="AS29" s="135">
        <f t="shared" si="28"/>
        <v>0</v>
      </c>
      <c r="AT29" s="136">
        <f t="shared" si="28"/>
        <v>0</v>
      </c>
      <c r="AU29" s="136">
        <f t="shared" si="28"/>
        <v>0</v>
      </c>
      <c r="AV29" s="137">
        <f t="shared" si="28"/>
        <v>0</v>
      </c>
      <c r="AW29" s="135">
        <f t="shared" si="28"/>
        <v>0</v>
      </c>
      <c r="AX29" s="136">
        <f t="shared" si="28"/>
        <v>0</v>
      </c>
      <c r="AY29" s="136">
        <f t="shared" si="28"/>
        <v>0</v>
      </c>
      <c r="AZ29" s="136">
        <f t="shared" si="28"/>
        <v>0</v>
      </c>
      <c r="BA29" s="137">
        <f t="shared" si="28"/>
        <v>0</v>
      </c>
      <c r="BB29" s="138">
        <f t="shared" si="28"/>
        <v>0</v>
      </c>
      <c r="BC29" s="136">
        <f t="shared" si="28"/>
        <v>0</v>
      </c>
      <c r="BD29" s="136">
        <f t="shared" si="28"/>
        <v>0</v>
      </c>
      <c r="BE29" s="137">
        <f t="shared" si="28"/>
        <v>0</v>
      </c>
      <c r="BF29" s="135">
        <f t="shared" si="28"/>
        <v>0</v>
      </c>
      <c r="BG29" s="136">
        <f t="shared" si="28"/>
        <v>0</v>
      </c>
      <c r="BH29" s="136">
        <f t="shared" si="29"/>
        <v>0</v>
      </c>
      <c r="BI29" s="137">
        <f t="shared" si="29"/>
        <v>0</v>
      </c>
      <c r="BJ29" s="138">
        <f t="shared" si="29"/>
        <v>0</v>
      </c>
      <c r="BK29" s="136">
        <f t="shared" si="29"/>
        <v>0</v>
      </c>
      <c r="BL29" s="136">
        <f t="shared" si="29"/>
        <v>0</v>
      </c>
      <c r="BM29" s="136">
        <f t="shared" si="29"/>
        <v>0</v>
      </c>
      <c r="BN29" s="137">
        <f t="shared" si="29"/>
        <v>0</v>
      </c>
      <c r="BO29" s="138">
        <f t="shared" si="29"/>
        <v>0</v>
      </c>
      <c r="BP29" s="136">
        <f t="shared" si="29"/>
        <v>0</v>
      </c>
      <c r="BQ29" s="136">
        <f t="shared" si="29"/>
        <v>0</v>
      </c>
      <c r="BR29" s="137">
        <f t="shared" si="29"/>
        <v>0</v>
      </c>
      <c r="BS29" s="138">
        <f t="shared" si="29"/>
        <v>0</v>
      </c>
      <c r="BT29" s="136">
        <f t="shared" si="29"/>
        <v>0</v>
      </c>
      <c r="BU29" s="136">
        <f t="shared" si="29"/>
        <v>0</v>
      </c>
      <c r="BV29" s="136">
        <f t="shared" si="29"/>
        <v>0</v>
      </c>
      <c r="BW29" s="137">
        <f t="shared" si="29"/>
        <v>0</v>
      </c>
      <c r="BX29" s="138">
        <f t="shared" si="29"/>
        <v>0</v>
      </c>
      <c r="BY29" s="136">
        <f t="shared" si="29"/>
        <v>0</v>
      </c>
      <c r="BZ29" s="136">
        <f t="shared" si="29"/>
        <v>0</v>
      </c>
      <c r="CA29" s="137">
        <f t="shared" si="29"/>
        <v>0</v>
      </c>
      <c r="CB29" s="135">
        <f t="shared" si="29"/>
        <v>0</v>
      </c>
      <c r="CC29" s="136">
        <f t="shared" si="29"/>
        <v>0</v>
      </c>
      <c r="CD29" s="136">
        <f t="shared" si="29"/>
        <v>0</v>
      </c>
      <c r="CE29" s="137">
        <f t="shared" si="29"/>
        <v>0</v>
      </c>
    </row>
    <row r="30" spans="1:83">
      <c r="A30" s="130" t="s">
        <v>74</v>
      </c>
      <c r="B30" s="95"/>
      <c r="C30" s="96"/>
      <c r="D30" s="96"/>
      <c r="E30" s="96"/>
      <c r="F30" s="96"/>
      <c r="G30" s="96"/>
      <c r="H30" s="97"/>
      <c r="I30" s="94">
        <v>10</v>
      </c>
      <c r="J30" s="131">
        <f t="shared" si="23"/>
        <v>1</v>
      </c>
      <c r="K30" s="101">
        <v>0</v>
      </c>
      <c r="L30" s="132">
        <f t="shared" si="24"/>
        <v>0.1</v>
      </c>
      <c r="M30" s="132">
        <f t="shared" si="25"/>
        <v>0</v>
      </c>
      <c r="N30" s="132">
        <f t="shared" si="3"/>
        <v>-0.1</v>
      </c>
      <c r="O30" s="133" t="str">
        <f t="shared" si="26"/>
        <v>지연</v>
      </c>
      <c r="P30" s="104"/>
      <c r="Q30" s="104"/>
      <c r="R30" s="104"/>
      <c r="S30" s="104"/>
      <c r="T30" s="94"/>
      <c r="U30" s="134" t="str">
        <f t="shared" si="2"/>
        <v/>
      </c>
      <c r="V30" s="253">
        <f>NETWORKDAYS(P30,Q30,진행현황_전체!C$59:C$77)</f>
        <v>0</v>
      </c>
      <c r="W30" s="135">
        <f t="shared" si="27"/>
        <v>0</v>
      </c>
      <c r="X30" s="136">
        <f t="shared" si="27"/>
        <v>0</v>
      </c>
      <c r="Y30" s="136">
        <f t="shared" si="27"/>
        <v>0</v>
      </c>
      <c r="Z30" s="136">
        <f t="shared" si="27"/>
        <v>0</v>
      </c>
      <c r="AA30" s="137">
        <f t="shared" si="27"/>
        <v>0</v>
      </c>
      <c r="AB30" s="138">
        <f t="shared" si="27"/>
        <v>0</v>
      </c>
      <c r="AC30" s="136">
        <f t="shared" si="27"/>
        <v>0</v>
      </c>
      <c r="AD30" s="136">
        <f t="shared" si="27"/>
        <v>0</v>
      </c>
      <c r="AE30" s="137">
        <f t="shared" si="27"/>
        <v>0</v>
      </c>
      <c r="AF30" s="135">
        <f t="shared" si="27"/>
        <v>0</v>
      </c>
      <c r="AG30" s="136">
        <f t="shared" si="27"/>
        <v>0</v>
      </c>
      <c r="AH30" s="136">
        <f t="shared" si="27"/>
        <v>0</v>
      </c>
      <c r="AI30" s="137">
        <f t="shared" si="27"/>
        <v>0</v>
      </c>
      <c r="AJ30" s="135">
        <f t="shared" si="27"/>
        <v>0</v>
      </c>
      <c r="AK30" s="138">
        <f t="shared" si="27"/>
        <v>0</v>
      </c>
      <c r="AL30" s="136">
        <f t="shared" si="27"/>
        <v>0</v>
      </c>
      <c r="AM30" s="136">
        <f t="shared" si="27"/>
        <v>0</v>
      </c>
      <c r="AN30" s="194">
        <f t="shared" si="27"/>
        <v>0</v>
      </c>
      <c r="AO30" s="138">
        <f t="shared" si="27"/>
        <v>0</v>
      </c>
      <c r="AP30" s="136">
        <f t="shared" si="27"/>
        <v>0</v>
      </c>
      <c r="AQ30" s="136">
        <f t="shared" si="27"/>
        <v>0</v>
      </c>
      <c r="AR30" s="137">
        <f t="shared" si="28"/>
        <v>0</v>
      </c>
      <c r="AS30" s="135">
        <f t="shared" si="28"/>
        <v>0</v>
      </c>
      <c r="AT30" s="136">
        <f t="shared" si="28"/>
        <v>0</v>
      </c>
      <c r="AU30" s="136">
        <f t="shared" si="28"/>
        <v>0</v>
      </c>
      <c r="AV30" s="137">
        <f t="shared" si="28"/>
        <v>0</v>
      </c>
      <c r="AW30" s="135">
        <f t="shared" si="28"/>
        <v>0</v>
      </c>
      <c r="AX30" s="136">
        <f t="shared" si="28"/>
        <v>0</v>
      </c>
      <c r="AY30" s="136">
        <f t="shared" si="28"/>
        <v>0</v>
      </c>
      <c r="AZ30" s="136">
        <f t="shared" si="28"/>
        <v>0</v>
      </c>
      <c r="BA30" s="137">
        <f t="shared" si="28"/>
        <v>0</v>
      </c>
      <c r="BB30" s="138">
        <f t="shared" si="28"/>
        <v>0</v>
      </c>
      <c r="BC30" s="136">
        <f t="shared" si="28"/>
        <v>0</v>
      </c>
      <c r="BD30" s="136">
        <f t="shared" si="28"/>
        <v>0</v>
      </c>
      <c r="BE30" s="137">
        <f t="shared" si="28"/>
        <v>0</v>
      </c>
      <c r="BF30" s="135">
        <f t="shared" si="28"/>
        <v>0</v>
      </c>
      <c r="BG30" s="136">
        <f t="shared" si="28"/>
        <v>0</v>
      </c>
      <c r="BH30" s="136">
        <f t="shared" si="29"/>
        <v>0</v>
      </c>
      <c r="BI30" s="137">
        <f t="shared" si="29"/>
        <v>0</v>
      </c>
      <c r="BJ30" s="138">
        <f t="shared" si="29"/>
        <v>0</v>
      </c>
      <c r="BK30" s="136">
        <f t="shared" si="29"/>
        <v>0</v>
      </c>
      <c r="BL30" s="136">
        <f t="shared" si="29"/>
        <v>0</v>
      </c>
      <c r="BM30" s="136">
        <f t="shared" si="29"/>
        <v>0</v>
      </c>
      <c r="BN30" s="137">
        <f t="shared" si="29"/>
        <v>0</v>
      </c>
      <c r="BO30" s="138">
        <f t="shared" si="29"/>
        <v>0</v>
      </c>
      <c r="BP30" s="136">
        <f t="shared" si="29"/>
        <v>0</v>
      </c>
      <c r="BQ30" s="136">
        <f t="shared" si="29"/>
        <v>0</v>
      </c>
      <c r="BR30" s="137">
        <f t="shared" si="29"/>
        <v>0</v>
      </c>
      <c r="BS30" s="138">
        <f t="shared" si="29"/>
        <v>0</v>
      </c>
      <c r="BT30" s="136">
        <f t="shared" si="29"/>
        <v>0</v>
      </c>
      <c r="BU30" s="136">
        <f t="shared" si="29"/>
        <v>0</v>
      </c>
      <c r="BV30" s="136">
        <f t="shared" si="29"/>
        <v>0</v>
      </c>
      <c r="BW30" s="137">
        <f t="shared" si="29"/>
        <v>0</v>
      </c>
      <c r="BX30" s="138">
        <f t="shared" si="29"/>
        <v>0</v>
      </c>
      <c r="BY30" s="136">
        <f t="shared" si="29"/>
        <v>0</v>
      </c>
      <c r="BZ30" s="136">
        <f t="shared" si="29"/>
        <v>0</v>
      </c>
      <c r="CA30" s="137">
        <f t="shared" si="29"/>
        <v>0</v>
      </c>
      <c r="CB30" s="135">
        <f t="shared" si="29"/>
        <v>0</v>
      </c>
      <c r="CC30" s="136">
        <f t="shared" si="29"/>
        <v>0</v>
      </c>
      <c r="CD30" s="136">
        <f t="shared" si="29"/>
        <v>0</v>
      </c>
      <c r="CE30" s="137">
        <f t="shared" si="29"/>
        <v>0</v>
      </c>
    </row>
    <row r="31" spans="1:83" ht="17.25" thickBot="1">
      <c r="A31" s="130" t="s">
        <v>75</v>
      </c>
      <c r="B31" s="95"/>
      <c r="C31" s="96"/>
      <c r="D31" s="96"/>
      <c r="E31" s="96"/>
      <c r="F31" s="96"/>
      <c r="G31" s="96"/>
      <c r="H31" s="97"/>
      <c r="I31" s="94">
        <v>10</v>
      </c>
      <c r="J31" s="131">
        <f t="shared" si="23"/>
        <v>1</v>
      </c>
      <c r="K31" s="101">
        <v>0</v>
      </c>
      <c r="L31" s="132">
        <f t="shared" si="24"/>
        <v>0.1</v>
      </c>
      <c r="M31" s="132">
        <f t="shared" si="25"/>
        <v>0</v>
      </c>
      <c r="N31" s="132">
        <f t="shared" si="3"/>
        <v>-0.1</v>
      </c>
      <c r="O31" s="133" t="str">
        <f t="shared" si="26"/>
        <v>지연</v>
      </c>
      <c r="P31" s="104"/>
      <c r="Q31" s="104"/>
      <c r="R31" s="104"/>
      <c r="S31" s="104"/>
      <c r="T31" s="94"/>
      <c r="U31" s="134" t="str">
        <f t="shared" si="2"/>
        <v/>
      </c>
      <c r="V31" s="253">
        <f>NETWORKDAYS(P31,Q31,진행현황_전체!C$59:C$77)</f>
        <v>0</v>
      </c>
      <c r="W31" s="135">
        <f t="shared" si="27"/>
        <v>0</v>
      </c>
      <c r="X31" s="136">
        <f t="shared" si="27"/>
        <v>0</v>
      </c>
      <c r="Y31" s="136">
        <f t="shared" si="27"/>
        <v>0</v>
      </c>
      <c r="Z31" s="136">
        <f t="shared" si="27"/>
        <v>0</v>
      </c>
      <c r="AA31" s="137">
        <f t="shared" si="27"/>
        <v>0</v>
      </c>
      <c r="AB31" s="138">
        <f t="shared" si="27"/>
        <v>0</v>
      </c>
      <c r="AC31" s="136">
        <f t="shared" si="27"/>
        <v>0</v>
      </c>
      <c r="AD31" s="136">
        <f t="shared" si="27"/>
        <v>0</v>
      </c>
      <c r="AE31" s="137">
        <f t="shared" si="27"/>
        <v>0</v>
      </c>
      <c r="AF31" s="135">
        <f t="shared" si="27"/>
        <v>0</v>
      </c>
      <c r="AG31" s="136">
        <f t="shared" si="27"/>
        <v>0</v>
      </c>
      <c r="AH31" s="136">
        <f t="shared" si="27"/>
        <v>0</v>
      </c>
      <c r="AI31" s="137">
        <f t="shared" si="27"/>
        <v>0</v>
      </c>
      <c r="AJ31" s="135">
        <f t="shared" si="27"/>
        <v>0</v>
      </c>
      <c r="AK31" s="138">
        <f t="shared" si="27"/>
        <v>0</v>
      </c>
      <c r="AL31" s="136">
        <f t="shared" si="27"/>
        <v>0</v>
      </c>
      <c r="AM31" s="136">
        <f t="shared" si="27"/>
        <v>0</v>
      </c>
      <c r="AN31" s="194">
        <f t="shared" si="27"/>
        <v>0</v>
      </c>
      <c r="AO31" s="138">
        <f t="shared" si="27"/>
        <v>0</v>
      </c>
      <c r="AP31" s="136">
        <f t="shared" si="27"/>
        <v>0</v>
      </c>
      <c r="AQ31" s="136">
        <f t="shared" si="27"/>
        <v>0</v>
      </c>
      <c r="AR31" s="137">
        <f t="shared" si="28"/>
        <v>0</v>
      </c>
      <c r="AS31" s="135">
        <f t="shared" si="28"/>
        <v>0</v>
      </c>
      <c r="AT31" s="136">
        <f t="shared" si="28"/>
        <v>0</v>
      </c>
      <c r="AU31" s="136">
        <f t="shared" si="28"/>
        <v>0</v>
      </c>
      <c r="AV31" s="137">
        <f t="shared" si="28"/>
        <v>0</v>
      </c>
      <c r="AW31" s="135">
        <f t="shared" si="28"/>
        <v>0</v>
      </c>
      <c r="AX31" s="136">
        <f t="shared" si="28"/>
        <v>0</v>
      </c>
      <c r="AY31" s="136">
        <f t="shared" si="28"/>
        <v>0</v>
      </c>
      <c r="AZ31" s="136">
        <f t="shared" si="28"/>
        <v>0</v>
      </c>
      <c r="BA31" s="137">
        <f t="shared" si="28"/>
        <v>0</v>
      </c>
      <c r="BB31" s="138">
        <f t="shared" si="28"/>
        <v>0</v>
      </c>
      <c r="BC31" s="136">
        <f t="shared" si="28"/>
        <v>0</v>
      </c>
      <c r="BD31" s="136">
        <f t="shared" si="28"/>
        <v>0</v>
      </c>
      <c r="BE31" s="137">
        <f t="shared" si="28"/>
        <v>0</v>
      </c>
      <c r="BF31" s="135">
        <f t="shared" si="28"/>
        <v>0</v>
      </c>
      <c r="BG31" s="136">
        <f t="shared" si="28"/>
        <v>0</v>
      </c>
      <c r="BH31" s="136">
        <f t="shared" si="29"/>
        <v>0</v>
      </c>
      <c r="BI31" s="137">
        <f t="shared" si="29"/>
        <v>0</v>
      </c>
      <c r="BJ31" s="138">
        <f t="shared" si="29"/>
        <v>0</v>
      </c>
      <c r="BK31" s="136">
        <f t="shared" si="29"/>
        <v>0</v>
      </c>
      <c r="BL31" s="136">
        <f t="shared" si="29"/>
        <v>0</v>
      </c>
      <c r="BM31" s="136">
        <f t="shared" si="29"/>
        <v>0</v>
      </c>
      <c r="BN31" s="137">
        <f t="shared" si="29"/>
        <v>0</v>
      </c>
      <c r="BO31" s="138">
        <f t="shared" si="29"/>
        <v>0</v>
      </c>
      <c r="BP31" s="136">
        <f t="shared" si="29"/>
        <v>0</v>
      </c>
      <c r="BQ31" s="136">
        <f t="shared" si="29"/>
        <v>0</v>
      </c>
      <c r="BR31" s="137">
        <f t="shared" si="29"/>
        <v>0</v>
      </c>
      <c r="BS31" s="138">
        <f t="shared" si="29"/>
        <v>0</v>
      </c>
      <c r="BT31" s="136">
        <f t="shared" si="29"/>
        <v>0</v>
      </c>
      <c r="BU31" s="136">
        <f t="shared" si="29"/>
        <v>0</v>
      </c>
      <c r="BV31" s="136">
        <f t="shared" si="29"/>
        <v>0</v>
      </c>
      <c r="BW31" s="137">
        <f t="shared" si="29"/>
        <v>0</v>
      </c>
      <c r="BX31" s="138">
        <f t="shared" si="29"/>
        <v>0</v>
      </c>
      <c r="BY31" s="136">
        <f t="shared" si="29"/>
        <v>0</v>
      </c>
      <c r="BZ31" s="136">
        <f t="shared" si="29"/>
        <v>0</v>
      </c>
      <c r="CA31" s="137">
        <f t="shared" si="29"/>
        <v>0</v>
      </c>
      <c r="CB31" s="135">
        <f t="shared" si="29"/>
        <v>0</v>
      </c>
      <c r="CC31" s="136">
        <f t="shared" si="29"/>
        <v>0</v>
      </c>
      <c r="CD31" s="136">
        <f t="shared" si="29"/>
        <v>0</v>
      </c>
      <c r="CE31" s="137">
        <f t="shared" si="29"/>
        <v>0</v>
      </c>
    </row>
    <row r="32" spans="1:83" ht="17.25" thickBot="1">
      <c r="A32" s="139" t="s">
        <v>77</v>
      </c>
      <c r="B32" s="114" t="str">
        <f>진행현황_템플릿!D15</f>
        <v>단계3</v>
      </c>
      <c r="C32" s="115"/>
      <c r="D32" s="115"/>
      <c r="E32" s="115"/>
      <c r="F32" s="115"/>
      <c r="G32" s="115"/>
      <c r="H32" s="116">
        <f>SUM(I33:I42)</f>
        <v>100</v>
      </c>
      <c r="I32" s="117">
        <f>진행현황_템플릿!D16</f>
        <v>15</v>
      </c>
      <c r="J32" s="118">
        <f>SUM(L33:L42)</f>
        <v>0.99999999999999989</v>
      </c>
      <c r="K32" s="119">
        <f>SUM(M33:M42)</f>
        <v>0</v>
      </c>
      <c r="L32" s="120">
        <f>SUM(L33:L42)*I32</f>
        <v>14.999999999999998</v>
      </c>
      <c r="M32" s="120">
        <f>SUM(M33:M42)*I32</f>
        <v>0</v>
      </c>
      <c r="N32" s="120">
        <f t="shared" si="3"/>
        <v>-14.999999999999998</v>
      </c>
      <c r="O32" s="121"/>
      <c r="P32" s="122">
        <f>MIN(P33:P42)</f>
        <v>0</v>
      </c>
      <c r="Q32" s="122">
        <f>MAX(Q33:Q42)</f>
        <v>0</v>
      </c>
      <c r="R32" s="122">
        <f>MIN(R33:R42)</f>
        <v>0</v>
      </c>
      <c r="S32" s="122">
        <f>MAX(S33:S42)</f>
        <v>0</v>
      </c>
      <c r="T32" s="113"/>
      <c r="U32" s="123" t="str">
        <f t="shared" si="2"/>
        <v/>
      </c>
      <c r="V32" s="124">
        <f>NETWORKDAYS(P32,Q32,진행현황_전체!C$59:C$77)</f>
        <v>0</v>
      </c>
      <c r="W32" s="125"/>
      <c r="X32" s="126"/>
      <c r="Y32" s="126"/>
      <c r="Z32" s="126"/>
      <c r="AA32" s="127"/>
      <c r="AB32" s="129"/>
      <c r="AC32" s="126"/>
      <c r="AD32" s="126"/>
      <c r="AE32" s="127"/>
      <c r="AF32" s="128"/>
      <c r="AG32" s="126"/>
      <c r="AH32" s="126"/>
      <c r="AI32" s="127"/>
      <c r="AJ32" s="128"/>
      <c r="AK32" s="129"/>
      <c r="AL32" s="126"/>
      <c r="AM32" s="126"/>
      <c r="AN32" s="193"/>
      <c r="AO32" s="129"/>
      <c r="AP32" s="126"/>
      <c r="AQ32" s="126"/>
      <c r="AR32" s="127"/>
      <c r="AS32" s="128"/>
      <c r="AT32" s="126"/>
      <c r="AU32" s="126"/>
      <c r="AV32" s="127"/>
      <c r="AW32" s="125"/>
      <c r="AX32" s="126"/>
      <c r="AY32" s="126"/>
      <c r="AZ32" s="126"/>
      <c r="BA32" s="127"/>
      <c r="BB32" s="129"/>
      <c r="BC32" s="126"/>
      <c r="BD32" s="126"/>
      <c r="BE32" s="127"/>
      <c r="BF32" s="128"/>
      <c r="BG32" s="126"/>
      <c r="BH32" s="126"/>
      <c r="BI32" s="127"/>
      <c r="BJ32" s="129"/>
      <c r="BK32" s="126"/>
      <c r="BL32" s="126"/>
      <c r="BM32" s="126"/>
      <c r="BN32" s="127"/>
      <c r="BO32" s="129"/>
      <c r="BP32" s="126"/>
      <c r="BQ32" s="126"/>
      <c r="BR32" s="127"/>
      <c r="BS32" s="129"/>
      <c r="BT32" s="126"/>
      <c r="BU32" s="126"/>
      <c r="BV32" s="126"/>
      <c r="BW32" s="127"/>
      <c r="BX32" s="129"/>
      <c r="BY32" s="126"/>
      <c r="BZ32" s="126"/>
      <c r="CA32" s="127"/>
      <c r="CB32" s="128"/>
      <c r="CC32" s="126"/>
      <c r="CD32" s="126"/>
      <c r="CE32" s="127"/>
    </row>
    <row r="33" spans="1:83">
      <c r="A33" s="130" t="s">
        <v>81</v>
      </c>
      <c r="B33" s="95"/>
      <c r="C33" s="96"/>
      <c r="D33" s="96"/>
      <c r="E33" s="96"/>
      <c r="F33" s="96"/>
      <c r="G33" s="96"/>
      <c r="H33" s="97"/>
      <c r="I33" s="94">
        <v>10</v>
      </c>
      <c r="J33" s="131">
        <f t="shared" ref="J33:J42" si="30">IF(CheckDay&gt;=Q33,1,IF(CheckDay&lt;P33, 0,DAYS360(P33,CheckDay+1)/Y33))</f>
        <v>1</v>
      </c>
      <c r="K33" s="101">
        <v>0</v>
      </c>
      <c r="L33" s="132">
        <f t="shared" ref="L33:L42" si="31">I33*J33/100</f>
        <v>0.1</v>
      </c>
      <c r="M33" s="132">
        <f t="shared" ref="M33:M42" si="32">I33*K33/100</f>
        <v>0</v>
      </c>
      <c r="N33" s="132">
        <f t="shared" si="3"/>
        <v>-0.1</v>
      </c>
      <c r="O33" s="133" t="str">
        <f t="shared" ref="O33:O42" si="33">IF(AND(K33=0%,N33=0),"",IF(N33&lt;0,"지연",IF(K33=100%,"종료","진행")))</f>
        <v>지연</v>
      </c>
      <c r="P33" s="104"/>
      <c r="Q33" s="104"/>
      <c r="R33" s="104"/>
      <c r="S33" s="104"/>
      <c r="T33" s="94"/>
      <c r="U33" s="134" t="str">
        <f t="shared" si="2"/>
        <v/>
      </c>
      <c r="V33" s="253">
        <f>NETWORKDAYS(P33,Q33,진행현황_전체!C$59:C$77)</f>
        <v>0</v>
      </c>
      <c r="W33" s="135">
        <f t="shared" ref="W33:AQ42" si="34">IF(OR((AND($P33&lt;=W$7,AND($Q33&lt;=W$8, $Q33&gt;=W$7))),(AND(AND($P33&gt;=W$7, $P33&lt;=W$8),$Q33&gt;=W$8)), AND($P33&gt;=W$7, $Q33&lt;=W$8), AND($P33&lt;=W$7,$Q33&gt;=W$8)),1,0)</f>
        <v>0</v>
      </c>
      <c r="X33" s="136">
        <f t="shared" si="34"/>
        <v>0</v>
      </c>
      <c r="Y33" s="136">
        <f t="shared" si="34"/>
        <v>0</v>
      </c>
      <c r="Z33" s="136">
        <f t="shared" si="34"/>
        <v>0</v>
      </c>
      <c r="AA33" s="137">
        <f t="shared" si="34"/>
        <v>0</v>
      </c>
      <c r="AB33" s="138">
        <f t="shared" si="34"/>
        <v>0</v>
      </c>
      <c r="AC33" s="136">
        <f t="shared" si="34"/>
        <v>0</v>
      </c>
      <c r="AD33" s="136">
        <f t="shared" si="34"/>
        <v>0</v>
      </c>
      <c r="AE33" s="137">
        <f t="shared" si="34"/>
        <v>0</v>
      </c>
      <c r="AF33" s="135">
        <f t="shared" si="34"/>
        <v>0</v>
      </c>
      <c r="AG33" s="136">
        <f t="shared" si="34"/>
        <v>0</v>
      </c>
      <c r="AH33" s="136">
        <f t="shared" si="34"/>
        <v>0</v>
      </c>
      <c r="AI33" s="137">
        <f t="shared" si="34"/>
        <v>0</v>
      </c>
      <c r="AJ33" s="135">
        <f t="shared" si="34"/>
        <v>0</v>
      </c>
      <c r="AK33" s="138">
        <f t="shared" si="34"/>
        <v>0</v>
      </c>
      <c r="AL33" s="136">
        <f t="shared" si="34"/>
        <v>0</v>
      </c>
      <c r="AM33" s="136">
        <f t="shared" si="34"/>
        <v>0</v>
      </c>
      <c r="AN33" s="194">
        <f t="shared" si="34"/>
        <v>0</v>
      </c>
      <c r="AO33" s="138">
        <f t="shared" si="34"/>
        <v>0</v>
      </c>
      <c r="AP33" s="136">
        <f t="shared" si="34"/>
        <v>0</v>
      </c>
      <c r="AQ33" s="136">
        <f t="shared" si="34"/>
        <v>0</v>
      </c>
      <c r="AR33" s="137">
        <f t="shared" ref="AR33:BG42" si="35">IF(OR((AND($P33&lt;=AR$7,AND($Q33&lt;=AR$8, $Q33&gt;=AR$7))),(AND(AND($P33&gt;=AR$7, $P33&lt;=AR$8),$Q33&gt;=AR$8)), AND($P33&gt;=AR$7, $Q33&lt;=AR$8), AND($P33&lt;=AR$7,$Q33&gt;=AR$8)),1,0)</f>
        <v>0</v>
      </c>
      <c r="AS33" s="135">
        <f t="shared" si="35"/>
        <v>0</v>
      </c>
      <c r="AT33" s="136">
        <f t="shared" si="35"/>
        <v>0</v>
      </c>
      <c r="AU33" s="136">
        <f t="shared" si="35"/>
        <v>0</v>
      </c>
      <c r="AV33" s="137">
        <f t="shared" si="35"/>
        <v>0</v>
      </c>
      <c r="AW33" s="135">
        <f t="shared" si="35"/>
        <v>0</v>
      </c>
      <c r="AX33" s="136">
        <f t="shared" si="35"/>
        <v>0</v>
      </c>
      <c r="AY33" s="136">
        <f t="shared" si="35"/>
        <v>0</v>
      </c>
      <c r="AZ33" s="136">
        <f t="shared" si="35"/>
        <v>0</v>
      </c>
      <c r="BA33" s="137">
        <f t="shared" si="35"/>
        <v>0</v>
      </c>
      <c r="BB33" s="138">
        <f t="shared" si="35"/>
        <v>0</v>
      </c>
      <c r="BC33" s="136">
        <f t="shared" si="35"/>
        <v>0</v>
      </c>
      <c r="BD33" s="136">
        <f t="shared" si="35"/>
        <v>0</v>
      </c>
      <c r="BE33" s="137">
        <f t="shared" si="35"/>
        <v>0</v>
      </c>
      <c r="BF33" s="135">
        <f t="shared" si="35"/>
        <v>0</v>
      </c>
      <c r="BG33" s="136">
        <f t="shared" si="35"/>
        <v>0</v>
      </c>
      <c r="BH33" s="136">
        <f t="shared" ref="BH33:CE42" si="36">IF(OR((AND($P33&lt;=BH$7,AND($Q33&lt;=BH$8, $Q33&gt;=BH$7))),(AND(AND($P33&gt;=BH$7, $P33&lt;=BH$8),$Q33&gt;=BH$8)), AND($P33&gt;=BH$7, $Q33&lt;=BH$8), AND($P33&lt;=BH$7,$Q33&gt;=BH$8)),1,0)</f>
        <v>0</v>
      </c>
      <c r="BI33" s="137">
        <f t="shared" si="36"/>
        <v>0</v>
      </c>
      <c r="BJ33" s="138">
        <f t="shared" si="36"/>
        <v>0</v>
      </c>
      <c r="BK33" s="136">
        <f t="shared" si="36"/>
        <v>0</v>
      </c>
      <c r="BL33" s="136">
        <f t="shared" si="36"/>
        <v>0</v>
      </c>
      <c r="BM33" s="136">
        <f t="shared" si="36"/>
        <v>0</v>
      </c>
      <c r="BN33" s="137">
        <f t="shared" si="36"/>
        <v>0</v>
      </c>
      <c r="BO33" s="138">
        <f t="shared" si="36"/>
        <v>0</v>
      </c>
      <c r="BP33" s="136">
        <f t="shared" si="36"/>
        <v>0</v>
      </c>
      <c r="BQ33" s="136">
        <f t="shared" si="36"/>
        <v>0</v>
      </c>
      <c r="BR33" s="137">
        <f t="shared" si="36"/>
        <v>0</v>
      </c>
      <c r="BS33" s="138">
        <f t="shared" si="36"/>
        <v>0</v>
      </c>
      <c r="BT33" s="136">
        <f t="shared" si="36"/>
        <v>0</v>
      </c>
      <c r="BU33" s="136">
        <f t="shared" si="36"/>
        <v>0</v>
      </c>
      <c r="BV33" s="136">
        <f t="shared" si="36"/>
        <v>0</v>
      </c>
      <c r="BW33" s="137">
        <f t="shared" si="36"/>
        <v>0</v>
      </c>
      <c r="BX33" s="138">
        <f t="shared" si="36"/>
        <v>0</v>
      </c>
      <c r="BY33" s="136">
        <f t="shared" si="36"/>
        <v>0</v>
      </c>
      <c r="BZ33" s="136">
        <f t="shared" si="36"/>
        <v>0</v>
      </c>
      <c r="CA33" s="137">
        <f t="shared" si="36"/>
        <v>0</v>
      </c>
      <c r="CB33" s="135">
        <f t="shared" si="36"/>
        <v>0</v>
      </c>
      <c r="CC33" s="136">
        <f t="shared" si="36"/>
        <v>0</v>
      </c>
      <c r="CD33" s="136">
        <f t="shared" si="36"/>
        <v>0</v>
      </c>
      <c r="CE33" s="137">
        <f t="shared" si="36"/>
        <v>0</v>
      </c>
    </row>
    <row r="34" spans="1:83">
      <c r="A34" s="130" t="s">
        <v>82</v>
      </c>
      <c r="B34" s="95"/>
      <c r="C34" s="96"/>
      <c r="D34" s="96"/>
      <c r="E34" s="96"/>
      <c r="F34" s="96"/>
      <c r="G34" s="96"/>
      <c r="H34" s="97"/>
      <c r="I34" s="94">
        <v>10</v>
      </c>
      <c r="J34" s="131">
        <f t="shared" si="30"/>
        <v>1</v>
      </c>
      <c r="K34" s="101">
        <v>0</v>
      </c>
      <c r="L34" s="132">
        <f t="shared" si="31"/>
        <v>0.1</v>
      </c>
      <c r="M34" s="132">
        <f t="shared" si="32"/>
        <v>0</v>
      </c>
      <c r="N34" s="132">
        <f t="shared" si="3"/>
        <v>-0.1</v>
      </c>
      <c r="O34" s="133" t="str">
        <f t="shared" si="33"/>
        <v>지연</v>
      </c>
      <c r="P34" s="104"/>
      <c r="Q34" s="104"/>
      <c r="R34" s="104"/>
      <c r="S34" s="104"/>
      <c r="T34" s="94"/>
      <c r="U34" s="134" t="str">
        <f t="shared" si="2"/>
        <v/>
      </c>
      <c r="V34" s="253">
        <f>NETWORKDAYS(P34,Q34,진행현황_전체!C$59:C$77)</f>
        <v>0</v>
      </c>
      <c r="W34" s="135">
        <f t="shared" si="34"/>
        <v>0</v>
      </c>
      <c r="X34" s="136">
        <f t="shared" si="34"/>
        <v>0</v>
      </c>
      <c r="Y34" s="136">
        <f t="shared" si="34"/>
        <v>0</v>
      </c>
      <c r="Z34" s="136">
        <f t="shared" si="34"/>
        <v>0</v>
      </c>
      <c r="AA34" s="137">
        <f t="shared" si="34"/>
        <v>0</v>
      </c>
      <c r="AB34" s="138">
        <f t="shared" si="34"/>
        <v>0</v>
      </c>
      <c r="AC34" s="136">
        <f t="shared" si="34"/>
        <v>0</v>
      </c>
      <c r="AD34" s="136">
        <f t="shared" si="34"/>
        <v>0</v>
      </c>
      <c r="AE34" s="137">
        <f t="shared" si="34"/>
        <v>0</v>
      </c>
      <c r="AF34" s="135">
        <f t="shared" si="34"/>
        <v>0</v>
      </c>
      <c r="AG34" s="136">
        <f t="shared" si="34"/>
        <v>0</v>
      </c>
      <c r="AH34" s="136">
        <f t="shared" si="34"/>
        <v>0</v>
      </c>
      <c r="AI34" s="137">
        <f t="shared" si="34"/>
        <v>0</v>
      </c>
      <c r="AJ34" s="135">
        <f t="shared" si="34"/>
        <v>0</v>
      </c>
      <c r="AK34" s="138">
        <f t="shared" si="34"/>
        <v>0</v>
      </c>
      <c r="AL34" s="136">
        <f t="shared" si="34"/>
        <v>0</v>
      </c>
      <c r="AM34" s="136">
        <f t="shared" si="34"/>
        <v>0</v>
      </c>
      <c r="AN34" s="194">
        <f t="shared" si="34"/>
        <v>0</v>
      </c>
      <c r="AO34" s="138">
        <f t="shared" si="34"/>
        <v>0</v>
      </c>
      <c r="AP34" s="136">
        <f t="shared" si="34"/>
        <v>0</v>
      </c>
      <c r="AQ34" s="136">
        <f t="shared" si="34"/>
        <v>0</v>
      </c>
      <c r="AR34" s="137">
        <f t="shared" si="35"/>
        <v>0</v>
      </c>
      <c r="AS34" s="135">
        <f t="shared" si="35"/>
        <v>0</v>
      </c>
      <c r="AT34" s="136">
        <f t="shared" si="35"/>
        <v>0</v>
      </c>
      <c r="AU34" s="136">
        <f t="shared" si="35"/>
        <v>0</v>
      </c>
      <c r="AV34" s="137">
        <f t="shared" si="35"/>
        <v>0</v>
      </c>
      <c r="AW34" s="135">
        <f t="shared" si="35"/>
        <v>0</v>
      </c>
      <c r="AX34" s="136">
        <f t="shared" si="35"/>
        <v>0</v>
      </c>
      <c r="AY34" s="136">
        <f t="shared" si="35"/>
        <v>0</v>
      </c>
      <c r="AZ34" s="136">
        <f t="shared" si="35"/>
        <v>0</v>
      </c>
      <c r="BA34" s="137">
        <f t="shared" si="35"/>
        <v>0</v>
      </c>
      <c r="BB34" s="138">
        <f t="shared" si="35"/>
        <v>0</v>
      </c>
      <c r="BC34" s="136">
        <f t="shared" si="35"/>
        <v>0</v>
      </c>
      <c r="BD34" s="136">
        <f t="shared" si="35"/>
        <v>0</v>
      </c>
      <c r="BE34" s="137">
        <f t="shared" si="35"/>
        <v>0</v>
      </c>
      <c r="BF34" s="135">
        <f t="shared" si="35"/>
        <v>0</v>
      </c>
      <c r="BG34" s="136">
        <f t="shared" si="35"/>
        <v>0</v>
      </c>
      <c r="BH34" s="136">
        <f t="shared" si="36"/>
        <v>0</v>
      </c>
      <c r="BI34" s="137">
        <f t="shared" si="36"/>
        <v>0</v>
      </c>
      <c r="BJ34" s="138">
        <f t="shared" si="36"/>
        <v>0</v>
      </c>
      <c r="BK34" s="136">
        <f t="shared" si="36"/>
        <v>0</v>
      </c>
      <c r="BL34" s="136">
        <f t="shared" si="36"/>
        <v>0</v>
      </c>
      <c r="BM34" s="136">
        <f t="shared" si="36"/>
        <v>0</v>
      </c>
      <c r="BN34" s="137">
        <f t="shared" si="36"/>
        <v>0</v>
      </c>
      <c r="BO34" s="138">
        <f t="shared" si="36"/>
        <v>0</v>
      </c>
      <c r="BP34" s="136">
        <f t="shared" si="36"/>
        <v>0</v>
      </c>
      <c r="BQ34" s="136">
        <f t="shared" si="36"/>
        <v>0</v>
      </c>
      <c r="BR34" s="137">
        <f t="shared" si="36"/>
        <v>0</v>
      </c>
      <c r="BS34" s="138">
        <f t="shared" si="36"/>
        <v>0</v>
      </c>
      <c r="BT34" s="136">
        <f t="shared" si="36"/>
        <v>0</v>
      </c>
      <c r="BU34" s="136">
        <f t="shared" si="36"/>
        <v>0</v>
      </c>
      <c r="BV34" s="136">
        <f t="shared" si="36"/>
        <v>0</v>
      </c>
      <c r="BW34" s="137">
        <f t="shared" si="36"/>
        <v>0</v>
      </c>
      <c r="BX34" s="138">
        <f t="shared" si="36"/>
        <v>0</v>
      </c>
      <c r="BY34" s="136">
        <f t="shared" si="36"/>
        <v>0</v>
      </c>
      <c r="BZ34" s="136">
        <f t="shared" si="36"/>
        <v>0</v>
      </c>
      <c r="CA34" s="137">
        <f t="shared" si="36"/>
        <v>0</v>
      </c>
      <c r="CB34" s="135">
        <f t="shared" si="36"/>
        <v>0</v>
      </c>
      <c r="CC34" s="136">
        <f t="shared" si="36"/>
        <v>0</v>
      </c>
      <c r="CD34" s="136">
        <f t="shared" si="36"/>
        <v>0</v>
      </c>
      <c r="CE34" s="137">
        <f t="shared" si="36"/>
        <v>0</v>
      </c>
    </row>
    <row r="35" spans="1:83">
      <c r="A35" s="130" t="s">
        <v>83</v>
      </c>
      <c r="B35" s="95"/>
      <c r="C35" s="96"/>
      <c r="D35" s="96"/>
      <c r="E35" s="96"/>
      <c r="F35" s="96"/>
      <c r="G35" s="96"/>
      <c r="H35" s="97"/>
      <c r="I35" s="94">
        <v>10</v>
      </c>
      <c r="J35" s="131">
        <f t="shared" si="30"/>
        <v>1</v>
      </c>
      <c r="K35" s="101">
        <v>0</v>
      </c>
      <c r="L35" s="132">
        <f t="shared" si="31"/>
        <v>0.1</v>
      </c>
      <c r="M35" s="132">
        <f t="shared" si="32"/>
        <v>0</v>
      </c>
      <c r="N35" s="132">
        <f t="shared" si="3"/>
        <v>-0.1</v>
      </c>
      <c r="O35" s="133" t="str">
        <f t="shared" si="33"/>
        <v>지연</v>
      </c>
      <c r="P35" s="104"/>
      <c r="Q35" s="104"/>
      <c r="R35" s="104"/>
      <c r="S35" s="104"/>
      <c r="T35" s="94"/>
      <c r="U35" s="134" t="str">
        <f t="shared" si="2"/>
        <v/>
      </c>
      <c r="V35" s="253">
        <f>NETWORKDAYS(P35,Q35,진행현황_전체!C$59:C$77)</f>
        <v>0</v>
      </c>
      <c r="W35" s="135">
        <f t="shared" si="34"/>
        <v>0</v>
      </c>
      <c r="X35" s="136">
        <f t="shared" si="34"/>
        <v>0</v>
      </c>
      <c r="Y35" s="136">
        <f t="shared" si="34"/>
        <v>0</v>
      </c>
      <c r="Z35" s="136">
        <f t="shared" si="34"/>
        <v>0</v>
      </c>
      <c r="AA35" s="137">
        <f t="shared" si="34"/>
        <v>0</v>
      </c>
      <c r="AB35" s="138">
        <f t="shared" si="34"/>
        <v>0</v>
      </c>
      <c r="AC35" s="136">
        <f t="shared" si="34"/>
        <v>0</v>
      </c>
      <c r="AD35" s="136">
        <f t="shared" si="34"/>
        <v>0</v>
      </c>
      <c r="AE35" s="137">
        <f t="shared" si="34"/>
        <v>0</v>
      </c>
      <c r="AF35" s="135">
        <f t="shared" si="34"/>
        <v>0</v>
      </c>
      <c r="AG35" s="136">
        <f t="shared" si="34"/>
        <v>0</v>
      </c>
      <c r="AH35" s="136">
        <f t="shared" si="34"/>
        <v>0</v>
      </c>
      <c r="AI35" s="137">
        <f t="shared" si="34"/>
        <v>0</v>
      </c>
      <c r="AJ35" s="135">
        <f t="shared" si="34"/>
        <v>0</v>
      </c>
      <c r="AK35" s="138">
        <f t="shared" si="34"/>
        <v>0</v>
      </c>
      <c r="AL35" s="136">
        <f t="shared" si="34"/>
        <v>0</v>
      </c>
      <c r="AM35" s="136">
        <f t="shared" si="34"/>
        <v>0</v>
      </c>
      <c r="AN35" s="194">
        <f t="shared" si="34"/>
        <v>0</v>
      </c>
      <c r="AO35" s="138">
        <f t="shared" si="34"/>
        <v>0</v>
      </c>
      <c r="AP35" s="136">
        <f t="shared" si="34"/>
        <v>0</v>
      </c>
      <c r="AQ35" s="136">
        <f t="shared" si="34"/>
        <v>0</v>
      </c>
      <c r="AR35" s="137">
        <f t="shared" si="35"/>
        <v>0</v>
      </c>
      <c r="AS35" s="135">
        <f t="shared" si="35"/>
        <v>0</v>
      </c>
      <c r="AT35" s="136">
        <f t="shared" si="35"/>
        <v>0</v>
      </c>
      <c r="AU35" s="136">
        <f t="shared" si="35"/>
        <v>0</v>
      </c>
      <c r="AV35" s="137">
        <f t="shared" si="35"/>
        <v>0</v>
      </c>
      <c r="AW35" s="135">
        <f t="shared" si="35"/>
        <v>0</v>
      </c>
      <c r="AX35" s="136">
        <f t="shared" si="35"/>
        <v>0</v>
      </c>
      <c r="AY35" s="136">
        <f t="shared" si="35"/>
        <v>0</v>
      </c>
      <c r="AZ35" s="136">
        <f t="shared" si="35"/>
        <v>0</v>
      </c>
      <c r="BA35" s="137">
        <f t="shared" si="35"/>
        <v>0</v>
      </c>
      <c r="BB35" s="138">
        <f t="shared" si="35"/>
        <v>0</v>
      </c>
      <c r="BC35" s="136">
        <f t="shared" si="35"/>
        <v>0</v>
      </c>
      <c r="BD35" s="136">
        <f t="shared" si="35"/>
        <v>0</v>
      </c>
      <c r="BE35" s="137">
        <f t="shared" si="35"/>
        <v>0</v>
      </c>
      <c r="BF35" s="135">
        <f t="shared" si="35"/>
        <v>0</v>
      </c>
      <c r="BG35" s="136">
        <f t="shared" si="35"/>
        <v>0</v>
      </c>
      <c r="BH35" s="136">
        <f t="shared" si="36"/>
        <v>0</v>
      </c>
      <c r="BI35" s="137">
        <f t="shared" si="36"/>
        <v>0</v>
      </c>
      <c r="BJ35" s="138">
        <f t="shared" si="36"/>
        <v>0</v>
      </c>
      <c r="BK35" s="136">
        <f t="shared" si="36"/>
        <v>0</v>
      </c>
      <c r="BL35" s="136">
        <f t="shared" si="36"/>
        <v>0</v>
      </c>
      <c r="BM35" s="136">
        <f t="shared" si="36"/>
        <v>0</v>
      </c>
      <c r="BN35" s="137">
        <f t="shared" si="36"/>
        <v>0</v>
      </c>
      <c r="BO35" s="138">
        <f t="shared" si="36"/>
        <v>0</v>
      </c>
      <c r="BP35" s="136">
        <f t="shared" si="36"/>
        <v>0</v>
      </c>
      <c r="BQ35" s="136">
        <f t="shared" si="36"/>
        <v>0</v>
      </c>
      <c r="BR35" s="137">
        <f t="shared" si="36"/>
        <v>0</v>
      </c>
      <c r="BS35" s="138">
        <f t="shared" si="36"/>
        <v>0</v>
      </c>
      <c r="BT35" s="136">
        <f t="shared" si="36"/>
        <v>0</v>
      </c>
      <c r="BU35" s="136">
        <f t="shared" si="36"/>
        <v>0</v>
      </c>
      <c r="BV35" s="136">
        <f t="shared" si="36"/>
        <v>0</v>
      </c>
      <c r="BW35" s="137">
        <f t="shared" si="36"/>
        <v>0</v>
      </c>
      <c r="BX35" s="138">
        <f t="shared" si="36"/>
        <v>0</v>
      </c>
      <c r="BY35" s="136">
        <f t="shared" si="36"/>
        <v>0</v>
      </c>
      <c r="BZ35" s="136">
        <f t="shared" si="36"/>
        <v>0</v>
      </c>
      <c r="CA35" s="137">
        <f t="shared" si="36"/>
        <v>0</v>
      </c>
      <c r="CB35" s="135">
        <f t="shared" si="36"/>
        <v>0</v>
      </c>
      <c r="CC35" s="136">
        <f t="shared" si="36"/>
        <v>0</v>
      </c>
      <c r="CD35" s="136">
        <f t="shared" si="36"/>
        <v>0</v>
      </c>
      <c r="CE35" s="137">
        <f t="shared" si="36"/>
        <v>0</v>
      </c>
    </row>
    <row r="36" spans="1:83">
      <c r="A36" s="130" t="s">
        <v>84</v>
      </c>
      <c r="B36" s="95"/>
      <c r="C36" s="96"/>
      <c r="D36" s="96"/>
      <c r="E36" s="96"/>
      <c r="F36" s="96"/>
      <c r="G36" s="96"/>
      <c r="H36" s="97"/>
      <c r="I36" s="94">
        <v>10</v>
      </c>
      <c r="J36" s="131">
        <f t="shared" si="30"/>
        <v>1</v>
      </c>
      <c r="K36" s="101">
        <v>0</v>
      </c>
      <c r="L36" s="132">
        <f t="shared" si="31"/>
        <v>0.1</v>
      </c>
      <c r="M36" s="132">
        <f t="shared" si="32"/>
        <v>0</v>
      </c>
      <c r="N36" s="132">
        <f t="shared" si="3"/>
        <v>-0.1</v>
      </c>
      <c r="O36" s="133" t="str">
        <f t="shared" si="33"/>
        <v>지연</v>
      </c>
      <c r="P36" s="104"/>
      <c r="Q36" s="104"/>
      <c r="R36" s="104"/>
      <c r="S36" s="104"/>
      <c r="T36" s="94"/>
      <c r="U36" s="134" t="str">
        <f t="shared" si="2"/>
        <v/>
      </c>
      <c r="V36" s="253">
        <f>NETWORKDAYS(P36,Q36,진행현황_전체!C$59:C$77)</f>
        <v>0</v>
      </c>
      <c r="W36" s="135">
        <f t="shared" si="34"/>
        <v>0</v>
      </c>
      <c r="X36" s="136">
        <f t="shared" si="34"/>
        <v>0</v>
      </c>
      <c r="Y36" s="136">
        <f t="shared" si="34"/>
        <v>0</v>
      </c>
      <c r="Z36" s="136">
        <f t="shared" si="34"/>
        <v>0</v>
      </c>
      <c r="AA36" s="137">
        <f t="shared" si="34"/>
        <v>0</v>
      </c>
      <c r="AB36" s="138">
        <f t="shared" si="34"/>
        <v>0</v>
      </c>
      <c r="AC36" s="136">
        <f t="shared" si="34"/>
        <v>0</v>
      </c>
      <c r="AD36" s="136">
        <f t="shared" si="34"/>
        <v>0</v>
      </c>
      <c r="AE36" s="137">
        <f t="shared" si="34"/>
        <v>0</v>
      </c>
      <c r="AF36" s="135">
        <f t="shared" si="34"/>
        <v>0</v>
      </c>
      <c r="AG36" s="136">
        <f t="shared" si="34"/>
        <v>0</v>
      </c>
      <c r="AH36" s="136">
        <f t="shared" si="34"/>
        <v>0</v>
      </c>
      <c r="AI36" s="137">
        <f t="shared" si="34"/>
        <v>0</v>
      </c>
      <c r="AJ36" s="135">
        <f t="shared" si="34"/>
        <v>0</v>
      </c>
      <c r="AK36" s="138">
        <f t="shared" si="34"/>
        <v>0</v>
      </c>
      <c r="AL36" s="136">
        <f t="shared" si="34"/>
        <v>0</v>
      </c>
      <c r="AM36" s="136">
        <f t="shared" si="34"/>
        <v>0</v>
      </c>
      <c r="AN36" s="194">
        <f t="shared" si="34"/>
        <v>0</v>
      </c>
      <c r="AO36" s="138">
        <f t="shared" si="34"/>
        <v>0</v>
      </c>
      <c r="AP36" s="136">
        <f t="shared" si="34"/>
        <v>0</v>
      </c>
      <c r="AQ36" s="136">
        <f t="shared" si="34"/>
        <v>0</v>
      </c>
      <c r="AR36" s="137">
        <f t="shared" si="35"/>
        <v>0</v>
      </c>
      <c r="AS36" s="135">
        <f t="shared" si="35"/>
        <v>0</v>
      </c>
      <c r="AT36" s="136">
        <f t="shared" si="35"/>
        <v>0</v>
      </c>
      <c r="AU36" s="136">
        <f t="shared" si="35"/>
        <v>0</v>
      </c>
      <c r="AV36" s="137">
        <f t="shared" si="35"/>
        <v>0</v>
      </c>
      <c r="AW36" s="135">
        <f t="shared" si="35"/>
        <v>0</v>
      </c>
      <c r="AX36" s="136">
        <f t="shared" si="35"/>
        <v>0</v>
      </c>
      <c r="AY36" s="136">
        <f t="shared" si="35"/>
        <v>0</v>
      </c>
      <c r="AZ36" s="136">
        <f t="shared" si="35"/>
        <v>0</v>
      </c>
      <c r="BA36" s="137">
        <f t="shared" si="35"/>
        <v>0</v>
      </c>
      <c r="BB36" s="138">
        <f t="shared" si="35"/>
        <v>0</v>
      </c>
      <c r="BC36" s="136">
        <f t="shared" si="35"/>
        <v>0</v>
      </c>
      <c r="BD36" s="136">
        <f t="shared" si="35"/>
        <v>0</v>
      </c>
      <c r="BE36" s="137">
        <f t="shared" si="35"/>
        <v>0</v>
      </c>
      <c r="BF36" s="135">
        <f t="shared" si="35"/>
        <v>0</v>
      </c>
      <c r="BG36" s="136">
        <f t="shared" si="35"/>
        <v>0</v>
      </c>
      <c r="BH36" s="136">
        <f t="shared" si="36"/>
        <v>0</v>
      </c>
      <c r="BI36" s="137">
        <f t="shared" si="36"/>
        <v>0</v>
      </c>
      <c r="BJ36" s="138">
        <f t="shared" si="36"/>
        <v>0</v>
      </c>
      <c r="BK36" s="136">
        <f t="shared" si="36"/>
        <v>0</v>
      </c>
      <c r="BL36" s="136">
        <f t="shared" si="36"/>
        <v>0</v>
      </c>
      <c r="BM36" s="136">
        <f t="shared" si="36"/>
        <v>0</v>
      </c>
      <c r="BN36" s="137">
        <f t="shared" si="36"/>
        <v>0</v>
      </c>
      <c r="BO36" s="138">
        <f t="shared" si="36"/>
        <v>0</v>
      </c>
      <c r="BP36" s="136">
        <f t="shared" si="36"/>
        <v>0</v>
      </c>
      <c r="BQ36" s="136">
        <f t="shared" si="36"/>
        <v>0</v>
      </c>
      <c r="BR36" s="137">
        <f t="shared" si="36"/>
        <v>0</v>
      </c>
      <c r="BS36" s="138">
        <f t="shared" si="36"/>
        <v>0</v>
      </c>
      <c r="BT36" s="136">
        <f t="shared" si="36"/>
        <v>0</v>
      </c>
      <c r="BU36" s="136">
        <f t="shared" si="36"/>
        <v>0</v>
      </c>
      <c r="BV36" s="136">
        <f t="shared" si="36"/>
        <v>0</v>
      </c>
      <c r="BW36" s="137">
        <f t="shared" si="36"/>
        <v>0</v>
      </c>
      <c r="BX36" s="138">
        <f t="shared" si="36"/>
        <v>0</v>
      </c>
      <c r="BY36" s="136">
        <f t="shared" si="36"/>
        <v>0</v>
      </c>
      <c r="BZ36" s="136">
        <f t="shared" si="36"/>
        <v>0</v>
      </c>
      <c r="CA36" s="137">
        <f t="shared" si="36"/>
        <v>0</v>
      </c>
      <c r="CB36" s="135">
        <f t="shared" si="36"/>
        <v>0</v>
      </c>
      <c r="CC36" s="136">
        <f t="shared" si="36"/>
        <v>0</v>
      </c>
      <c r="CD36" s="136">
        <f t="shared" si="36"/>
        <v>0</v>
      </c>
      <c r="CE36" s="137">
        <f t="shared" si="36"/>
        <v>0</v>
      </c>
    </row>
    <row r="37" spans="1:83">
      <c r="A37" s="130" t="s">
        <v>85</v>
      </c>
      <c r="B37" s="95"/>
      <c r="C37" s="96"/>
      <c r="D37" s="96"/>
      <c r="E37" s="96"/>
      <c r="F37" s="96"/>
      <c r="G37" s="96"/>
      <c r="H37" s="97"/>
      <c r="I37" s="94">
        <v>10</v>
      </c>
      <c r="J37" s="131">
        <f t="shared" si="30"/>
        <v>1</v>
      </c>
      <c r="K37" s="101">
        <v>0</v>
      </c>
      <c r="L37" s="132">
        <f t="shared" si="31"/>
        <v>0.1</v>
      </c>
      <c r="M37" s="132">
        <f t="shared" si="32"/>
        <v>0</v>
      </c>
      <c r="N37" s="132">
        <f t="shared" si="3"/>
        <v>-0.1</v>
      </c>
      <c r="O37" s="133" t="str">
        <f t="shared" si="33"/>
        <v>지연</v>
      </c>
      <c r="P37" s="104"/>
      <c r="Q37" s="104"/>
      <c r="R37" s="104"/>
      <c r="S37" s="104"/>
      <c r="T37" s="94"/>
      <c r="U37" s="134" t="str">
        <f t="shared" si="2"/>
        <v/>
      </c>
      <c r="V37" s="253">
        <f>NETWORKDAYS(P37,Q37,진행현황_전체!C$59:C$77)</f>
        <v>0</v>
      </c>
      <c r="W37" s="135">
        <f t="shared" si="34"/>
        <v>0</v>
      </c>
      <c r="X37" s="136">
        <f t="shared" si="34"/>
        <v>0</v>
      </c>
      <c r="Y37" s="136">
        <f t="shared" si="34"/>
        <v>0</v>
      </c>
      <c r="Z37" s="136">
        <f t="shared" si="34"/>
        <v>0</v>
      </c>
      <c r="AA37" s="137">
        <f t="shared" si="34"/>
        <v>0</v>
      </c>
      <c r="AB37" s="138">
        <f t="shared" si="34"/>
        <v>0</v>
      </c>
      <c r="AC37" s="136">
        <f t="shared" si="34"/>
        <v>0</v>
      </c>
      <c r="AD37" s="136">
        <f t="shared" si="34"/>
        <v>0</v>
      </c>
      <c r="AE37" s="137">
        <f t="shared" si="34"/>
        <v>0</v>
      </c>
      <c r="AF37" s="135">
        <f t="shared" si="34"/>
        <v>0</v>
      </c>
      <c r="AG37" s="136">
        <f t="shared" si="34"/>
        <v>0</v>
      </c>
      <c r="AH37" s="136">
        <f t="shared" si="34"/>
        <v>0</v>
      </c>
      <c r="AI37" s="137">
        <f t="shared" si="34"/>
        <v>0</v>
      </c>
      <c r="AJ37" s="135">
        <f t="shared" si="34"/>
        <v>0</v>
      </c>
      <c r="AK37" s="138">
        <f t="shared" si="34"/>
        <v>0</v>
      </c>
      <c r="AL37" s="136">
        <f t="shared" si="34"/>
        <v>0</v>
      </c>
      <c r="AM37" s="136">
        <f t="shared" si="34"/>
        <v>0</v>
      </c>
      <c r="AN37" s="194">
        <f t="shared" si="34"/>
        <v>0</v>
      </c>
      <c r="AO37" s="138">
        <f t="shared" si="34"/>
        <v>0</v>
      </c>
      <c r="AP37" s="136">
        <f t="shared" si="34"/>
        <v>0</v>
      </c>
      <c r="AQ37" s="136">
        <f t="shared" si="34"/>
        <v>0</v>
      </c>
      <c r="AR37" s="137">
        <f t="shared" si="35"/>
        <v>0</v>
      </c>
      <c r="AS37" s="135">
        <f t="shared" si="35"/>
        <v>0</v>
      </c>
      <c r="AT37" s="136">
        <f t="shared" si="35"/>
        <v>0</v>
      </c>
      <c r="AU37" s="136">
        <f t="shared" si="35"/>
        <v>0</v>
      </c>
      <c r="AV37" s="137">
        <f t="shared" si="35"/>
        <v>0</v>
      </c>
      <c r="AW37" s="135">
        <f t="shared" si="35"/>
        <v>0</v>
      </c>
      <c r="AX37" s="136">
        <f t="shared" si="35"/>
        <v>0</v>
      </c>
      <c r="AY37" s="136">
        <f t="shared" si="35"/>
        <v>0</v>
      </c>
      <c r="AZ37" s="136">
        <f t="shared" si="35"/>
        <v>0</v>
      </c>
      <c r="BA37" s="137">
        <f t="shared" si="35"/>
        <v>0</v>
      </c>
      <c r="BB37" s="138">
        <f t="shared" si="35"/>
        <v>0</v>
      </c>
      <c r="BC37" s="136">
        <f t="shared" si="35"/>
        <v>0</v>
      </c>
      <c r="BD37" s="136">
        <f t="shared" si="35"/>
        <v>0</v>
      </c>
      <c r="BE37" s="137">
        <f t="shared" si="35"/>
        <v>0</v>
      </c>
      <c r="BF37" s="135">
        <f t="shared" si="35"/>
        <v>0</v>
      </c>
      <c r="BG37" s="136">
        <f t="shared" si="35"/>
        <v>0</v>
      </c>
      <c r="BH37" s="136">
        <f t="shared" si="36"/>
        <v>0</v>
      </c>
      <c r="BI37" s="137">
        <f t="shared" si="36"/>
        <v>0</v>
      </c>
      <c r="BJ37" s="138">
        <f t="shared" si="36"/>
        <v>0</v>
      </c>
      <c r="BK37" s="136">
        <f t="shared" si="36"/>
        <v>0</v>
      </c>
      <c r="BL37" s="136">
        <f t="shared" si="36"/>
        <v>0</v>
      </c>
      <c r="BM37" s="136">
        <f t="shared" si="36"/>
        <v>0</v>
      </c>
      <c r="BN37" s="137">
        <f t="shared" si="36"/>
        <v>0</v>
      </c>
      <c r="BO37" s="138">
        <f t="shared" si="36"/>
        <v>0</v>
      </c>
      <c r="BP37" s="136">
        <f t="shared" si="36"/>
        <v>0</v>
      </c>
      <c r="BQ37" s="136">
        <f t="shared" si="36"/>
        <v>0</v>
      </c>
      <c r="BR37" s="137">
        <f t="shared" si="36"/>
        <v>0</v>
      </c>
      <c r="BS37" s="138">
        <f t="shared" si="36"/>
        <v>0</v>
      </c>
      <c r="BT37" s="136">
        <f t="shared" si="36"/>
        <v>0</v>
      </c>
      <c r="BU37" s="136">
        <f t="shared" si="36"/>
        <v>0</v>
      </c>
      <c r="BV37" s="136">
        <f t="shared" si="36"/>
        <v>0</v>
      </c>
      <c r="BW37" s="137">
        <f t="shared" si="36"/>
        <v>0</v>
      </c>
      <c r="BX37" s="138">
        <f t="shared" si="36"/>
        <v>0</v>
      </c>
      <c r="BY37" s="136">
        <f t="shared" si="36"/>
        <v>0</v>
      </c>
      <c r="BZ37" s="136">
        <f t="shared" si="36"/>
        <v>0</v>
      </c>
      <c r="CA37" s="137">
        <f t="shared" si="36"/>
        <v>0</v>
      </c>
      <c r="CB37" s="135">
        <f t="shared" si="36"/>
        <v>0</v>
      </c>
      <c r="CC37" s="136">
        <f t="shared" si="36"/>
        <v>0</v>
      </c>
      <c r="CD37" s="136">
        <f t="shared" si="36"/>
        <v>0</v>
      </c>
      <c r="CE37" s="137">
        <f t="shared" si="36"/>
        <v>0</v>
      </c>
    </row>
    <row r="38" spans="1:83">
      <c r="A38" s="130" t="s">
        <v>86</v>
      </c>
      <c r="B38" s="95"/>
      <c r="C38" s="96"/>
      <c r="D38" s="96"/>
      <c r="E38" s="96"/>
      <c r="F38" s="96"/>
      <c r="G38" s="96"/>
      <c r="H38" s="97"/>
      <c r="I38" s="94">
        <v>10</v>
      </c>
      <c r="J38" s="131">
        <f t="shared" si="30"/>
        <v>1</v>
      </c>
      <c r="K38" s="101">
        <v>0</v>
      </c>
      <c r="L38" s="132">
        <f t="shared" si="31"/>
        <v>0.1</v>
      </c>
      <c r="M38" s="132">
        <f t="shared" si="32"/>
        <v>0</v>
      </c>
      <c r="N38" s="132">
        <f t="shared" si="3"/>
        <v>-0.1</v>
      </c>
      <c r="O38" s="133" t="str">
        <f t="shared" si="33"/>
        <v>지연</v>
      </c>
      <c r="P38" s="104"/>
      <c r="Q38" s="104"/>
      <c r="R38" s="104"/>
      <c r="S38" s="104"/>
      <c r="T38" s="130"/>
      <c r="U38" s="134" t="str">
        <f t="shared" si="2"/>
        <v/>
      </c>
      <c r="V38" s="253">
        <f>NETWORKDAYS(P38,Q38,진행현황_전체!C$59:C$77)</f>
        <v>0</v>
      </c>
      <c r="W38" s="135">
        <f t="shared" si="34"/>
        <v>0</v>
      </c>
      <c r="X38" s="136">
        <f t="shared" si="34"/>
        <v>0</v>
      </c>
      <c r="Y38" s="136">
        <f t="shared" si="34"/>
        <v>0</v>
      </c>
      <c r="Z38" s="136">
        <f t="shared" si="34"/>
        <v>0</v>
      </c>
      <c r="AA38" s="137">
        <f t="shared" si="34"/>
        <v>0</v>
      </c>
      <c r="AB38" s="138">
        <f t="shared" si="34"/>
        <v>0</v>
      </c>
      <c r="AC38" s="136">
        <f t="shared" si="34"/>
        <v>0</v>
      </c>
      <c r="AD38" s="136">
        <f t="shared" si="34"/>
        <v>0</v>
      </c>
      <c r="AE38" s="137">
        <f t="shared" si="34"/>
        <v>0</v>
      </c>
      <c r="AF38" s="135">
        <f t="shared" si="34"/>
        <v>0</v>
      </c>
      <c r="AG38" s="136">
        <f t="shared" si="34"/>
        <v>0</v>
      </c>
      <c r="AH38" s="136">
        <f t="shared" si="34"/>
        <v>0</v>
      </c>
      <c r="AI38" s="137">
        <f t="shared" si="34"/>
        <v>0</v>
      </c>
      <c r="AJ38" s="135">
        <f t="shared" si="34"/>
        <v>0</v>
      </c>
      <c r="AK38" s="138">
        <f t="shared" si="34"/>
        <v>0</v>
      </c>
      <c r="AL38" s="136">
        <f t="shared" si="34"/>
        <v>0</v>
      </c>
      <c r="AM38" s="136">
        <f t="shared" si="34"/>
        <v>0</v>
      </c>
      <c r="AN38" s="194">
        <f t="shared" si="34"/>
        <v>0</v>
      </c>
      <c r="AO38" s="138">
        <f t="shared" si="34"/>
        <v>0</v>
      </c>
      <c r="AP38" s="136">
        <f t="shared" si="34"/>
        <v>0</v>
      </c>
      <c r="AQ38" s="136">
        <f t="shared" si="34"/>
        <v>0</v>
      </c>
      <c r="AR38" s="137">
        <f t="shared" si="35"/>
        <v>0</v>
      </c>
      <c r="AS38" s="135">
        <f t="shared" si="35"/>
        <v>0</v>
      </c>
      <c r="AT38" s="136">
        <f t="shared" si="35"/>
        <v>0</v>
      </c>
      <c r="AU38" s="136">
        <f t="shared" si="35"/>
        <v>0</v>
      </c>
      <c r="AV38" s="137">
        <f t="shared" si="35"/>
        <v>0</v>
      </c>
      <c r="AW38" s="135">
        <f t="shared" si="35"/>
        <v>0</v>
      </c>
      <c r="AX38" s="136">
        <f t="shared" si="35"/>
        <v>0</v>
      </c>
      <c r="AY38" s="136">
        <f t="shared" si="35"/>
        <v>0</v>
      </c>
      <c r="AZ38" s="136">
        <f t="shared" si="35"/>
        <v>0</v>
      </c>
      <c r="BA38" s="137">
        <f t="shared" si="35"/>
        <v>0</v>
      </c>
      <c r="BB38" s="138">
        <f t="shared" si="35"/>
        <v>0</v>
      </c>
      <c r="BC38" s="136">
        <f t="shared" si="35"/>
        <v>0</v>
      </c>
      <c r="BD38" s="136">
        <f t="shared" si="35"/>
        <v>0</v>
      </c>
      <c r="BE38" s="137">
        <f t="shared" si="35"/>
        <v>0</v>
      </c>
      <c r="BF38" s="135">
        <f t="shared" si="35"/>
        <v>0</v>
      </c>
      <c r="BG38" s="136">
        <f t="shared" si="35"/>
        <v>0</v>
      </c>
      <c r="BH38" s="136">
        <f t="shared" si="36"/>
        <v>0</v>
      </c>
      <c r="BI38" s="137">
        <f t="shared" si="36"/>
        <v>0</v>
      </c>
      <c r="BJ38" s="138">
        <f t="shared" si="36"/>
        <v>0</v>
      </c>
      <c r="BK38" s="136">
        <f t="shared" si="36"/>
        <v>0</v>
      </c>
      <c r="BL38" s="136">
        <f t="shared" si="36"/>
        <v>0</v>
      </c>
      <c r="BM38" s="136">
        <f t="shared" si="36"/>
        <v>0</v>
      </c>
      <c r="BN38" s="137">
        <f t="shared" si="36"/>
        <v>0</v>
      </c>
      <c r="BO38" s="138">
        <f t="shared" si="36"/>
        <v>0</v>
      </c>
      <c r="BP38" s="136">
        <f t="shared" si="36"/>
        <v>0</v>
      </c>
      <c r="BQ38" s="136">
        <f t="shared" si="36"/>
        <v>0</v>
      </c>
      <c r="BR38" s="137">
        <f t="shared" si="36"/>
        <v>0</v>
      </c>
      <c r="BS38" s="138">
        <f t="shared" si="36"/>
        <v>0</v>
      </c>
      <c r="BT38" s="136">
        <f t="shared" si="36"/>
        <v>0</v>
      </c>
      <c r="BU38" s="136">
        <f t="shared" si="36"/>
        <v>0</v>
      </c>
      <c r="BV38" s="136">
        <f t="shared" si="36"/>
        <v>0</v>
      </c>
      <c r="BW38" s="137">
        <f t="shared" si="36"/>
        <v>0</v>
      </c>
      <c r="BX38" s="138">
        <f t="shared" si="36"/>
        <v>0</v>
      </c>
      <c r="BY38" s="136">
        <f t="shared" si="36"/>
        <v>0</v>
      </c>
      <c r="BZ38" s="136">
        <f t="shared" si="36"/>
        <v>0</v>
      </c>
      <c r="CA38" s="137">
        <f t="shared" si="36"/>
        <v>0</v>
      </c>
      <c r="CB38" s="135">
        <f t="shared" si="36"/>
        <v>0</v>
      </c>
      <c r="CC38" s="136">
        <f t="shared" si="36"/>
        <v>0</v>
      </c>
      <c r="CD38" s="136">
        <f t="shared" si="36"/>
        <v>0</v>
      </c>
      <c r="CE38" s="137">
        <f t="shared" si="36"/>
        <v>0</v>
      </c>
    </row>
    <row r="39" spans="1:83">
      <c r="A39" s="130" t="s">
        <v>87</v>
      </c>
      <c r="B39" s="95"/>
      <c r="C39" s="96"/>
      <c r="D39" s="96"/>
      <c r="E39" s="96"/>
      <c r="F39" s="96"/>
      <c r="G39" s="96"/>
      <c r="H39" s="97"/>
      <c r="I39" s="94">
        <v>10</v>
      </c>
      <c r="J39" s="131">
        <f t="shared" si="30"/>
        <v>1</v>
      </c>
      <c r="K39" s="101">
        <v>0</v>
      </c>
      <c r="L39" s="132">
        <f t="shared" si="31"/>
        <v>0.1</v>
      </c>
      <c r="M39" s="132">
        <f t="shared" si="32"/>
        <v>0</v>
      </c>
      <c r="N39" s="132">
        <f t="shared" si="3"/>
        <v>-0.1</v>
      </c>
      <c r="O39" s="133" t="str">
        <f t="shared" si="33"/>
        <v>지연</v>
      </c>
      <c r="P39" s="104"/>
      <c r="Q39" s="104"/>
      <c r="R39" s="104"/>
      <c r="S39" s="104"/>
      <c r="T39" s="94"/>
      <c r="U39" s="134" t="str">
        <f t="shared" si="2"/>
        <v/>
      </c>
      <c r="V39" s="253">
        <f>NETWORKDAYS(P39,Q39,진행현황_전체!C$59:C$77)</f>
        <v>0</v>
      </c>
      <c r="W39" s="135">
        <f t="shared" si="34"/>
        <v>0</v>
      </c>
      <c r="X39" s="136">
        <f t="shared" si="34"/>
        <v>0</v>
      </c>
      <c r="Y39" s="136">
        <f t="shared" si="34"/>
        <v>0</v>
      </c>
      <c r="Z39" s="136">
        <f t="shared" si="34"/>
        <v>0</v>
      </c>
      <c r="AA39" s="137">
        <f t="shared" si="34"/>
        <v>0</v>
      </c>
      <c r="AB39" s="138">
        <f t="shared" si="34"/>
        <v>0</v>
      </c>
      <c r="AC39" s="136">
        <f t="shared" si="34"/>
        <v>0</v>
      </c>
      <c r="AD39" s="136">
        <f t="shared" si="34"/>
        <v>0</v>
      </c>
      <c r="AE39" s="137">
        <f t="shared" si="34"/>
        <v>0</v>
      </c>
      <c r="AF39" s="135">
        <f t="shared" si="34"/>
        <v>0</v>
      </c>
      <c r="AG39" s="136">
        <f t="shared" si="34"/>
        <v>0</v>
      </c>
      <c r="AH39" s="136">
        <f t="shared" si="34"/>
        <v>0</v>
      </c>
      <c r="AI39" s="137">
        <f t="shared" si="34"/>
        <v>0</v>
      </c>
      <c r="AJ39" s="135">
        <f t="shared" si="34"/>
        <v>0</v>
      </c>
      <c r="AK39" s="138">
        <f t="shared" si="34"/>
        <v>0</v>
      </c>
      <c r="AL39" s="136">
        <f t="shared" si="34"/>
        <v>0</v>
      </c>
      <c r="AM39" s="136">
        <f t="shared" si="34"/>
        <v>0</v>
      </c>
      <c r="AN39" s="194">
        <f t="shared" si="34"/>
        <v>0</v>
      </c>
      <c r="AO39" s="138">
        <f t="shared" si="34"/>
        <v>0</v>
      </c>
      <c r="AP39" s="136">
        <f t="shared" si="34"/>
        <v>0</v>
      </c>
      <c r="AQ39" s="136">
        <f t="shared" si="34"/>
        <v>0</v>
      </c>
      <c r="AR39" s="137">
        <f t="shared" si="35"/>
        <v>0</v>
      </c>
      <c r="AS39" s="135">
        <f t="shared" si="35"/>
        <v>0</v>
      </c>
      <c r="AT39" s="136">
        <f t="shared" si="35"/>
        <v>0</v>
      </c>
      <c r="AU39" s="136">
        <f t="shared" si="35"/>
        <v>0</v>
      </c>
      <c r="AV39" s="137">
        <f t="shared" si="35"/>
        <v>0</v>
      </c>
      <c r="AW39" s="135">
        <f t="shared" si="35"/>
        <v>0</v>
      </c>
      <c r="AX39" s="136">
        <f t="shared" si="35"/>
        <v>0</v>
      </c>
      <c r="AY39" s="136">
        <f t="shared" si="35"/>
        <v>0</v>
      </c>
      <c r="AZ39" s="136">
        <f t="shared" si="35"/>
        <v>0</v>
      </c>
      <c r="BA39" s="137">
        <f t="shared" si="35"/>
        <v>0</v>
      </c>
      <c r="BB39" s="138">
        <f t="shared" si="35"/>
        <v>0</v>
      </c>
      <c r="BC39" s="136">
        <f t="shared" si="35"/>
        <v>0</v>
      </c>
      <c r="BD39" s="136">
        <f t="shared" si="35"/>
        <v>0</v>
      </c>
      <c r="BE39" s="137">
        <f t="shared" si="35"/>
        <v>0</v>
      </c>
      <c r="BF39" s="135">
        <f t="shared" si="35"/>
        <v>0</v>
      </c>
      <c r="BG39" s="136">
        <f t="shared" si="35"/>
        <v>0</v>
      </c>
      <c r="BH39" s="136">
        <f t="shared" si="36"/>
        <v>0</v>
      </c>
      <c r="BI39" s="137">
        <f t="shared" si="36"/>
        <v>0</v>
      </c>
      <c r="BJ39" s="138">
        <f t="shared" si="36"/>
        <v>0</v>
      </c>
      <c r="BK39" s="136">
        <f t="shared" si="36"/>
        <v>0</v>
      </c>
      <c r="BL39" s="136">
        <f t="shared" si="36"/>
        <v>0</v>
      </c>
      <c r="BM39" s="136">
        <f t="shared" si="36"/>
        <v>0</v>
      </c>
      <c r="BN39" s="137">
        <f t="shared" si="36"/>
        <v>0</v>
      </c>
      <c r="BO39" s="138">
        <f t="shared" si="36"/>
        <v>0</v>
      </c>
      <c r="BP39" s="136">
        <f t="shared" si="36"/>
        <v>0</v>
      </c>
      <c r="BQ39" s="136">
        <f t="shared" si="36"/>
        <v>0</v>
      </c>
      <c r="BR39" s="137">
        <f t="shared" si="36"/>
        <v>0</v>
      </c>
      <c r="BS39" s="138">
        <f t="shared" si="36"/>
        <v>0</v>
      </c>
      <c r="BT39" s="136">
        <f t="shared" si="36"/>
        <v>0</v>
      </c>
      <c r="BU39" s="136">
        <f t="shared" si="36"/>
        <v>0</v>
      </c>
      <c r="BV39" s="136">
        <f t="shared" si="36"/>
        <v>0</v>
      </c>
      <c r="BW39" s="137">
        <f t="shared" si="36"/>
        <v>0</v>
      </c>
      <c r="BX39" s="138">
        <f t="shared" si="36"/>
        <v>0</v>
      </c>
      <c r="BY39" s="136">
        <f t="shared" si="36"/>
        <v>0</v>
      </c>
      <c r="BZ39" s="136">
        <f t="shared" si="36"/>
        <v>0</v>
      </c>
      <c r="CA39" s="137">
        <f t="shared" si="36"/>
        <v>0</v>
      </c>
      <c r="CB39" s="135">
        <f t="shared" si="36"/>
        <v>0</v>
      </c>
      <c r="CC39" s="136">
        <f t="shared" si="36"/>
        <v>0</v>
      </c>
      <c r="CD39" s="136">
        <f t="shared" si="36"/>
        <v>0</v>
      </c>
      <c r="CE39" s="137">
        <f t="shared" si="36"/>
        <v>0</v>
      </c>
    </row>
    <row r="40" spans="1:83">
      <c r="A40" s="130" t="s">
        <v>88</v>
      </c>
      <c r="B40" s="95"/>
      <c r="C40" s="96"/>
      <c r="D40" s="96"/>
      <c r="E40" s="96"/>
      <c r="F40" s="96"/>
      <c r="G40" s="96"/>
      <c r="H40" s="97"/>
      <c r="I40" s="94">
        <v>10</v>
      </c>
      <c r="J40" s="131">
        <f t="shared" si="30"/>
        <v>1</v>
      </c>
      <c r="K40" s="101">
        <v>0</v>
      </c>
      <c r="L40" s="132">
        <f t="shared" si="31"/>
        <v>0.1</v>
      </c>
      <c r="M40" s="132">
        <f t="shared" si="32"/>
        <v>0</v>
      </c>
      <c r="N40" s="132">
        <f t="shared" si="3"/>
        <v>-0.1</v>
      </c>
      <c r="O40" s="133" t="str">
        <f t="shared" si="33"/>
        <v>지연</v>
      </c>
      <c r="P40" s="104"/>
      <c r="Q40" s="104"/>
      <c r="R40" s="104"/>
      <c r="S40" s="104"/>
      <c r="T40" s="94"/>
      <c r="U40" s="134" t="str">
        <f t="shared" si="2"/>
        <v/>
      </c>
      <c r="V40" s="253">
        <f>NETWORKDAYS(P40,Q40,진행현황_전체!C$59:C$77)</f>
        <v>0</v>
      </c>
      <c r="W40" s="135">
        <f t="shared" si="34"/>
        <v>0</v>
      </c>
      <c r="X40" s="136">
        <f t="shared" si="34"/>
        <v>0</v>
      </c>
      <c r="Y40" s="136">
        <f t="shared" si="34"/>
        <v>0</v>
      </c>
      <c r="Z40" s="136">
        <f t="shared" si="34"/>
        <v>0</v>
      </c>
      <c r="AA40" s="137">
        <f t="shared" si="34"/>
        <v>0</v>
      </c>
      <c r="AB40" s="138">
        <f t="shared" si="34"/>
        <v>0</v>
      </c>
      <c r="AC40" s="136">
        <f t="shared" si="34"/>
        <v>0</v>
      </c>
      <c r="AD40" s="136">
        <f t="shared" si="34"/>
        <v>0</v>
      </c>
      <c r="AE40" s="137">
        <f t="shared" si="34"/>
        <v>0</v>
      </c>
      <c r="AF40" s="135">
        <f t="shared" si="34"/>
        <v>0</v>
      </c>
      <c r="AG40" s="136">
        <f t="shared" si="34"/>
        <v>0</v>
      </c>
      <c r="AH40" s="136">
        <f t="shared" si="34"/>
        <v>0</v>
      </c>
      <c r="AI40" s="137">
        <f t="shared" si="34"/>
        <v>0</v>
      </c>
      <c r="AJ40" s="135">
        <f t="shared" si="34"/>
        <v>0</v>
      </c>
      <c r="AK40" s="138">
        <f t="shared" si="34"/>
        <v>0</v>
      </c>
      <c r="AL40" s="136">
        <f t="shared" si="34"/>
        <v>0</v>
      </c>
      <c r="AM40" s="136">
        <f t="shared" si="34"/>
        <v>0</v>
      </c>
      <c r="AN40" s="194">
        <f t="shared" si="34"/>
        <v>0</v>
      </c>
      <c r="AO40" s="138">
        <f t="shared" si="34"/>
        <v>0</v>
      </c>
      <c r="AP40" s="136">
        <f t="shared" si="34"/>
        <v>0</v>
      </c>
      <c r="AQ40" s="136">
        <f t="shared" si="34"/>
        <v>0</v>
      </c>
      <c r="AR40" s="137">
        <f t="shared" si="35"/>
        <v>0</v>
      </c>
      <c r="AS40" s="135">
        <f t="shared" si="35"/>
        <v>0</v>
      </c>
      <c r="AT40" s="136">
        <f t="shared" si="35"/>
        <v>0</v>
      </c>
      <c r="AU40" s="136">
        <f t="shared" si="35"/>
        <v>0</v>
      </c>
      <c r="AV40" s="137">
        <f t="shared" si="35"/>
        <v>0</v>
      </c>
      <c r="AW40" s="135">
        <f t="shared" si="35"/>
        <v>0</v>
      </c>
      <c r="AX40" s="136">
        <f t="shared" si="35"/>
        <v>0</v>
      </c>
      <c r="AY40" s="136">
        <f t="shared" si="35"/>
        <v>0</v>
      </c>
      <c r="AZ40" s="136">
        <f t="shared" si="35"/>
        <v>0</v>
      </c>
      <c r="BA40" s="137">
        <f t="shared" si="35"/>
        <v>0</v>
      </c>
      <c r="BB40" s="138">
        <f t="shared" si="35"/>
        <v>0</v>
      </c>
      <c r="BC40" s="136">
        <f t="shared" si="35"/>
        <v>0</v>
      </c>
      <c r="BD40" s="136">
        <f t="shared" si="35"/>
        <v>0</v>
      </c>
      <c r="BE40" s="137">
        <f t="shared" si="35"/>
        <v>0</v>
      </c>
      <c r="BF40" s="135">
        <f t="shared" si="35"/>
        <v>0</v>
      </c>
      <c r="BG40" s="136">
        <f t="shared" si="35"/>
        <v>0</v>
      </c>
      <c r="BH40" s="136">
        <f t="shared" si="36"/>
        <v>0</v>
      </c>
      <c r="BI40" s="137">
        <f t="shared" si="36"/>
        <v>0</v>
      </c>
      <c r="BJ40" s="138">
        <f t="shared" si="36"/>
        <v>0</v>
      </c>
      <c r="BK40" s="136">
        <f t="shared" si="36"/>
        <v>0</v>
      </c>
      <c r="BL40" s="136">
        <f t="shared" si="36"/>
        <v>0</v>
      </c>
      <c r="BM40" s="136">
        <f t="shared" si="36"/>
        <v>0</v>
      </c>
      <c r="BN40" s="137">
        <f t="shared" si="36"/>
        <v>0</v>
      </c>
      <c r="BO40" s="138">
        <f t="shared" si="36"/>
        <v>0</v>
      </c>
      <c r="BP40" s="136">
        <f t="shared" si="36"/>
        <v>0</v>
      </c>
      <c r="BQ40" s="136">
        <f t="shared" si="36"/>
        <v>0</v>
      </c>
      <c r="BR40" s="137">
        <f t="shared" si="36"/>
        <v>0</v>
      </c>
      <c r="BS40" s="138">
        <f t="shared" si="36"/>
        <v>0</v>
      </c>
      <c r="BT40" s="136">
        <f t="shared" si="36"/>
        <v>0</v>
      </c>
      <c r="BU40" s="136">
        <f t="shared" si="36"/>
        <v>0</v>
      </c>
      <c r="BV40" s="136">
        <f t="shared" si="36"/>
        <v>0</v>
      </c>
      <c r="BW40" s="137">
        <f t="shared" si="36"/>
        <v>0</v>
      </c>
      <c r="BX40" s="138">
        <f t="shared" si="36"/>
        <v>0</v>
      </c>
      <c r="BY40" s="136">
        <f t="shared" si="36"/>
        <v>0</v>
      </c>
      <c r="BZ40" s="136">
        <f t="shared" si="36"/>
        <v>0</v>
      </c>
      <c r="CA40" s="137">
        <f t="shared" si="36"/>
        <v>0</v>
      </c>
      <c r="CB40" s="135">
        <f t="shared" si="36"/>
        <v>0</v>
      </c>
      <c r="CC40" s="136">
        <f t="shared" si="36"/>
        <v>0</v>
      </c>
      <c r="CD40" s="136">
        <f t="shared" si="36"/>
        <v>0</v>
      </c>
      <c r="CE40" s="137">
        <f t="shared" si="36"/>
        <v>0</v>
      </c>
    </row>
    <row r="41" spans="1:83">
      <c r="A41" s="130" t="s">
        <v>89</v>
      </c>
      <c r="B41" s="95"/>
      <c r="C41" s="96"/>
      <c r="D41" s="96"/>
      <c r="E41" s="96"/>
      <c r="F41" s="96"/>
      <c r="G41" s="96"/>
      <c r="H41" s="97"/>
      <c r="I41" s="94">
        <v>10</v>
      </c>
      <c r="J41" s="131">
        <f t="shared" si="30"/>
        <v>1</v>
      </c>
      <c r="K41" s="101">
        <v>0</v>
      </c>
      <c r="L41" s="132">
        <f t="shared" si="31"/>
        <v>0.1</v>
      </c>
      <c r="M41" s="132">
        <f t="shared" si="32"/>
        <v>0</v>
      </c>
      <c r="N41" s="132">
        <f t="shared" si="3"/>
        <v>-0.1</v>
      </c>
      <c r="O41" s="133" t="str">
        <f t="shared" si="33"/>
        <v>지연</v>
      </c>
      <c r="P41" s="104"/>
      <c r="Q41" s="104"/>
      <c r="R41" s="104"/>
      <c r="S41" s="104"/>
      <c r="T41" s="94"/>
      <c r="U41" s="134" t="str">
        <f t="shared" ref="U41:U72" si="37">IF(ISBLANK(T41),"",(DAYS360(VLOOKUP(T41,$A$9:$Q$97,15,FALSE),P41)-1))</f>
        <v/>
      </c>
      <c r="V41" s="253">
        <f>NETWORKDAYS(P41,Q41,진행현황_전체!C$59:C$77)</f>
        <v>0</v>
      </c>
      <c r="W41" s="135">
        <f t="shared" si="34"/>
        <v>0</v>
      </c>
      <c r="X41" s="136">
        <f t="shared" si="34"/>
        <v>0</v>
      </c>
      <c r="Y41" s="136">
        <f t="shared" si="34"/>
        <v>0</v>
      </c>
      <c r="Z41" s="136">
        <f t="shared" si="34"/>
        <v>0</v>
      </c>
      <c r="AA41" s="137">
        <f t="shared" si="34"/>
        <v>0</v>
      </c>
      <c r="AB41" s="138">
        <f t="shared" si="34"/>
        <v>0</v>
      </c>
      <c r="AC41" s="136">
        <f t="shared" si="34"/>
        <v>0</v>
      </c>
      <c r="AD41" s="136">
        <f t="shared" si="34"/>
        <v>0</v>
      </c>
      <c r="AE41" s="137">
        <f t="shared" si="34"/>
        <v>0</v>
      </c>
      <c r="AF41" s="135">
        <f t="shared" si="34"/>
        <v>0</v>
      </c>
      <c r="AG41" s="136">
        <f t="shared" si="34"/>
        <v>0</v>
      </c>
      <c r="AH41" s="136">
        <f t="shared" si="34"/>
        <v>0</v>
      </c>
      <c r="AI41" s="137">
        <f t="shared" si="34"/>
        <v>0</v>
      </c>
      <c r="AJ41" s="135">
        <f t="shared" si="34"/>
        <v>0</v>
      </c>
      <c r="AK41" s="138">
        <f t="shared" si="34"/>
        <v>0</v>
      </c>
      <c r="AL41" s="136">
        <f t="shared" si="34"/>
        <v>0</v>
      </c>
      <c r="AM41" s="136">
        <f t="shared" si="34"/>
        <v>0</v>
      </c>
      <c r="AN41" s="194">
        <f t="shared" si="34"/>
        <v>0</v>
      </c>
      <c r="AO41" s="138">
        <f t="shared" si="34"/>
        <v>0</v>
      </c>
      <c r="AP41" s="136">
        <f t="shared" si="34"/>
        <v>0</v>
      </c>
      <c r="AQ41" s="136">
        <f t="shared" si="34"/>
        <v>0</v>
      </c>
      <c r="AR41" s="137">
        <f t="shared" si="35"/>
        <v>0</v>
      </c>
      <c r="AS41" s="135">
        <f t="shared" si="35"/>
        <v>0</v>
      </c>
      <c r="AT41" s="136">
        <f t="shared" si="35"/>
        <v>0</v>
      </c>
      <c r="AU41" s="136">
        <f t="shared" si="35"/>
        <v>0</v>
      </c>
      <c r="AV41" s="137">
        <f t="shared" si="35"/>
        <v>0</v>
      </c>
      <c r="AW41" s="135">
        <f t="shared" si="35"/>
        <v>0</v>
      </c>
      <c r="AX41" s="136">
        <f t="shared" si="35"/>
        <v>0</v>
      </c>
      <c r="AY41" s="136">
        <f t="shared" si="35"/>
        <v>0</v>
      </c>
      <c r="AZ41" s="136">
        <f t="shared" si="35"/>
        <v>0</v>
      </c>
      <c r="BA41" s="137">
        <f t="shared" si="35"/>
        <v>0</v>
      </c>
      <c r="BB41" s="138">
        <f t="shared" si="35"/>
        <v>0</v>
      </c>
      <c r="BC41" s="136">
        <f t="shared" si="35"/>
        <v>0</v>
      </c>
      <c r="BD41" s="136">
        <f t="shared" si="35"/>
        <v>0</v>
      </c>
      <c r="BE41" s="137">
        <f t="shared" si="35"/>
        <v>0</v>
      </c>
      <c r="BF41" s="135">
        <f t="shared" si="35"/>
        <v>0</v>
      </c>
      <c r="BG41" s="136">
        <f t="shared" si="35"/>
        <v>0</v>
      </c>
      <c r="BH41" s="136">
        <f t="shared" si="36"/>
        <v>0</v>
      </c>
      <c r="BI41" s="137">
        <f t="shared" si="36"/>
        <v>0</v>
      </c>
      <c r="BJ41" s="138">
        <f t="shared" si="36"/>
        <v>0</v>
      </c>
      <c r="BK41" s="136">
        <f t="shared" si="36"/>
        <v>0</v>
      </c>
      <c r="BL41" s="136">
        <f t="shared" si="36"/>
        <v>0</v>
      </c>
      <c r="BM41" s="136">
        <f t="shared" si="36"/>
        <v>0</v>
      </c>
      <c r="BN41" s="137">
        <f t="shared" si="36"/>
        <v>0</v>
      </c>
      <c r="BO41" s="138">
        <f t="shared" si="36"/>
        <v>0</v>
      </c>
      <c r="BP41" s="136">
        <f t="shared" si="36"/>
        <v>0</v>
      </c>
      <c r="BQ41" s="136">
        <f t="shared" si="36"/>
        <v>0</v>
      </c>
      <c r="BR41" s="137">
        <f t="shared" si="36"/>
        <v>0</v>
      </c>
      <c r="BS41" s="138">
        <f t="shared" si="36"/>
        <v>0</v>
      </c>
      <c r="BT41" s="136">
        <f t="shared" si="36"/>
        <v>0</v>
      </c>
      <c r="BU41" s="136">
        <f t="shared" si="36"/>
        <v>0</v>
      </c>
      <c r="BV41" s="136">
        <f t="shared" si="36"/>
        <v>0</v>
      </c>
      <c r="BW41" s="137">
        <f t="shared" si="36"/>
        <v>0</v>
      </c>
      <c r="BX41" s="138">
        <f t="shared" si="36"/>
        <v>0</v>
      </c>
      <c r="BY41" s="136">
        <f t="shared" si="36"/>
        <v>0</v>
      </c>
      <c r="BZ41" s="136">
        <f t="shared" si="36"/>
        <v>0</v>
      </c>
      <c r="CA41" s="137">
        <f t="shared" si="36"/>
        <v>0</v>
      </c>
      <c r="CB41" s="135">
        <f t="shared" si="36"/>
        <v>0</v>
      </c>
      <c r="CC41" s="136">
        <f t="shared" si="36"/>
        <v>0</v>
      </c>
      <c r="CD41" s="136">
        <f t="shared" si="36"/>
        <v>0</v>
      </c>
      <c r="CE41" s="137">
        <f t="shared" si="36"/>
        <v>0</v>
      </c>
    </row>
    <row r="42" spans="1:83" ht="17.25" thickBot="1">
      <c r="A42" s="130" t="s">
        <v>90</v>
      </c>
      <c r="B42" s="95"/>
      <c r="C42" s="96"/>
      <c r="D42" s="96"/>
      <c r="E42" s="96"/>
      <c r="F42" s="96"/>
      <c r="G42" s="96"/>
      <c r="H42" s="97"/>
      <c r="I42" s="94">
        <v>10</v>
      </c>
      <c r="J42" s="131">
        <f t="shared" si="30"/>
        <v>1</v>
      </c>
      <c r="K42" s="101">
        <v>0</v>
      </c>
      <c r="L42" s="132">
        <f t="shared" si="31"/>
        <v>0.1</v>
      </c>
      <c r="M42" s="132">
        <f t="shared" si="32"/>
        <v>0</v>
      </c>
      <c r="N42" s="132">
        <f t="shared" si="3"/>
        <v>-0.1</v>
      </c>
      <c r="O42" s="133" t="str">
        <f t="shared" si="33"/>
        <v>지연</v>
      </c>
      <c r="P42" s="104"/>
      <c r="Q42" s="104"/>
      <c r="R42" s="104"/>
      <c r="S42" s="104"/>
      <c r="T42" s="94"/>
      <c r="U42" s="134" t="str">
        <f t="shared" si="37"/>
        <v/>
      </c>
      <c r="V42" s="253">
        <f>NETWORKDAYS(P42,Q42,진행현황_전체!C$59:C$77)</f>
        <v>0</v>
      </c>
      <c r="W42" s="135">
        <f t="shared" si="34"/>
        <v>0</v>
      </c>
      <c r="X42" s="136">
        <f t="shared" si="34"/>
        <v>0</v>
      </c>
      <c r="Y42" s="136">
        <f t="shared" si="34"/>
        <v>0</v>
      </c>
      <c r="Z42" s="136">
        <f t="shared" si="34"/>
        <v>0</v>
      </c>
      <c r="AA42" s="137">
        <f t="shared" si="34"/>
        <v>0</v>
      </c>
      <c r="AB42" s="138">
        <f t="shared" si="34"/>
        <v>0</v>
      </c>
      <c r="AC42" s="136">
        <f t="shared" si="34"/>
        <v>0</v>
      </c>
      <c r="AD42" s="136">
        <f t="shared" si="34"/>
        <v>0</v>
      </c>
      <c r="AE42" s="137">
        <f t="shared" si="34"/>
        <v>0</v>
      </c>
      <c r="AF42" s="135">
        <f t="shared" si="34"/>
        <v>0</v>
      </c>
      <c r="AG42" s="136">
        <f t="shared" si="34"/>
        <v>0</v>
      </c>
      <c r="AH42" s="136">
        <f t="shared" si="34"/>
        <v>0</v>
      </c>
      <c r="AI42" s="137">
        <f t="shared" si="34"/>
        <v>0</v>
      </c>
      <c r="AJ42" s="135">
        <f t="shared" si="34"/>
        <v>0</v>
      </c>
      <c r="AK42" s="138">
        <f t="shared" si="34"/>
        <v>0</v>
      </c>
      <c r="AL42" s="136">
        <f t="shared" si="34"/>
        <v>0</v>
      </c>
      <c r="AM42" s="136">
        <f t="shared" si="34"/>
        <v>0</v>
      </c>
      <c r="AN42" s="194">
        <f t="shared" si="34"/>
        <v>0</v>
      </c>
      <c r="AO42" s="138">
        <f t="shared" si="34"/>
        <v>0</v>
      </c>
      <c r="AP42" s="136">
        <f t="shared" si="34"/>
        <v>0</v>
      </c>
      <c r="AQ42" s="136">
        <f t="shared" si="34"/>
        <v>0</v>
      </c>
      <c r="AR42" s="137">
        <f t="shared" si="35"/>
        <v>0</v>
      </c>
      <c r="AS42" s="135">
        <f t="shared" si="35"/>
        <v>0</v>
      </c>
      <c r="AT42" s="136">
        <f t="shared" si="35"/>
        <v>0</v>
      </c>
      <c r="AU42" s="136">
        <f t="shared" si="35"/>
        <v>0</v>
      </c>
      <c r="AV42" s="137">
        <f t="shared" si="35"/>
        <v>0</v>
      </c>
      <c r="AW42" s="135">
        <f t="shared" si="35"/>
        <v>0</v>
      </c>
      <c r="AX42" s="136">
        <f t="shared" si="35"/>
        <v>0</v>
      </c>
      <c r="AY42" s="136">
        <f t="shared" si="35"/>
        <v>0</v>
      </c>
      <c r="AZ42" s="136">
        <f t="shared" si="35"/>
        <v>0</v>
      </c>
      <c r="BA42" s="137">
        <f t="shared" si="35"/>
        <v>0</v>
      </c>
      <c r="BB42" s="138">
        <f t="shared" si="35"/>
        <v>0</v>
      </c>
      <c r="BC42" s="136">
        <f t="shared" si="35"/>
        <v>0</v>
      </c>
      <c r="BD42" s="136">
        <f t="shared" si="35"/>
        <v>0</v>
      </c>
      <c r="BE42" s="137">
        <f t="shared" si="35"/>
        <v>0</v>
      </c>
      <c r="BF42" s="135">
        <f t="shared" si="35"/>
        <v>0</v>
      </c>
      <c r="BG42" s="136">
        <f t="shared" si="35"/>
        <v>0</v>
      </c>
      <c r="BH42" s="136">
        <f t="shared" si="36"/>
        <v>0</v>
      </c>
      <c r="BI42" s="137">
        <f t="shared" si="36"/>
        <v>0</v>
      </c>
      <c r="BJ42" s="138">
        <f t="shared" si="36"/>
        <v>0</v>
      </c>
      <c r="BK42" s="136">
        <f t="shared" si="36"/>
        <v>0</v>
      </c>
      <c r="BL42" s="136">
        <f t="shared" si="36"/>
        <v>0</v>
      </c>
      <c r="BM42" s="136">
        <f t="shared" si="36"/>
        <v>0</v>
      </c>
      <c r="BN42" s="137">
        <f t="shared" si="36"/>
        <v>0</v>
      </c>
      <c r="BO42" s="138">
        <f t="shared" si="36"/>
        <v>0</v>
      </c>
      <c r="BP42" s="136">
        <f t="shared" si="36"/>
        <v>0</v>
      </c>
      <c r="BQ42" s="136">
        <f t="shared" si="36"/>
        <v>0</v>
      </c>
      <c r="BR42" s="137">
        <f t="shared" si="36"/>
        <v>0</v>
      </c>
      <c r="BS42" s="138">
        <f t="shared" si="36"/>
        <v>0</v>
      </c>
      <c r="BT42" s="136">
        <f t="shared" si="36"/>
        <v>0</v>
      </c>
      <c r="BU42" s="136">
        <f t="shared" si="36"/>
        <v>0</v>
      </c>
      <c r="BV42" s="136">
        <f t="shared" si="36"/>
        <v>0</v>
      </c>
      <c r="BW42" s="137">
        <f t="shared" si="36"/>
        <v>0</v>
      </c>
      <c r="BX42" s="138">
        <f t="shared" si="36"/>
        <v>0</v>
      </c>
      <c r="BY42" s="136">
        <f t="shared" si="36"/>
        <v>0</v>
      </c>
      <c r="BZ42" s="136">
        <f t="shared" si="36"/>
        <v>0</v>
      </c>
      <c r="CA42" s="137">
        <f t="shared" si="36"/>
        <v>0</v>
      </c>
      <c r="CB42" s="135">
        <f t="shared" si="36"/>
        <v>0</v>
      </c>
      <c r="CC42" s="136">
        <f t="shared" si="36"/>
        <v>0</v>
      </c>
      <c r="CD42" s="136">
        <f t="shared" si="36"/>
        <v>0</v>
      </c>
      <c r="CE42" s="137">
        <f t="shared" si="36"/>
        <v>0</v>
      </c>
    </row>
    <row r="43" spans="1:83" ht="17.25" thickBot="1">
      <c r="A43" s="139" t="s">
        <v>8</v>
      </c>
      <c r="B43" s="114" t="str">
        <f>진행현황_템플릿!E15</f>
        <v>단계4</v>
      </c>
      <c r="C43" s="115"/>
      <c r="D43" s="115"/>
      <c r="E43" s="115"/>
      <c r="F43" s="115"/>
      <c r="G43" s="115"/>
      <c r="H43" s="116">
        <f>SUM(I44:I53)</f>
        <v>100</v>
      </c>
      <c r="I43" s="117">
        <f>진행현황_템플릿!E16</f>
        <v>15</v>
      </c>
      <c r="J43" s="118">
        <f>SUM(L44:L53)</f>
        <v>0.99999999999999989</v>
      </c>
      <c r="K43" s="118">
        <f>SUM(M44:M53)</f>
        <v>0</v>
      </c>
      <c r="L43" s="120">
        <f>SUM(L44:L53)*I43</f>
        <v>14.999999999999998</v>
      </c>
      <c r="M43" s="120">
        <f>SUM(M44:M53)*I43</f>
        <v>0</v>
      </c>
      <c r="N43" s="120">
        <f t="shared" si="3"/>
        <v>-14.999999999999998</v>
      </c>
      <c r="O43" s="121"/>
      <c r="P43" s="122">
        <f>MIN(P44:P53)</f>
        <v>0</v>
      </c>
      <c r="Q43" s="122">
        <f>MAX(Q44:Q53)</f>
        <v>0</v>
      </c>
      <c r="R43" s="122">
        <f>MIN(R44:R53)</f>
        <v>0</v>
      </c>
      <c r="S43" s="122">
        <f>MAX(S44:S53)</f>
        <v>0</v>
      </c>
      <c r="T43" s="113"/>
      <c r="U43" s="123" t="str">
        <f t="shared" si="37"/>
        <v/>
      </c>
      <c r="V43" s="124">
        <f>NETWORKDAYS(P43,Q43,진행현황_전체!C$59:C$77)</f>
        <v>0</v>
      </c>
      <c r="W43" s="125"/>
      <c r="X43" s="126"/>
      <c r="Y43" s="126"/>
      <c r="Z43" s="126"/>
      <c r="AA43" s="127"/>
      <c r="AB43" s="129"/>
      <c r="AC43" s="126"/>
      <c r="AD43" s="126"/>
      <c r="AE43" s="127"/>
      <c r="AF43" s="128"/>
      <c r="AG43" s="126"/>
      <c r="AH43" s="126"/>
      <c r="AI43" s="127"/>
      <c r="AJ43" s="128"/>
      <c r="AK43" s="129"/>
      <c r="AL43" s="126"/>
      <c r="AM43" s="126"/>
      <c r="AN43" s="193"/>
      <c r="AO43" s="129"/>
      <c r="AP43" s="126"/>
      <c r="AQ43" s="126"/>
      <c r="AR43" s="127"/>
      <c r="AS43" s="128"/>
      <c r="AT43" s="126"/>
      <c r="AU43" s="126"/>
      <c r="AV43" s="127"/>
      <c r="AW43" s="125"/>
      <c r="AX43" s="126"/>
      <c r="AY43" s="126"/>
      <c r="AZ43" s="126"/>
      <c r="BA43" s="127"/>
      <c r="BB43" s="129"/>
      <c r="BC43" s="126"/>
      <c r="BD43" s="126"/>
      <c r="BE43" s="127"/>
      <c r="BF43" s="128"/>
      <c r="BG43" s="126"/>
      <c r="BH43" s="126"/>
      <c r="BI43" s="127"/>
      <c r="BJ43" s="129"/>
      <c r="BK43" s="126"/>
      <c r="BL43" s="126"/>
      <c r="BM43" s="126"/>
      <c r="BN43" s="127"/>
      <c r="BO43" s="129"/>
      <c r="BP43" s="126"/>
      <c r="BQ43" s="126"/>
      <c r="BR43" s="127"/>
      <c r="BS43" s="129"/>
      <c r="BT43" s="126"/>
      <c r="BU43" s="126"/>
      <c r="BV43" s="126"/>
      <c r="BW43" s="127"/>
      <c r="BX43" s="129"/>
      <c r="BY43" s="126"/>
      <c r="BZ43" s="126"/>
      <c r="CA43" s="127"/>
      <c r="CB43" s="128"/>
      <c r="CC43" s="126"/>
      <c r="CD43" s="126"/>
      <c r="CE43" s="127"/>
    </row>
    <row r="44" spans="1:83">
      <c r="A44" s="130" t="s">
        <v>109</v>
      </c>
      <c r="B44" s="95"/>
      <c r="C44" s="96"/>
      <c r="D44" s="96"/>
      <c r="E44" s="96"/>
      <c r="F44" s="96"/>
      <c r="G44" s="96"/>
      <c r="H44" s="97"/>
      <c r="I44" s="94">
        <v>10</v>
      </c>
      <c r="J44" s="131">
        <f t="shared" ref="J44:J53" si="38">IF(CheckDay&gt;=Q44,1,IF(CheckDay&lt;P44, 0,DAYS360(P44,CheckDay+1)/Y44))</f>
        <v>1</v>
      </c>
      <c r="K44" s="101">
        <v>0</v>
      </c>
      <c r="L44" s="132">
        <f t="shared" ref="L44:L53" si="39">I44*J44/100</f>
        <v>0.1</v>
      </c>
      <c r="M44" s="132">
        <f t="shared" ref="M44:M53" si="40">I44*K44/100</f>
        <v>0</v>
      </c>
      <c r="N44" s="132">
        <f t="shared" si="3"/>
        <v>-0.1</v>
      </c>
      <c r="O44" s="133" t="str">
        <f t="shared" ref="O44:O53" si="41">IF(AND(K44=0%,N44=0),"",IF(N44&lt;0,"지연",IF(K44=100%,"종료","진행")))</f>
        <v>지연</v>
      </c>
      <c r="P44" s="104"/>
      <c r="Q44" s="104"/>
      <c r="R44" s="104"/>
      <c r="S44" s="104"/>
      <c r="T44" s="94"/>
      <c r="U44" s="134" t="str">
        <f t="shared" si="37"/>
        <v/>
      </c>
      <c r="V44" s="253">
        <f>NETWORKDAYS(P44,Q44,진행현황_전체!C$59:C$77)</f>
        <v>0</v>
      </c>
      <c r="W44" s="135">
        <f t="shared" ref="W44:AV53" si="42">IF(OR((AND($P44&lt;=W$7,AND($Q44&lt;=W$8, $Q44&gt;=W$7))),(AND(AND($P44&gt;=W$7, $P44&lt;=W$8),$Q44&gt;=W$8)), AND($P44&gt;=W$7, $Q44&lt;=W$8), AND($P44&lt;=W$7,$Q44&gt;=W$8)),1,0)</f>
        <v>0</v>
      </c>
      <c r="X44" s="136">
        <f t="shared" si="42"/>
        <v>0</v>
      </c>
      <c r="Y44" s="136">
        <f t="shared" si="42"/>
        <v>0</v>
      </c>
      <c r="Z44" s="136">
        <f t="shared" si="42"/>
        <v>0</v>
      </c>
      <c r="AA44" s="137">
        <f t="shared" si="42"/>
        <v>0</v>
      </c>
      <c r="AB44" s="138">
        <f t="shared" si="42"/>
        <v>0</v>
      </c>
      <c r="AC44" s="136">
        <f t="shared" si="42"/>
        <v>0</v>
      </c>
      <c r="AD44" s="136">
        <f t="shared" si="42"/>
        <v>0</v>
      </c>
      <c r="AE44" s="137">
        <f t="shared" si="42"/>
        <v>0</v>
      </c>
      <c r="AF44" s="135">
        <f t="shared" si="42"/>
        <v>0</v>
      </c>
      <c r="AG44" s="136">
        <f t="shared" si="42"/>
        <v>0</v>
      </c>
      <c r="AH44" s="136">
        <f t="shared" si="42"/>
        <v>0</v>
      </c>
      <c r="AI44" s="137">
        <f t="shared" si="42"/>
        <v>0</v>
      </c>
      <c r="AJ44" s="135">
        <f t="shared" si="42"/>
        <v>0</v>
      </c>
      <c r="AK44" s="138">
        <f t="shared" si="42"/>
        <v>0</v>
      </c>
      <c r="AL44" s="136">
        <f t="shared" si="42"/>
        <v>0</v>
      </c>
      <c r="AM44" s="136">
        <f t="shared" si="42"/>
        <v>0</v>
      </c>
      <c r="AN44" s="194">
        <f t="shared" si="42"/>
        <v>0</v>
      </c>
      <c r="AO44" s="138">
        <f t="shared" si="42"/>
        <v>0</v>
      </c>
      <c r="AP44" s="136">
        <f t="shared" si="42"/>
        <v>0</v>
      </c>
      <c r="AQ44" s="136">
        <f t="shared" si="42"/>
        <v>0</v>
      </c>
      <c r="AR44" s="137">
        <f t="shared" si="42"/>
        <v>0</v>
      </c>
      <c r="AS44" s="135">
        <f t="shared" si="42"/>
        <v>0</v>
      </c>
      <c r="AT44" s="136">
        <f t="shared" si="42"/>
        <v>0</v>
      </c>
      <c r="AU44" s="136">
        <f t="shared" si="42"/>
        <v>0</v>
      </c>
      <c r="AV44" s="137">
        <f t="shared" si="42"/>
        <v>0</v>
      </c>
      <c r="AW44" s="135">
        <f t="shared" ref="AW44:CE51" si="43">IF(OR((AND($P44&lt;=AW$7,AND($Q44&lt;=AW$8, $Q44&gt;=AW$7))),(AND(AND($P44&gt;=AW$7, $P44&lt;=AW$8),$Q44&gt;=AW$8)), AND($P44&gt;=AW$7, $Q44&lt;=AW$8), AND($P44&lt;=AW$7,$Q44&gt;=AW$8)),1,0)</f>
        <v>0</v>
      </c>
      <c r="AX44" s="136">
        <f t="shared" si="43"/>
        <v>0</v>
      </c>
      <c r="AY44" s="136">
        <f t="shared" si="43"/>
        <v>0</v>
      </c>
      <c r="AZ44" s="136">
        <f t="shared" si="43"/>
        <v>0</v>
      </c>
      <c r="BA44" s="137">
        <f t="shared" si="43"/>
        <v>0</v>
      </c>
      <c r="BB44" s="138">
        <f t="shared" si="43"/>
        <v>0</v>
      </c>
      <c r="BC44" s="136">
        <f t="shared" si="43"/>
        <v>0</v>
      </c>
      <c r="BD44" s="136">
        <f t="shared" si="43"/>
        <v>0</v>
      </c>
      <c r="BE44" s="137">
        <f t="shared" si="43"/>
        <v>0</v>
      </c>
      <c r="BF44" s="135">
        <f t="shared" si="43"/>
        <v>0</v>
      </c>
      <c r="BG44" s="136">
        <f t="shared" si="43"/>
        <v>0</v>
      </c>
      <c r="BH44" s="136">
        <f t="shared" si="43"/>
        <v>0</v>
      </c>
      <c r="BI44" s="137">
        <f t="shared" si="43"/>
        <v>0</v>
      </c>
      <c r="BJ44" s="138">
        <f t="shared" si="43"/>
        <v>0</v>
      </c>
      <c r="BK44" s="136">
        <f t="shared" si="43"/>
        <v>0</v>
      </c>
      <c r="BL44" s="136">
        <f t="shared" si="43"/>
        <v>0</v>
      </c>
      <c r="BM44" s="136">
        <f t="shared" si="43"/>
        <v>0</v>
      </c>
      <c r="BN44" s="137">
        <f t="shared" si="43"/>
        <v>0</v>
      </c>
      <c r="BO44" s="138">
        <f t="shared" si="43"/>
        <v>0</v>
      </c>
      <c r="BP44" s="136">
        <f t="shared" si="43"/>
        <v>0</v>
      </c>
      <c r="BQ44" s="136">
        <f t="shared" si="43"/>
        <v>0</v>
      </c>
      <c r="BR44" s="137">
        <f t="shared" si="43"/>
        <v>0</v>
      </c>
      <c r="BS44" s="138">
        <f t="shared" si="43"/>
        <v>0</v>
      </c>
      <c r="BT44" s="136">
        <f t="shared" si="43"/>
        <v>0</v>
      </c>
      <c r="BU44" s="136">
        <f t="shared" si="43"/>
        <v>0</v>
      </c>
      <c r="BV44" s="136">
        <f t="shared" si="43"/>
        <v>0</v>
      </c>
      <c r="BW44" s="137">
        <f t="shared" si="43"/>
        <v>0</v>
      </c>
      <c r="BX44" s="138">
        <f t="shared" si="43"/>
        <v>0</v>
      </c>
      <c r="BY44" s="136">
        <f t="shared" si="43"/>
        <v>0</v>
      </c>
      <c r="BZ44" s="136">
        <f t="shared" si="43"/>
        <v>0</v>
      </c>
      <c r="CA44" s="137">
        <f t="shared" si="43"/>
        <v>0</v>
      </c>
      <c r="CB44" s="135">
        <f t="shared" si="43"/>
        <v>0</v>
      </c>
      <c r="CC44" s="136">
        <f t="shared" si="43"/>
        <v>0</v>
      </c>
      <c r="CD44" s="136">
        <f t="shared" si="43"/>
        <v>0</v>
      </c>
      <c r="CE44" s="137">
        <f t="shared" si="43"/>
        <v>0</v>
      </c>
    </row>
    <row r="45" spans="1:83">
      <c r="A45" s="130" t="s">
        <v>91</v>
      </c>
      <c r="B45" s="95"/>
      <c r="C45" s="96"/>
      <c r="D45" s="96"/>
      <c r="E45" s="96"/>
      <c r="F45" s="96"/>
      <c r="G45" s="96"/>
      <c r="H45" s="97"/>
      <c r="I45" s="94">
        <v>10</v>
      </c>
      <c r="J45" s="131">
        <f t="shared" si="38"/>
        <v>1</v>
      </c>
      <c r="K45" s="101">
        <v>0</v>
      </c>
      <c r="L45" s="132">
        <f t="shared" si="39"/>
        <v>0.1</v>
      </c>
      <c r="M45" s="132">
        <f t="shared" si="40"/>
        <v>0</v>
      </c>
      <c r="N45" s="132">
        <f t="shared" si="3"/>
        <v>-0.1</v>
      </c>
      <c r="O45" s="133" t="str">
        <f t="shared" si="41"/>
        <v>지연</v>
      </c>
      <c r="P45" s="104"/>
      <c r="Q45" s="104"/>
      <c r="R45" s="104"/>
      <c r="S45" s="104"/>
      <c r="T45" s="94"/>
      <c r="U45" s="134" t="str">
        <f t="shared" si="37"/>
        <v/>
      </c>
      <c r="V45" s="253">
        <f>NETWORKDAYS(P45,Q45,진행현황_전체!C$59:C$77)</f>
        <v>0</v>
      </c>
      <c r="W45" s="135">
        <f t="shared" si="42"/>
        <v>0</v>
      </c>
      <c r="X45" s="136">
        <f t="shared" si="42"/>
        <v>0</v>
      </c>
      <c r="Y45" s="136">
        <f t="shared" si="42"/>
        <v>0</v>
      </c>
      <c r="Z45" s="136">
        <f t="shared" si="42"/>
        <v>0</v>
      </c>
      <c r="AA45" s="137">
        <f t="shared" si="42"/>
        <v>0</v>
      </c>
      <c r="AB45" s="138">
        <f t="shared" si="42"/>
        <v>0</v>
      </c>
      <c r="AC45" s="136">
        <f t="shared" si="42"/>
        <v>0</v>
      </c>
      <c r="AD45" s="136">
        <f t="shared" si="42"/>
        <v>0</v>
      </c>
      <c r="AE45" s="137">
        <f t="shared" si="42"/>
        <v>0</v>
      </c>
      <c r="AF45" s="135">
        <f t="shared" si="42"/>
        <v>0</v>
      </c>
      <c r="AG45" s="136">
        <f t="shared" si="42"/>
        <v>0</v>
      </c>
      <c r="AH45" s="136">
        <f t="shared" si="42"/>
        <v>0</v>
      </c>
      <c r="AI45" s="137">
        <f t="shared" si="42"/>
        <v>0</v>
      </c>
      <c r="AJ45" s="135">
        <f t="shared" si="42"/>
        <v>0</v>
      </c>
      <c r="AK45" s="138">
        <f t="shared" si="42"/>
        <v>0</v>
      </c>
      <c r="AL45" s="136">
        <f t="shared" si="42"/>
        <v>0</v>
      </c>
      <c r="AM45" s="136">
        <f t="shared" si="42"/>
        <v>0</v>
      </c>
      <c r="AN45" s="194">
        <f t="shared" si="42"/>
        <v>0</v>
      </c>
      <c r="AO45" s="138">
        <f t="shared" si="42"/>
        <v>0</v>
      </c>
      <c r="AP45" s="136">
        <f t="shared" si="42"/>
        <v>0</v>
      </c>
      <c r="AQ45" s="136">
        <f t="shared" si="42"/>
        <v>0</v>
      </c>
      <c r="AR45" s="137">
        <f t="shared" si="42"/>
        <v>0</v>
      </c>
      <c r="AS45" s="135">
        <f t="shared" si="42"/>
        <v>0</v>
      </c>
      <c r="AT45" s="136">
        <f t="shared" si="42"/>
        <v>0</v>
      </c>
      <c r="AU45" s="136">
        <f t="shared" si="42"/>
        <v>0</v>
      </c>
      <c r="AV45" s="137">
        <f t="shared" si="42"/>
        <v>0</v>
      </c>
      <c r="AW45" s="135">
        <f t="shared" si="43"/>
        <v>0</v>
      </c>
      <c r="AX45" s="136">
        <f t="shared" si="43"/>
        <v>0</v>
      </c>
      <c r="AY45" s="136">
        <f t="shared" si="43"/>
        <v>0</v>
      </c>
      <c r="AZ45" s="136">
        <f t="shared" si="43"/>
        <v>0</v>
      </c>
      <c r="BA45" s="137">
        <f t="shared" si="43"/>
        <v>0</v>
      </c>
      <c r="BB45" s="138">
        <f t="shared" si="43"/>
        <v>0</v>
      </c>
      <c r="BC45" s="136">
        <f t="shared" si="43"/>
        <v>0</v>
      </c>
      <c r="BD45" s="136">
        <f t="shared" si="43"/>
        <v>0</v>
      </c>
      <c r="BE45" s="137">
        <f t="shared" si="43"/>
        <v>0</v>
      </c>
      <c r="BF45" s="135">
        <f t="shared" si="43"/>
        <v>0</v>
      </c>
      <c r="BG45" s="136">
        <f t="shared" si="43"/>
        <v>0</v>
      </c>
      <c r="BH45" s="136">
        <f t="shared" si="43"/>
        <v>0</v>
      </c>
      <c r="BI45" s="137">
        <f t="shared" si="43"/>
        <v>0</v>
      </c>
      <c r="BJ45" s="138">
        <f t="shared" si="43"/>
        <v>0</v>
      </c>
      <c r="BK45" s="136">
        <f t="shared" si="43"/>
        <v>0</v>
      </c>
      <c r="BL45" s="136">
        <f t="shared" si="43"/>
        <v>0</v>
      </c>
      <c r="BM45" s="136">
        <f t="shared" si="43"/>
        <v>0</v>
      </c>
      <c r="BN45" s="137">
        <f t="shared" si="43"/>
        <v>0</v>
      </c>
      <c r="BO45" s="138">
        <f t="shared" si="43"/>
        <v>0</v>
      </c>
      <c r="BP45" s="136">
        <f t="shared" si="43"/>
        <v>0</v>
      </c>
      <c r="BQ45" s="136">
        <f t="shared" si="43"/>
        <v>0</v>
      </c>
      <c r="BR45" s="137">
        <f t="shared" si="43"/>
        <v>0</v>
      </c>
      <c r="BS45" s="138">
        <f t="shared" si="43"/>
        <v>0</v>
      </c>
      <c r="BT45" s="136">
        <f t="shared" si="43"/>
        <v>0</v>
      </c>
      <c r="BU45" s="136">
        <f t="shared" si="43"/>
        <v>0</v>
      </c>
      <c r="BV45" s="136">
        <f t="shared" si="43"/>
        <v>0</v>
      </c>
      <c r="BW45" s="137">
        <f t="shared" si="43"/>
        <v>0</v>
      </c>
      <c r="BX45" s="138">
        <f t="shared" si="43"/>
        <v>0</v>
      </c>
      <c r="BY45" s="136">
        <f t="shared" si="43"/>
        <v>0</v>
      </c>
      <c r="BZ45" s="136">
        <f t="shared" si="43"/>
        <v>0</v>
      </c>
      <c r="CA45" s="137">
        <f t="shared" si="43"/>
        <v>0</v>
      </c>
      <c r="CB45" s="135">
        <f t="shared" si="43"/>
        <v>0</v>
      </c>
      <c r="CC45" s="136">
        <f t="shared" si="43"/>
        <v>0</v>
      </c>
      <c r="CD45" s="136">
        <f t="shared" si="43"/>
        <v>0</v>
      </c>
      <c r="CE45" s="137">
        <f t="shared" si="43"/>
        <v>0</v>
      </c>
    </row>
    <row r="46" spans="1:83">
      <c r="A46" s="130" t="s">
        <v>9</v>
      </c>
      <c r="B46" s="95"/>
      <c r="C46" s="96"/>
      <c r="D46" s="96"/>
      <c r="E46" s="96"/>
      <c r="F46" s="96"/>
      <c r="G46" s="96"/>
      <c r="H46" s="97"/>
      <c r="I46" s="94">
        <v>10</v>
      </c>
      <c r="J46" s="131">
        <f t="shared" si="38"/>
        <v>1</v>
      </c>
      <c r="K46" s="101">
        <v>0</v>
      </c>
      <c r="L46" s="132">
        <f t="shared" si="39"/>
        <v>0.1</v>
      </c>
      <c r="M46" s="132">
        <f t="shared" si="40"/>
        <v>0</v>
      </c>
      <c r="N46" s="132">
        <f t="shared" si="3"/>
        <v>-0.1</v>
      </c>
      <c r="O46" s="133" t="str">
        <f t="shared" si="41"/>
        <v>지연</v>
      </c>
      <c r="P46" s="104"/>
      <c r="Q46" s="104"/>
      <c r="R46" s="104"/>
      <c r="S46" s="104"/>
      <c r="T46" s="94"/>
      <c r="U46" s="134" t="str">
        <f t="shared" si="37"/>
        <v/>
      </c>
      <c r="V46" s="253">
        <f>NETWORKDAYS(P46,Q46,진행현황_전체!C$59:C$77)</f>
        <v>0</v>
      </c>
      <c r="W46" s="135">
        <f t="shared" si="42"/>
        <v>0</v>
      </c>
      <c r="X46" s="136">
        <f t="shared" si="42"/>
        <v>0</v>
      </c>
      <c r="Y46" s="136">
        <f t="shared" si="42"/>
        <v>0</v>
      </c>
      <c r="Z46" s="136">
        <f t="shared" si="42"/>
        <v>0</v>
      </c>
      <c r="AA46" s="137">
        <f t="shared" si="42"/>
        <v>0</v>
      </c>
      <c r="AB46" s="138">
        <f t="shared" si="42"/>
        <v>0</v>
      </c>
      <c r="AC46" s="136">
        <f t="shared" si="42"/>
        <v>0</v>
      </c>
      <c r="AD46" s="136">
        <f t="shared" si="42"/>
        <v>0</v>
      </c>
      <c r="AE46" s="137">
        <f t="shared" si="42"/>
        <v>0</v>
      </c>
      <c r="AF46" s="135">
        <f t="shared" si="42"/>
        <v>0</v>
      </c>
      <c r="AG46" s="136">
        <f t="shared" si="42"/>
        <v>0</v>
      </c>
      <c r="AH46" s="136">
        <f t="shared" si="42"/>
        <v>0</v>
      </c>
      <c r="AI46" s="137">
        <f t="shared" si="42"/>
        <v>0</v>
      </c>
      <c r="AJ46" s="135">
        <f t="shared" si="42"/>
        <v>0</v>
      </c>
      <c r="AK46" s="138">
        <f t="shared" si="42"/>
        <v>0</v>
      </c>
      <c r="AL46" s="136">
        <f t="shared" si="42"/>
        <v>0</v>
      </c>
      <c r="AM46" s="136">
        <f t="shared" si="42"/>
        <v>0</v>
      </c>
      <c r="AN46" s="194">
        <f t="shared" si="42"/>
        <v>0</v>
      </c>
      <c r="AO46" s="138">
        <f t="shared" si="42"/>
        <v>0</v>
      </c>
      <c r="AP46" s="136">
        <f t="shared" si="42"/>
        <v>0</v>
      </c>
      <c r="AQ46" s="136">
        <f t="shared" si="42"/>
        <v>0</v>
      </c>
      <c r="AR46" s="137">
        <f t="shared" si="42"/>
        <v>0</v>
      </c>
      <c r="AS46" s="135">
        <f t="shared" si="42"/>
        <v>0</v>
      </c>
      <c r="AT46" s="136">
        <f t="shared" si="42"/>
        <v>0</v>
      </c>
      <c r="AU46" s="136">
        <f t="shared" si="42"/>
        <v>0</v>
      </c>
      <c r="AV46" s="137">
        <f t="shared" si="42"/>
        <v>0</v>
      </c>
      <c r="AW46" s="135">
        <f t="shared" si="43"/>
        <v>0</v>
      </c>
      <c r="AX46" s="136">
        <f t="shared" si="43"/>
        <v>0</v>
      </c>
      <c r="AY46" s="136">
        <f t="shared" si="43"/>
        <v>0</v>
      </c>
      <c r="AZ46" s="136">
        <f t="shared" si="43"/>
        <v>0</v>
      </c>
      <c r="BA46" s="137">
        <f t="shared" si="43"/>
        <v>0</v>
      </c>
      <c r="BB46" s="138">
        <f t="shared" si="43"/>
        <v>0</v>
      </c>
      <c r="BC46" s="136">
        <f t="shared" si="43"/>
        <v>0</v>
      </c>
      <c r="BD46" s="136">
        <f t="shared" si="43"/>
        <v>0</v>
      </c>
      <c r="BE46" s="137">
        <f t="shared" si="43"/>
        <v>0</v>
      </c>
      <c r="BF46" s="135">
        <f t="shared" si="43"/>
        <v>0</v>
      </c>
      <c r="BG46" s="136">
        <f t="shared" si="43"/>
        <v>0</v>
      </c>
      <c r="BH46" s="136">
        <f t="shared" si="43"/>
        <v>0</v>
      </c>
      <c r="BI46" s="137">
        <f t="shared" si="43"/>
        <v>0</v>
      </c>
      <c r="BJ46" s="138">
        <f t="shared" si="43"/>
        <v>0</v>
      </c>
      <c r="BK46" s="136">
        <f t="shared" si="43"/>
        <v>0</v>
      </c>
      <c r="BL46" s="136">
        <f t="shared" si="43"/>
        <v>0</v>
      </c>
      <c r="BM46" s="136">
        <f t="shared" si="43"/>
        <v>0</v>
      </c>
      <c r="BN46" s="137">
        <f t="shared" si="43"/>
        <v>0</v>
      </c>
      <c r="BO46" s="138">
        <f t="shared" si="43"/>
        <v>0</v>
      </c>
      <c r="BP46" s="136">
        <f t="shared" si="43"/>
        <v>0</v>
      </c>
      <c r="BQ46" s="136">
        <f t="shared" si="43"/>
        <v>0</v>
      </c>
      <c r="BR46" s="137">
        <f t="shared" si="43"/>
        <v>0</v>
      </c>
      <c r="BS46" s="138">
        <f t="shared" si="43"/>
        <v>0</v>
      </c>
      <c r="BT46" s="136">
        <f t="shared" si="43"/>
        <v>0</v>
      </c>
      <c r="BU46" s="136">
        <f t="shared" si="43"/>
        <v>0</v>
      </c>
      <c r="BV46" s="136">
        <f t="shared" si="43"/>
        <v>0</v>
      </c>
      <c r="BW46" s="137">
        <f t="shared" si="43"/>
        <v>0</v>
      </c>
      <c r="BX46" s="138">
        <f t="shared" si="43"/>
        <v>0</v>
      </c>
      <c r="BY46" s="136">
        <f t="shared" si="43"/>
        <v>0</v>
      </c>
      <c r="BZ46" s="136">
        <f t="shared" si="43"/>
        <v>0</v>
      </c>
      <c r="CA46" s="137">
        <f t="shared" si="43"/>
        <v>0</v>
      </c>
      <c r="CB46" s="135">
        <f t="shared" si="43"/>
        <v>0</v>
      </c>
      <c r="CC46" s="136">
        <f t="shared" si="43"/>
        <v>0</v>
      </c>
      <c r="CD46" s="136">
        <f t="shared" si="43"/>
        <v>0</v>
      </c>
      <c r="CE46" s="137">
        <f t="shared" si="43"/>
        <v>0</v>
      </c>
    </row>
    <row r="47" spans="1:83">
      <c r="A47" s="130" t="s">
        <v>10</v>
      </c>
      <c r="B47" s="95"/>
      <c r="C47" s="96"/>
      <c r="D47" s="96"/>
      <c r="E47" s="96"/>
      <c r="F47" s="96"/>
      <c r="G47" s="96"/>
      <c r="H47" s="97"/>
      <c r="I47" s="94">
        <v>10</v>
      </c>
      <c r="J47" s="131">
        <f t="shared" si="38"/>
        <v>1</v>
      </c>
      <c r="K47" s="101">
        <v>0</v>
      </c>
      <c r="L47" s="132">
        <f t="shared" si="39"/>
        <v>0.1</v>
      </c>
      <c r="M47" s="132">
        <f t="shared" si="40"/>
        <v>0</v>
      </c>
      <c r="N47" s="132">
        <f t="shared" si="3"/>
        <v>-0.1</v>
      </c>
      <c r="O47" s="133" t="str">
        <f t="shared" si="41"/>
        <v>지연</v>
      </c>
      <c r="P47" s="104"/>
      <c r="Q47" s="104"/>
      <c r="R47" s="104"/>
      <c r="S47" s="104"/>
      <c r="T47" s="130"/>
      <c r="U47" s="134" t="str">
        <f t="shared" si="37"/>
        <v/>
      </c>
      <c r="V47" s="253">
        <f>NETWORKDAYS(P47,Q47,진행현황_전체!C$59:C$77)</f>
        <v>0</v>
      </c>
      <c r="W47" s="135">
        <f t="shared" si="42"/>
        <v>0</v>
      </c>
      <c r="X47" s="136">
        <f t="shared" si="42"/>
        <v>0</v>
      </c>
      <c r="Y47" s="136">
        <f t="shared" si="42"/>
        <v>0</v>
      </c>
      <c r="Z47" s="136">
        <f t="shared" si="42"/>
        <v>0</v>
      </c>
      <c r="AA47" s="137">
        <f t="shared" si="42"/>
        <v>0</v>
      </c>
      <c r="AB47" s="138">
        <f t="shared" si="42"/>
        <v>0</v>
      </c>
      <c r="AC47" s="136">
        <f t="shared" si="42"/>
        <v>0</v>
      </c>
      <c r="AD47" s="136">
        <f t="shared" si="42"/>
        <v>0</v>
      </c>
      <c r="AE47" s="137">
        <f t="shared" si="42"/>
        <v>0</v>
      </c>
      <c r="AF47" s="135">
        <f t="shared" si="42"/>
        <v>0</v>
      </c>
      <c r="AG47" s="136">
        <f t="shared" si="42"/>
        <v>0</v>
      </c>
      <c r="AH47" s="136">
        <f t="shared" si="42"/>
        <v>0</v>
      </c>
      <c r="AI47" s="137">
        <f t="shared" si="42"/>
        <v>0</v>
      </c>
      <c r="AJ47" s="135">
        <f t="shared" si="42"/>
        <v>0</v>
      </c>
      <c r="AK47" s="138">
        <f t="shared" si="42"/>
        <v>0</v>
      </c>
      <c r="AL47" s="136">
        <f t="shared" si="42"/>
        <v>0</v>
      </c>
      <c r="AM47" s="136">
        <f t="shared" si="42"/>
        <v>0</v>
      </c>
      <c r="AN47" s="194">
        <f t="shared" si="42"/>
        <v>0</v>
      </c>
      <c r="AO47" s="138">
        <f t="shared" si="42"/>
        <v>0</v>
      </c>
      <c r="AP47" s="136">
        <f t="shared" si="42"/>
        <v>0</v>
      </c>
      <c r="AQ47" s="136">
        <f t="shared" si="42"/>
        <v>0</v>
      </c>
      <c r="AR47" s="137">
        <f t="shared" si="42"/>
        <v>0</v>
      </c>
      <c r="AS47" s="135">
        <f t="shared" si="42"/>
        <v>0</v>
      </c>
      <c r="AT47" s="136">
        <f t="shared" si="42"/>
        <v>0</v>
      </c>
      <c r="AU47" s="136">
        <f t="shared" si="42"/>
        <v>0</v>
      </c>
      <c r="AV47" s="137">
        <f t="shared" si="42"/>
        <v>0</v>
      </c>
      <c r="AW47" s="135">
        <f t="shared" si="43"/>
        <v>0</v>
      </c>
      <c r="AX47" s="136">
        <f t="shared" si="43"/>
        <v>0</v>
      </c>
      <c r="AY47" s="136">
        <f t="shared" si="43"/>
        <v>0</v>
      </c>
      <c r="AZ47" s="136">
        <f t="shared" si="43"/>
        <v>0</v>
      </c>
      <c r="BA47" s="137">
        <f t="shared" si="43"/>
        <v>0</v>
      </c>
      <c r="BB47" s="138">
        <f t="shared" si="43"/>
        <v>0</v>
      </c>
      <c r="BC47" s="136">
        <f t="shared" si="43"/>
        <v>0</v>
      </c>
      <c r="BD47" s="136">
        <f t="shared" si="43"/>
        <v>0</v>
      </c>
      <c r="BE47" s="137">
        <f t="shared" si="43"/>
        <v>0</v>
      </c>
      <c r="BF47" s="135">
        <f t="shared" si="43"/>
        <v>0</v>
      </c>
      <c r="BG47" s="136">
        <f t="shared" si="43"/>
        <v>0</v>
      </c>
      <c r="BH47" s="136">
        <f t="shared" si="43"/>
        <v>0</v>
      </c>
      <c r="BI47" s="137">
        <f t="shared" si="43"/>
        <v>0</v>
      </c>
      <c r="BJ47" s="138">
        <f t="shared" si="43"/>
        <v>0</v>
      </c>
      <c r="BK47" s="136">
        <f t="shared" si="43"/>
        <v>0</v>
      </c>
      <c r="BL47" s="136">
        <f t="shared" si="43"/>
        <v>0</v>
      </c>
      <c r="BM47" s="136">
        <f t="shared" si="43"/>
        <v>0</v>
      </c>
      <c r="BN47" s="137">
        <f t="shared" si="43"/>
        <v>0</v>
      </c>
      <c r="BO47" s="138">
        <f t="shared" si="43"/>
        <v>0</v>
      </c>
      <c r="BP47" s="136">
        <f t="shared" si="43"/>
        <v>0</v>
      </c>
      <c r="BQ47" s="136">
        <f t="shared" si="43"/>
        <v>0</v>
      </c>
      <c r="BR47" s="137">
        <f t="shared" si="43"/>
        <v>0</v>
      </c>
      <c r="BS47" s="138">
        <f t="shared" si="43"/>
        <v>0</v>
      </c>
      <c r="BT47" s="136">
        <f t="shared" si="43"/>
        <v>0</v>
      </c>
      <c r="BU47" s="136">
        <f t="shared" si="43"/>
        <v>0</v>
      </c>
      <c r="BV47" s="136">
        <f t="shared" si="43"/>
        <v>0</v>
      </c>
      <c r="BW47" s="137">
        <f t="shared" si="43"/>
        <v>0</v>
      </c>
      <c r="BX47" s="138">
        <f t="shared" si="43"/>
        <v>0</v>
      </c>
      <c r="BY47" s="136">
        <f t="shared" si="43"/>
        <v>0</v>
      </c>
      <c r="BZ47" s="136">
        <f t="shared" si="43"/>
        <v>0</v>
      </c>
      <c r="CA47" s="137">
        <f t="shared" si="43"/>
        <v>0</v>
      </c>
      <c r="CB47" s="135">
        <f t="shared" si="43"/>
        <v>0</v>
      </c>
      <c r="CC47" s="136">
        <f t="shared" si="43"/>
        <v>0</v>
      </c>
      <c r="CD47" s="136">
        <f t="shared" si="43"/>
        <v>0</v>
      </c>
      <c r="CE47" s="137">
        <f t="shared" si="43"/>
        <v>0</v>
      </c>
    </row>
    <row r="48" spans="1:83">
      <c r="A48" s="130" t="s">
        <v>11</v>
      </c>
      <c r="B48" s="95"/>
      <c r="C48" s="96"/>
      <c r="D48" s="96"/>
      <c r="E48" s="96"/>
      <c r="F48" s="96"/>
      <c r="G48" s="96"/>
      <c r="H48" s="97"/>
      <c r="I48" s="94">
        <v>10</v>
      </c>
      <c r="J48" s="131">
        <f t="shared" si="38"/>
        <v>1</v>
      </c>
      <c r="K48" s="101">
        <v>0</v>
      </c>
      <c r="L48" s="132">
        <f t="shared" si="39"/>
        <v>0.1</v>
      </c>
      <c r="M48" s="132">
        <f t="shared" si="40"/>
        <v>0</v>
      </c>
      <c r="N48" s="132">
        <f t="shared" si="3"/>
        <v>-0.1</v>
      </c>
      <c r="O48" s="133" t="str">
        <f t="shared" si="41"/>
        <v>지연</v>
      </c>
      <c r="P48" s="104"/>
      <c r="Q48" s="104"/>
      <c r="R48" s="104"/>
      <c r="S48" s="104"/>
      <c r="T48" s="94"/>
      <c r="U48" s="134" t="str">
        <f t="shared" si="37"/>
        <v/>
      </c>
      <c r="V48" s="253">
        <f>NETWORKDAYS(P48,Q48,진행현황_전체!C$59:C$77)</f>
        <v>0</v>
      </c>
      <c r="W48" s="135">
        <f t="shared" si="42"/>
        <v>0</v>
      </c>
      <c r="X48" s="136">
        <f t="shared" si="42"/>
        <v>0</v>
      </c>
      <c r="Y48" s="136">
        <f t="shared" si="42"/>
        <v>0</v>
      </c>
      <c r="Z48" s="136">
        <f t="shared" si="42"/>
        <v>0</v>
      </c>
      <c r="AA48" s="137">
        <f t="shared" si="42"/>
        <v>0</v>
      </c>
      <c r="AB48" s="138">
        <f t="shared" si="42"/>
        <v>0</v>
      </c>
      <c r="AC48" s="136">
        <f t="shared" si="42"/>
        <v>0</v>
      </c>
      <c r="AD48" s="136">
        <f t="shared" si="42"/>
        <v>0</v>
      </c>
      <c r="AE48" s="137">
        <f t="shared" si="42"/>
        <v>0</v>
      </c>
      <c r="AF48" s="135">
        <f t="shared" si="42"/>
        <v>0</v>
      </c>
      <c r="AG48" s="136">
        <f t="shared" si="42"/>
        <v>0</v>
      </c>
      <c r="AH48" s="136">
        <f t="shared" si="42"/>
        <v>0</v>
      </c>
      <c r="AI48" s="137">
        <f t="shared" si="42"/>
        <v>0</v>
      </c>
      <c r="AJ48" s="135">
        <f t="shared" si="42"/>
        <v>0</v>
      </c>
      <c r="AK48" s="138">
        <f t="shared" si="42"/>
        <v>0</v>
      </c>
      <c r="AL48" s="136">
        <f t="shared" si="42"/>
        <v>0</v>
      </c>
      <c r="AM48" s="136">
        <f t="shared" si="42"/>
        <v>0</v>
      </c>
      <c r="AN48" s="194">
        <f t="shared" si="42"/>
        <v>0</v>
      </c>
      <c r="AO48" s="138">
        <f t="shared" si="42"/>
        <v>0</v>
      </c>
      <c r="AP48" s="136">
        <f t="shared" si="42"/>
        <v>0</v>
      </c>
      <c r="AQ48" s="136">
        <f t="shared" si="42"/>
        <v>0</v>
      </c>
      <c r="AR48" s="137">
        <f t="shared" si="42"/>
        <v>0</v>
      </c>
      <c r="AS48" s="135">
        <f t="shared" si="42"/>
        <v>0</v>
      </c>
      <c r="AT48" s="136">
        <f t="shared" si="42"/>
        <v>0</v>
      </c>
      <c r="AU48" s="136">
        <f t="shared" si="42"/>
        <v>0</v>
      </c>
      <c r="AV48" s="137">
        <f t="shared" si="42"/>
        <v>0</v>
      </c>
      <c r="AW48" s="135">
        <f t="shared" si="43"/>
        <v>0</v>
      </c>
      <c r="AX48" s="136">
        <f t="shared" si="43"/>
        <v>0</v>
      </c>
      <c r="AY48" s="136">
        <f t="shared" si="43"/>
        <v>0</v>
      </c>
      <c r="AZ48" s="136">
        <f t="shared" si="43"/>
        <v>0</v>
      </c>
      <c r="BA48" s="137">
        <f t="shared" si="43"/>
        <v>0</v>
      </c>
      <c r="BB48" s="138">
        <f t="shared" si="43"/>
        <v>0</v>
      </c>
      <c r="BC48" s="136">
        <f t="shared" si="43"/>
        <v>0</v>
      </c>
      <c r="BD48" s="136">
        <f t="shared" si="43"/>
        <v>0</v>
      </c>
      <c r="BE48" s="137">
        <f t="shared" si="43"/>
        <v>0</v>
      </c>
      <c r="BF48" s="135">
        <f t="shared" si="43"/>
        <v>0</v>
      </c>
      <c r="BG48" s="136">
        <f t="shared" si="43"/>
        <v>0</v>
      </c>
      <c r="BH48" s="136">
        <f t="shared" si="43"/>
        <v>0</v>
      </c>
      <c r="BI48" s="137">
        <f t="shared" si="43"/>
        <v>0</v>
      </c>
      <c r="BJ48" s="138">
        <f t="shared" si="43"/>
        <v>0</v>
      </c>
      <c r="BK48" s="136">
        <f t="shared" si="43"/>
        <v>0</v>
      </c>
      <c r="BL48" s="136">
        <f t="shared" si="43"/>
        <v>0</v>
      </c>
      <c r="BM48" s="136">
        <f t="shared" si="43"/>
        <v>0</v>
      </c>
      <c r="BN48" s="137">
        <f t="shared" si="43"/>
        <v>0</v>
      </c>
      <c r="BO48" s="138">
        <f t="shared" si="43"/>
        <v>0</v>
      </c>
      <c r="BP48" s="136">
        <f t="shared" si="43"/>
        <v>0</v>
      </c>
      <c r="BQ48" s="136">
        <f t="shared" si="43"/>
        <v>0</v>
      </c>
      <c r="BR48" s="137">
        <f t="shared" si="43"/>
        <v>0</v>
      </c>
      <c r="BS48" s="138">
        <f t="shared" si="43"/>
        <v>0</v>
      </c>
      <c r="BT48" s="136">
        <f t="shared" si="43"/>
        <v>0</v>
      </c>
      <c r="BU48" s="136">
        <f t="shared" si="43"/>
        <v>0</v>
      </c>
      <c r="BV48" s="136">
        <f t="shared" si="43"/>
        <v>0</v>
      </c>
      <c r="BW48" s="137">
        <f t="shared" si="43"/>
        <v>0</v>
      </c>
      <c r="BX48" s="138">
        <f t="shared" si="43"/>
        <v>0</v>
      </c>
      <c r="BY48" s="136">
        <f t="shared" si="43"/>
        <v>0</v>
      </c>
      <c r="BZ48" s="136">
        <f t="shared" si="43"/>
        <v>0</v>
      </c>
      <c r="CA48" s="137">
        <f t="shared" si="43"/>
        <v>0</v>
      </c>
      <c r="CB48" s="135">
        <f t="shared" si="43"/>
        <v>0</v>
      </c>
      <c r="CC48" s="136">
        <f t="shared" si="43"/>
        <v>0</v>
      </c>
      <c r="CD48" s="136">
        <f t="shared" si="43"/>
        <v>0</v>
      </c>
      <c r="CE48" s="137">
        <f t="shared" si="43"/>
        <v>0</v>
      </c>
    </row>
    <row r="49" spans="1:83">
      <c r="A49" s="130" t="s">
        <v>12</v>
      </c>
      <c r="B49" s="95"/>
      <c r="C49" s="96"/>
      <c r="D49" s="96"/>
      <c r="E49" s="96"/>
      <c r="F49" s="96"/>
      <c r="G49" s="96"/>
      <c r="H49" s="97"/>
      <c r="I49" s="94">
        <v>10</v>
      </c>
      <c r="J49" s="131">
        <f t="shared" si="38"/>
        <v>1</v>
      </c>
      <c r="K49" s="101">
        <v>0</v>
      </c>
      <c r="L49" s="132">
        <f t="shared" si="39"/>
        <v>0.1</v>
      </c>
      <c r="M49" s="132">
        <f t="shared" si="40"/>
        <v>0</v>
      </c>
      <c r="N49" s="132">
        <f t="shared" si="3"/>
        <v>-0.1</v>
      </c>
      <c r="O49" s="133" t="str">
        <f t="shared" si="41"/>
        <v>지연</v>
      </c>
      <c r="P49" s="104"/>
      <c r="Q49" s="104"/>
      <c r="R49" s="104"/>
      <c r="S49" s="104"/>
      <c r="T49" s="94"/>
      <c r="U49" s="134" t="str">
        <f t="shared" si="37"/>
        <v/>
      </c>
      <c r="V49" s="253">
        <f>NETWORKDAYS(P49,Q49,진행현황_전체!C$59:C$77)</f>
        <v>0</v>
      </c>
      <c r="W49" s="135">
        <f t="shared" si="42"/>
        <v>0</v>
      </c>
      <c r="X49" s="136">
        <f t="shared" si="42"/>
        <v>0</v>
      </c>
      <c r="Y49" s="136">
        <f t="shared" si="42"/>
        <v>0</v>
      </c>
      <c r="Z49" s="136">
        <f t="shared" si="42"/>
        <v>0</v>
      </c>
      <c r="AA49" s="137">
        <f t="shared" si="42"/>
        <v>0</v>
      </c>
      <c r="AB49" s="138">
        <f t="shared" si="42"/>
        <v>0</v>
      </c>
      <c r="AC49" s="136">
        <f t="shared" si="42"/>
        <v>0</v>
      </c>
      <c r="AD49" s="136">
        <f t="shared" si="42"/>
        <v>0</v>
      </c>
      <c r="AE49" s="137">
        <f t="shared" si="42"/>
        <v>0</v>
      </c>
      <c r="AF49" s="135">
        <f t="shared" si="42"/>
        <v>0</v>
      </c>
      <c r="AG49" s="136">
        <f t="shared" si="42"/>
        <v>0</v>
      </c>
      <c r="AH49" s="136">
        <f t="shared" si="42"/>
        <v>0</v>
      </c>
      <c r="AI49" s="137">
        <f t="shared" si="42"/>
        <v>0</v>
      </c>
      <c r="AJ49" s="135">
        <f t="shared" si="42"/>
        <v>0</v>
      </c>
      <c r="AK49" s="138">
        <f t="shared" si="42"/>
        <v>0</v>
      </c>
      <c r="AL49" s="136">
        <f t="shared" si="42"/>
        <v>0</v>
      </c>
      <c r="AM49" s="136">
        <f t="shared" si="42"/>
        <v>0</v>
      </c>
      <c r="AN49" s="194">
        <f t="shared" si="42"/>
        <v>0</v>
      </c>
      <c r="AO49" s="138">
        <f t="shared" si="42"/>
        <v>0</v>
      </c>
      <c r="AP49" s="136">
        <f t="shared" si="42"/>
        <v>0</v>
      </c>
      <c r="AQ49" s="136">
        <f t="shared" si="42"/>
        <v>0</v>
      </c>
      <c r="AR49" s="137">
        <f t="shared" si="42"/>
        <v>0</v>
      </c>
      <c r="AS49" s="135">
        <f t="shared" si="42"/>
        <v>0</v>
      </c>
      <c r="AT49" s="136">
        <f t="shared" si="42"/>
        <v>0</v>
      </c>
      <c r="AU49" s="136">
        <f t="shared" si="42"/>
        <v>0</v>
      </c>
      <c r="AV49" s="137">
        <f t="shared" si="42"/>
        <v>0</v>
      </c>
      <c r="AW49" s="135">
        <f t="shared" si="43"/>
        <v>0</v>
      </c>
      <c r="AX49" s="136">
        <f t="shared" si="43"/>
        <v>0</v>
      </c>
      <c r="AY49" s="136">
        <f t="shared" si="43"/>
        <v>0</v>
      </c>
      <c r="AZ49" s="136">
        <f t="shared" si="43"/>
        <v>0</v>
      </c>
      <c r="BA49" s="137">
        <f t="shared" si="43"/>
        <v>0</v>
      </c>
      <c r="BB49" s="138">
        <f t="shared" si="43"/>
        <v>0</v>
      </c>
      <c r="BC49" s="136">
        <f t="shared" si="43"/>
        <v>0</v>
      </c>
      <c r="BD49" s="136">
        <f t="shared" si="43"/>
        <v>0</v>
      </c>
      <c r="BE49" s="137">
        <f t="shared" si="43"/>
        <v>0</v>
      </c>
      <c r="BF49" s="135">
        <f t="shared" si="43"/>
        <v>0</v>
      </c>
      <c r="BG49" s="136">
        <f t="shared" si="43"/>
        <v>0</v>
      </c>
      <c r="BH49" s="136">
        <f t="shared" si="43"/>
        <v>0</v>
      </c>
      <c r="BI49" s="137">
        <f t="shared" si="43"/>
        <v>0</v>
      </c>
      <c r="BJ49" s="138">
        <f t="shared" si="43"/>
        <v>0</v>
      </c>
      <c r="BK49" s="136">
        <f t="shared" si="43"/>
        <v>0</v>
      </c>
      <c r="BL49" s="136">
        <f t="shared" si="43"/>
        <v>0</v>
      </c>
      <c r="BM49" s="136">
        <f t="shared" si="43"/>
        <v>0</v>
      </c>
      <c r="BN49" s="137">
        <f t="shared" si="43"/>
        <v>0</v>
      </c>
      <c r="BO49" s="138">
        <f t="shared" si="43"/>
        <v>0</v>
      </c>
      <c r="BP49" s="136">
        <f t="shared" si="43"/>
        <v>0</v>
      </c>
      <c r="BQ49" s="136">
        <f t="shared" si="43"/>
        <v>0</v>
      </c>
      <c r="BR49" s="137">
        <f t="shared" si="43"/>
        <v>0</v>
      </c>
      <c r="BS49" s="138">
        <f t="shared" si="43"/>
        <v>0</v>
      </c>
      <c r="BT49" s="136">
        <f t="shared" si="43"/>
        <v>0</v>
      </c>
      <c r="BU49" s="136">
        <f t="shared" si="43"/>
        <v>0</v>
      </c>
      <c r="BV49" s="136">
        <f t="shared" si="43"/>
        <v>0</v>
      </c>
      <c r="BW49" s="137">
        <f t="shared" si="43"/>
        <v>0</v>
      </c>
      <c r="BX49" s="138">
        <f t="shared" si="43"/>
        <v>0</v>
      </c>
      <c r="BY49" s="136">
        <f t="shared" si="43"/>
        <v>0</v>
      </c>
      <c r="BZ49" s="136">
        <f t="shared" si="43"/>
        <v>0</v>
      </c>
      <c r="CA49" s="137">
        <f t="shared" si="43"/>
        <v>0</v>
      </c>
      <c r="CB49" s="135">
        <f t="shared" si="43"/>
        <v>0</v>
      </c>
      <c r="CC49" s="136">
        <f t="shared" si="43"/>
        <v>0</v>
      </c>
      <c r="CD49" s="136">
        <f t="shared" si="43"/>
        <v>0</v>
      </c>
      <c r="CE49" s="137">
        <f t="shared" si="43"/>
        <v>0</v>
      </c>
    </row>
    <row r="50" spans="1:83">
      <c r="A50" s="130" t="s">
        <v>13</v>
      </c>
      <c r="B50" s="95"/>
      <c r="C50" s="96"/>
      <c r="D50" s="96"/>
      <c r="E50" s="96"/>
      <c r="F50" s="96"/>
      <c r="G50" s="96"/>
      <c r="H50" s="97"/>
      <c r="I50" s="94">
        <v>10</v>
      </c>
      <c r="J50" s="131">
        <f t="shared" si="38"/>
        <v>1</v>
      </c>
      <c r="K50" s="101">
        <v>0</v>
      </c>
      <c r="L50" s="132">
        <f t="shared" si="39"/>
        <v>0.1</v>
      </c>
      <c r="M50" s="132">
        <f t="shared" si="40"/>
        <v>0</v>
      </c>
      <c r="N50" s="132">
        <f t="shared" si="3"/>
        <v>-0.1</v>
      </c>
      <c r="O50" s="133" t="str">
        <f t="shared" si="41"/>
        <v>지연</v>
      </c>
      <c r="P50" s="104"/>
      <c r="Q50" s="104"/>
      <c r="R50" s="104"/>
      <c r="S50" s="104"/>
      <c r="T50" s="130"/>
      <c r="U50" s="134" t="str">
        <f t="shared" si="37"/>
        <v/>
      </c>
      <c r="V50" s="253">
        <f>NETWORKDAYS(P50,Q50,진행현황_전체!C$59:C$77)</f>
        <v>0</v>
      </c>
      <c r="W50" s="135">
        <f t="shared" si="42"/>
        <v>0</v>
      </c>
      <c r="X50" s="136">
        <f t="shared" si="42"/>
        <v>0</v>
      </c>
      <c r="Y50" s="136">
        <f t="shared" si="42"/>
        <v>0</v>
      </c>
      <c r="Z50" s="136">
        <f t="shared" si="42"/>
        <v>0</v>
      </c>
      <c r="AA50" s="137">
        <f t="shared" si="42"/>
        <v>0</v>
      </c>
      <c r="AB50" s="138">
        <f t="shared" si="42"/>
        <v>0</v>
      </c>
      <c r="AC50" s="136">
        <f t="shared" si="42"/>
        <v>0</v>
      </c>
      <c r="AD50" s="136">
        <f t="shared" si="42"/>
        <v>0</v>
      </c>
      <c r="AE50" s="137">
        <f t="shared" si="42"/>
        <v>0</v>
      </c>
      <c r="AF50" s="135">
        <f t="shared" si="42"/>
        <v>0</v>
      </c>
      <c r="AG50" s="136">
        <f t="shared" si="42"/>
        <v>0</v>
      </c>
      <c r="AH50" s="136">
        <f t="shared" si="42"/>
        <v>0</v>
      </c>
      <c r="AI50" s="137">
        <f t="shared" si="42"/>
        <v>0</v>
      </c>
      <c r="AJ50" s="135">
        <f t="shared" si="42"/>
        <v>0</v>
      </c>
      <c r="AK50" s="138">
        <f t="shared" si="42"/>
        <v>0</v>
      </c>
      <c r="AL50" s="136">
        <f t="shared" si="42"/>
        <v>0</v>
      </c>
      <c r="AM50" s="136">
        <f t="shared" si="42"/>
        <v>0</v>
      </c>
      <c r="AN50" s="194">
        <f t="shared" si="42"/>
        <v>0</v>
      </c>
      <c r="AO50" s="138">
        <f t="shared" si="42"/>
        <v>0</v>
      </c>
      <c r="AP50" s="136">
        <f t="shared" si="42"/>
        <v>0</v>
      </c>
      <c r="AQ50" s="136">
        <f t="shared" si="42"/>
        <v>0</v>
      </c>
      <c r="AR50" s="137">
        <f t="shared" si="42"/>
        <v>0</v>
      </c>
      <c r="AS50" s="135">
        <f t="shared" si="42"/>
        <v>0</v>
      </c>
      <c r="AT50" s="136">
        <f t="shared" si="42"/>
        <v>0</v>
      </c>
      <c r="AU50" s="136">
        <f t="shared" si="42"/>
        <v>0</v>
      </c>
      <c r="AV50" s="137">
        <f t="shared" si="42"/>
        <v>0</v>
      </c>
      <c r="AW50" s="135">
        <f t="shared" si="43"/>
        <v>0</v>
      </c>
      <c r="AX50" s="136">
        <f t="shared" si="43"/>
        <v>0</v>
      </c>
      <c r="AY50" s="136">
        <f t="shared" si="43"/>
        <v>0</v>
      </c>
      <c r="AZ50" s="136">
        <f t="shared" si="43"/>
        <v>0</v>
      </c>
      <c r="BA50" s="137">
        <f t="shared" si="43"/>
        <v>0</v>
      </c>
      <c r="BB50" s="138">
        <f t="shared" si="43"/>
        <v>0</v>
      </c>
      <c r="BC50" s="136">
        <f t="shared" si="43"/>
        <v>0</v>
      </c>
      <c r="BD50" s="136">
        <f t="shared" si="43"/>
        <v>0</v>
      </c>
      <c r="BE50" s="137">
        <f t="shared" si="43"/>
        <v>0</v>
      </c>
      <c r="BF50" s="135">
        <f t="shared" si="43"/>
        <v>0</v>
      </c>
      <c r="BG50" s="136">
        <f t="shared" si="43"/>
        <v>0</v>
      </c>
      <c r="BH50" s="136">
        <f t="shared" si="43"/>
        <v>0</v>
      </c>
      <c r="BI50" s="137">
        <f t="shared" si="43"/>
        <v>0</v>
      </c>
      <c r="BJ50" s="138">
        <f t="shared" si="43"/>
        <v>0</v>
      </c>
      <c r="BK50" s="136">
        <f t="shared" si="43"/>
        <v>0</v>
      </c>
      <c r="BL50" s="136">
        <f t="shared" si="43"/>
        <v>0</v>
      </c>
      <c r="BM50" s="136">
        <f t="shared" si="43"/>
        <v>0</v>
      </c>
      <c r="BN50" s="137">
        <f t="shared" si="43"/>
        <v>0</v>
      </c>
      <c r="BO50" s="138">
        <f t="shared" si="43"/>
        <v>0</v>
      </c>
      <c r="BP50" s="136">
        <f t="shared" si="43"/>
        <v>0</v>
      </c>
      <c r="BQ50" s="136">
        <f t="shared" si="43"/>
        <v>0</v>
      </c>
      <c r="BR50" s="137">
        <f t="shared" si="43"/>
        <v>0</v>
      </c>
      <c r="BS50" s="138">
        <f t="shared" si="43"/>
        <v>0</v>
      </c>
      <c r="BT50" s="136">
        <f t="shared" si="43"/>
        <v>0</v>
      </c>
      <c r="BU50" s="136">
        <f t="shared" si="43"/>
        <v>0</v>
      </c>
      <c r="BV50" s="136">
        <f t="shared" si="43"/>
        <v>0</v>
      </c>
      <c r="BW50" s="137">
        <f t="shared" si="43"/>
        <v>0</v>
      </c>
      <c r="BX50" s="138">
        <f t="shared" si="43"/>
        <v>0</v>
      </c>
      <c r="BY50" s="136">
        <f t="shared" si="43"/>
        <v>0</v>
      </c>
      <c r="BZ50" s="136">
        <f t="shared" si="43"/>
        <v>0</v>
      </c>
      <c r="CA50" s="137">
        <f t="shared" si="43"/>
        <v>0</v>
      </c>
      <c r="CB50" s="135">
        <f t="shared" si="43"/>
        <v>0</v>
      </c>
      <c r="CC50" s="136">
        <f t="shared" si="43"/>
        <v>0</v>
      </c>
      <c r="CD50" s="136">
        <f t="shared" si="43"/>
        <v>0</v>
      </c>
      <c r="CE50" s="137">
        <f t="shared" si="43"/>
        <v>0</v>
      </c>
    </row>
    <row r="51" spans="1:83">
      <c r="A51" s="130" t="s">
        <v>14</v>
      </c>
      <c r="B51" s="95"/>
      <c r="C51" s="96"/>
      <c r="D51" s="96"/>
      <c r="E51" s="96"/>
      <c r="F51" s="96"/>
      <c r="G51" s="96"/>
      <c r="H51" s="97"/>
      <c r="I51" s="94">
        <v>10</v>
      </c>
      <c r="J51" s="131">
        <f t="shared" si="38"/>
        <v>1</v>
      </c>
      <c r="K51" s="101">
        <v>0</v>
      </c>
      <c r="L51" s="132">
        <f t="shared" si="39"/>
        <v>0.1</v>
      </c>
      <c r="M51" s="132">
        <f t="shared" si="40"/>
        <v>0</v>
      </c>
      <c r="N51" s="132">
        <f t="shared" si="3"/>
        <v>-0.1</v>
      </c>
      <c r="O51" s="133" t="str">
        <f t="shared" si="41"/>
        <v>지연</v>
      </c>
      <c r="P51" s="104"/>
      <c r="Q51" s="104"/>
      <c r="R51" s="104"/>
      <c r="S51" s="104"/>
      <c r="T51" s="94"/>
      <c r="U51" s="134" t="str">
        <f t="shared" si="37"/>
        <v/>
      </c>
      <c r="V51" s="253">
        <f>NETWORKDAYS(P51,Q51,진행현황_전체!C$59:C$77)</f>
        <v>0</v>
      </c>
      <c r="W51" s="135">
        <f t="shared" si="42"/>
        <v>0</v>
      </c>
      <c r="X51" s="136">
        <f t="shared" si="42"/>
        <v>0</v>
      </c>
      <c r="Y51" s="136">
        <f t="shared" si="42"/>
        <v>0</v>
      </c>
      <c r="Z51" s="136">
        <f t="shared" si="42"/>
        <v>0</v>
      </c>
      <c r="AA51" s="137">
        <f t="shared" si="42"/>
        <v>0</v>
      </c>
      <c r="AB51" s="138">
        <f t="shared" si="42"/>
        <v>0</v>
      </c>
      <c r="AC51" s="136">
        <f t="shared" si="42"/>
        <v>0</v>
      </c>
      <c r="AD51" s="136">
        <f t="shared" si="42"/>
        <v>0</v>
      </c>
      <c r="AE51" s="137">
        <f t="shared" si="42"/>
        <v>0</v>
      </c>
      <c r="AF51" s="135">
        <f t="shared" si="42"/>
        <v>0</v>
      </c>
      <c r="AG51" s="136">
        <f t="shared" si="42"/>
        <v>0</v>
      </c>
      <c r="AH51" s="136">
        <f t="shared" si="42"/>
        <v>0</v>
      </c>
      <c r="AI51" s="137">
        <f t="shared" si="42"/>
        <v>0</v>
      </c>
      <c r="AJ51" s="135">
        <f t="shared" si="42"/>
        <v>0</v>
      </c>
      <c r="AK51" s="138">
        <f t="shared" si="42"/>
        <v>0</v>
      </c>
      <c r="AL51" s="136">
        <f t="shared" si="42"/>
        <v>0</v>
      </c>
      <c r="AM51" s="136">
        <f t="shared" si="42"/>
        <v>0</v>
      </c>
      <c r="AN51" s="194">
        <f t="shared" si="42"/>
        <v>0</v>
      </c>
      <c r="AO51" s="138">
        <f t="shared" si="42"/>
        <v>0</v>
      </c>
      <c r="AP51" s="136">
        <f t="shared" si="42"/>
        <v>0</v>
      </c>
      <c r="AQ51" s="136">
        <f t="shared" si="42"/>
        <v>0</v>
      </c>
      <c r="AR51" s="137">
        <f t="shared" si="42"/>
        <v>0</v>
      </c>
      <c r="AS51" s="135">
        <f t="shared" si="42"/>
        <v>0</v>
      </c>
      <c r="AT51" s="136">
        <f t="shared" si="42"/>
        <v>0</v>
      </c>
      <c r="AU51" s="136">
        <f t="shared" si="42"/>
        <v>0</v>
      </c>
      <c r="AV51" s="137">
        <f t="shared" si="42"/>
        <v>0</v>
      </c>
      <c r="AW51" s="135">
        <f t="shared" si="43"/>
        <v>0</v>
      </c>
      <c r="AX51" s="136">
        <f t="shared" si="43"/>
        <v>0</v>
      </c>
      <c r="AY51" s="136">
        <f t="shared" si="43"/>
        <v>0</v>
      </c>
      <c r="AZ51" s="136">
        <f t="shared" si="43"/>
        <v>0</v>
      </c>
      <c r="BA51" s="137">
        <f t="shared" si="43"/>
        <v>0</v>
      </c>
      <c r="BB51" s="138">
        <f t="shared" si="43"/>
        <v>0</v>
      </c>
      <c r="BC51" s="136">
        <f t="shared" si="43"/>
        <v>0</v>
      </c>
      <c r="BD51" s="136">
        <f t="shared" si="43"/>
        <v>0</v>
      </c>
      <c r="BE51" s="137">
        <f t="shared" si="43"/>
        <v>0</v>
      </c>
      <c r="BF51" s="135">
        <f t="shared" si="43"/>
        <v>0</v>
      </c>
      <c r="BG51" s="136">
        <f t="shared" ref="BG51:CE53" si="44">IF(OR((AND($P51&lt;=BG$7,AND($Q51&lt;=BG$8, $Q51&gt;=BG$7))),(AND(AND($P51&gt;=BG$7, $P51&lt;=BG$8),$Q51&gt;=BG$8)), AND($P51&gt;=BG$7, $Q51&lt;=BG$8), AND($P51&lt;=BG$7,$Q51&gt;=BG$8)),1,0)</f>
        <v>0</v>
      </c>
      <c r="BH51" s="136">
        <f t="shared" si="44"/>
        <v>0</v>
      </c>
      <c r="BI51" s="137">
        <f t="shared" si="44"/>
        <v>0</v>
      </c>
      <c r="BJ51" s="138">
        <f t="shared" si="44"/>
        <v>0</v>
      </c>
      <c r="BK51" s="136">
        <f t="shared" si="44"/>
        <v>0</v>
      </c>
      <c r="BL51" s="136">
        <f t="shared" si="44"/>
        <v>0</v>
      </c>
      <c r="BM51" s="136">
        <f t="shared" si="44"/>
        <v>0</v>
      </c>
      <c r="BN51" s="137">
        <f t="shared" si="44"/>
        <v>0</v>
      </c>
      <c r="BO51" s="138">
        <f t="shared" si="44"/>
        <v>0</v>
      </c>
      <c r="BP51" s="136">
        <f t="shared" si="44"/>
        <v>0</v>
      </c>
      <c r="BQ51" s="136">
        <f t="shared" si="44"/>
        <v>0</v>
      </c>
      <c r="BR51" s="137">
        <f t="shared" si="44"/>
        <v>0</v>
      </c>
      <c r="BS51" s="138">
        <f t="shared" si="44"/>
        <v>0</v>
      </c>
      <c r="BT51" s="136">
        <f t="shared" si="44"/>
        <v>0</v>
      </c>
      <c r="BU51" s="136">
        <f t="shared" si="44"/>
        <v>0</v>
      </c>
      <c r="BV51" s="136">
        <f t="shared" si="44"/>
        <v>0</v>
      </c>
      <c r="BW51" s="137">
        <f t="shared" si="44"/>
        <v>0</v>
      </c>
      <c r="BX51" s="138">
        <f t="shared" si="44"/>
        <v>0</v>
      </c>
      <c r="BY51" s="136">
        <f t="shared" si="44"/>
        <v>0</v>
      </c>
      <c r="BZ51" s="136">
        <f t="shared" si="44"/>
        <v>0</v>
      </c>
      <c r="CA51" s="137">
        <f t="shared" si="44"/>
        <v>0</v>
      </c>
      <c r="CB51" s="135">
        <f t="shared" si="44"/>
        <v>0</v>
      </c>
      <c r="CC51" s="136">
        <f t="shared" si="44"/>
        <v>0</v>
      </c>
      <c r="CD51" s="136">
        <f t="shared" si="44"/>
        <v>0</v>
      </c>
      <c r="CE51" s="137">
        <f t="shared" si="44"/>
        <v>0</v>
      </c>
    </row>
    <row r="52" spans="1:83">
      <c r="A52" s="130" t="s">
        <v>15</v>
      </c>
      <c r="B52" s="95"/>
      <c r="C52" s="96"/>
      <c r="D52" s="96"/>
      <c r="E52" s="96"/>
      <c r="F52" s="96"/>
      <c r="G52" s="96"/>
      <c r="H52" s="97"/>
      <c r="I52" s="94">
        <v>10</v>
      </c>
      <c r="J52" s="131">
        <f t="shared" si="38"/>
        <v>1</v>
      </c>
      <c r="K52" s="101">
        <v>0</v>
      </c>
      <c r="L52" s="132">
        <f t="shared" si="39"/>
        <v>0.1</v>
      </c>
      <c r="M52" s="132">
        <f t="shared" si="40"/>
        <v>0</v>
      </c>
      <c r="N52" s="132">
        <f t="shared" si="3"/>
        <v>-0.1</v>
      </c>
      <c r="O52" s="133" t="str">
        <f t="shared" si="41"/>
        <v>지연</v>
      </c>
      <c r="P52" s="104"/>
      <c r="Q52" s="104"/>
      <c r="R52" s="104"/>
      <c r="S52" s="104"/>
      <c r="T52" s="94"/>
      <c r="U52" s="134" t="str">
        <f t="shared" si="37"/>
        <v/>
      </c>
      <c r="V52" s="253">
        <f>NETWORKDAYS(P52,Q52,진행현황_전체!C$59:C$77)</f>
        <v>0</v>
      </c>
      <c r="W52" s="135">
        <f t="shared" si="42"/>
        <v>0</v>
      </c>
      <c r="X52" s="136">
        <f t="shared" si="42"/>
        <v>0</v>
      </c>
      <c r="Y52" s="136">
        <f t="shared" si="42"/>
        <v>0</v>
      </c>
      <c r="Z52" s="136">
        <f t="shared" si="42"/>
        <v>0</v>
      </c>
      <c r="AA52" s="137">
        <f t="shared" si="42"/>
        <v>0</v>
      </c>
      <c r="AB52" s="138">
        <f t="shared" si="42"/>
        <v>0</v>
      </c>
      <c r="AC52" s="136">
        <f t="shared" si="42"/>
        <v>0</v>
      </c>
      <c r="AD52" s="136">
        <f t="shared" si="42"/>
        <v>0</v>
      </c>
      <c r="AE52" s="137">
        <f t="shared" si="42"/>
        <v>0</v>
      </c>
      <c r="AF52" s="135">
        <f t="shared" si="42"/>
        <v>0</v>
      </c>
      <c r="AG52" s="136">
        <f t="shared" si="42"/>
        <v>0</v>
      </c>
      <c r="AH52" s="136">
        <f t="shared" si="42"/>
        <v>0</v>
      </c>
      <c r="AI52" s="137">
        <f t="shared" si="42"/>
        <v>0</v>
      </c>
      <c r="AJ52" s="135">
        <f t="shared" si="42"/>
        <v>0</v>
      </c>
      <c r="AK52" s="138">
        <f t="shared" si="42"/>
        <v>0</v>
      </c>
      <c r="AL52" s="136">
        <f t="shared" si="42"/>
        <v>0</v>
      </c>
      <c r="AM52" s="136">
        <f t="shared" si="42"/>
        <v>0</v>
      </c>
      <c r="AN52" s="194">
        <f t="shared" si="42"/>
        <v>0</v>
      </c>
      <c r="AO52" s="138">
        <f t="shared" si="42"/>
        <v>0</v>
      </c>
      <c r="AP52" s="136">
        <f t="shared" si="42"/>
        <v>0</v>
      </c>
      <c r="AQ52" s="136">
        <f t="shared" si="42"/>
        <v>0</v>
      </c>
      <c r="AR52" s="137">
        <f t="shared" si="42"/>
        <v>0</v>
      </c>
      <c r="AS52" s="135">
        <f t="shared" si="42"/>
        <v>0</v>
      </c>
      <c r="AT52" s="136">
        <f t="shared" si="42"/>
        <v>0</v>
      </c>
      <c r="AU52" s="136">
        <f t="shared" si="42"/>
        <v>0</v>
      </c>
      <c r="AV52" s="137">
        <f t="shared" si="42"/>
        <v>0</v>
      </c>
      <c r="AW52" s="135">
        <f t="shared" ref="AW52:BS53" si="45">IF(OR((AND($P52&lt;=AW$7,AND($Q52&lt;=AW$8, $Q52&gt;=AW$7))),(AND(AND($P52&gt;=AW$7, $P52&lt;=AW$8),$Q52&gt;=AW$8)), AND($P52&gt;=AW$7, $Q52&lt;=AW$8), AND($P52&lt;=AW$7,$Q52&gt;=AW$8)),1,0)</f>
        <v>0</v>
      </c>
      <c r="AX52" s="136">
        <f t="shared" si="45"/>
        <v>0</v>
      </c>
      <c r="AY52" s="136">
        <f t="shared" si="45"/>
        <v>0</v>
      </c>
      <c r="AZ52" s="136">
        <f t="shared" si="45"/>
        <v>0</v>
      </c>
      <c r="BA52" s="137">
        <f t="shared" si="45"/>
        <v>0</v>
      </c>
      <c r="BB52" s="138">
        <f t="shared" si="45"/>
        <v>0</v>
      </c>
      <c r="BC52" s="136">
        <f t="shared" si="45"/>
        <v>0</v>
      </c>
      <c r="BD52" s="136">
        <f t="shared" si="45"/>
        <v>0</v>
      </c>
      <c r="BE52" s="137">
        <f t="shared" si="45"/>
        <v>0</v>
      </c>
      <c r="BF52" s="135">
        <f t="shared" si="45"/>
        <v>0</v>
      </c>
      <c r="BG52" s="136">
        <f t="shared" si="45"/>
        <v>0</v>
      </c>
      <c r="BH52" s="136">
        <f t="shared" si="45"/>
        <v>0</v>
      </c>
      <c r="BI52" s="137">
        <f t="shared" si="45"/>
        <v>0</v>
      </c>
      <c r="BJ52" s="138">
        <f t="shared" si="45"/>
        <v>0</v>
      </c>
      <c r="BK52" s="136">
        <f t="shared" si="45"/>
        <v>0</v>
      </c>
      <c r="BL52" s="136">
        <f t="shared" si="45"/>
        <v>0</v>
      </c>
      <c r="BM52" s="136">
        <f t="shared" si="45"/>
        <v>0</v>
      </c>
      <c r="BN52" s="137">
        <f t="shared" si="45"/>
        <v>0</v>
      </c>
      <c r="BO52" s="138">
        <f t="shared" si="45"/>
        <v>0</v>
      </c>
      <c r="BP52" s="136">
        <f t="shared" si="45"/>
        <v>0</v>
      </c>
      <c r="BQ52" s="136">
        <f t="shared" si="45"/>
        <v>0</v>
      </c>
      <c r="BR52" s="137">
        <f t="shared" si="44"/>
        <v>0</v>
      </c>
      <c r="BS52" s="138">
        <f t="shared" si="45"/>
        <v>0</v>
      </c>
      <c r="BT52" s="136">
        <f t="shared" si="44"/>
        <v>0</v>
      </c>
      <c r="BU52" s="136">
        <f t="shared" si="44"/>
        <v>0</v>
      </c>
      <c r="BV52" s="136">
        <f t="shared" si="44"/>
        <v>0</v>
      </c>
      <c r="BW52" s="137">
        <f t="shared" si="44"/>
        <v>0</v>
      </c>
      <c r="BX52" s="138">
        <f t="shared" si="44"/>
        <v>0</v>
      </c>
      <c r="BY52" s="136">
        <f t="shared" si="44"/>
        <v>0</v>
      </c>
      <c r="BZ52" s="136">
        <f t="shared" si="44"/>
        <v>0</v>
      </c>
      <c r="CA52" s="137">
        <f t="shared" si="44"/>
        <v>0</v>
      </c>
      <c r="CB52" s="135">
        <f t="shared" si="44"/>
        <v>0</v>
      </c>
      <c r="CC52" s="136">
        <f t="shared" si="44"/>
        <v>0</v>
      </c>
      <c r="CD52" s="136">
        <f t="shared" si="44"/>
        <v>0</v>
      </c>
      <c r="CE52" s="137">
        <f t="shared" si="44"/>
        <v>0</v>
      </c>
    </row>
    <row r="53" spans="1:83" ht="17.25" thickBot="1">
      <c r="A53" s="130" t="s">
        <v>16</v>
      </c>
      <c r="B53" s="95"/>
      <c r="C53" s="96"/>
      <c r="D53" s="96"/>
      <c r="E53" s="96"/>
      <c r="F53" s="96"/>
      <c r="G53" s="96"/>
      <c r="H53" s="97"/>
      <c r="I53" s="94">
        <v>10</v>
      </c>
      <c r="J53" s="131">
        <f t="shared" si="38"/>
        <v>1</v>
      </c>
      <c r="K53" s="101">
        <v>0</v>
      </c>
      <c r="L53" s="132">
        <f t="shared" si="39"/>
        <v>0.1</v>
      </c>
      <c r="M53" s="132">
        <f t="shared" si="40"/>
        <v>0</v>
      </c>
      <c r="N53" s="132">
        <f t="shared" si="3"/>
        <v>-0.1</v>
      </c>
      <c r="O53" s="133" t="str">
        <f t="shared" si="41"/>
        <v>지연</v>
      </c>
      <c r="P53" s="104"/>
      <c r="Q53" s="104"/>
      <c r="R53" s="104"/>
      <c r="S53" s="104"/>
      <c r="T53" s="94"/>
      <c r="U53" s="134" t="str">
        <f t="shared" si="37"/>
        <v/>
      </c>
      <c r="V53" s="253">
        <f>NETWORKDAYS(P53,Q53,진행현황_전체!C$59:C$77)</f>
        <v>0</v>
      </c>
      <c r="W53" s="135">
        <f t="shared" si="42"/>
        <v>0</v>
      </c>
      <c r="X53" s="136">
        <f t="shared" si="42"/>
        <v>0</v>
      </c>
      <c r="Y53" s="136">
        <f t="shared" si="42"/>
        <v>0</v>
      </c>
      <c r="Z53" s="136">
        <f t="shared" si="42"/>
        <v>0</v>
      </c>
      <c r="AA53" s="137">
        <f t="shared" si="42"/>
        <v>0</v>
      </c>
      <c r="AB53" s="138">
        <f t="shared" si="42"/>
        <v>0</v>
      </c>
      <c r="AC53" s="136">
        <f t="shared" si="42"/>
        <v>0</v>
      </c>
      <c r="AD53" s="136">
        <f t="shared" si="42"/>
        <v>0</v>
      </c>
      <c r="AE53" s="137">
        <f t="shared" si="42"/>
        <v>0</v>
      </c>
      <c r="AF53" s="135">
        <f t="shared" si="42"/>
        <v>0</v>
      </c>
      <c r="AG53" s="136">
        <f t="shared" si="42"/>
        <v>0</v>
      </c>
      <c r="AH53" s="136">
        <f t="shared" si="42"/>
        <v>0</v>
      </c>
      <c r="AI53" s="137">
        <f t="shared" si="42"/>
        <v>0</v>
      </c>
      <c r="AJ53" s="135">
        <f t="shared" si="42"/>
        <v>0</v>
      </c>
      <c r="AK53" s="138">
        <f t="shared" si="42"/>
        <v>0</v>
      </c>
      <c r="AL53" s="136">
        <f t="shared" si="42"/>
        <v>0</v>
      </c>
      <c r="AM53" s="136">
        <f t="shared" si="42"/>
        <v>0</v>
      </c>
      <c r="AN53" s="194">
        <f t="shared" si="42"/>
        <v>0</v>
      </c>
      <c r="AO53" s="138">
        <f t="shared" si="42"/>
        <v>0</v>
      </c>
      <c r="AP53" s="136">
        <f t="shared" si="42"/>
        <v>0</v>
      </c>
      <c r="AQ53" s="136">
        <f t="shared" si="42"/>
        <v>0</v>
      </c>
      <c r="AR53" s="137">
        <f t="shared" ref="AR53:AV53" si="46">IF(OR((AND($P53&lt;=AR$7,AND($Q53&lt;=AR$8, $Q53&gt;=AR$7))),(AND(AND($P53&gt;=AR$7, $P53&lt;=AR$8),$Q53&gt;=AR$8)), AND($P53&gt;=AR$7, $Q53&lt;=AR$8), AND($P53&lt;=AR$7,$Q53&gt;=AR$8)),1,0)</f>
        <v>0</v>
      </c>
      <c r="AS53" s="135">
        <f t="shared" si="46"/>
        <v>0</v>
      </c>
      <c r="AT53" s="136">
        <f t="shared" si="46"/>
        <v>0</v>
      </c>
      <c r="AU53" s="136">
        <f t="shared" si="46"/>
        <v>0</v>
      </c>
      <c r="AV53" s="137">
        <f t="shared" si="46"/>
        <v>0</v>
      </c>
      <c r="AW53" s="135">
        <f t="shared" si="45"/>
        <v>0</v>
      </c>
      <c r="AX53" s="136">
        <f t="shared" si="45"/>
        <v>0</v>
      </c>
      <c r="AY53" s="136">
        <f t="shared" si="45"/>
        <v>0</v>
      </c>
      <c r="AZ53" s="136">
        <f t="shared" si="45"/>
        <v>0</v>
      </c>
      <c r="BA53" s="137">
        <f t="shared" si="45"/>
        <v>0</v>
      </c>
      <c r="BB53" s="138">
        <f t="shared" si="45"/>
        <v>0</v>
      </c>
      <c r="BC53" s="136">
        <f t="shared" si="45"/>
        <v>0</v>
      </c>
      <c r="BD53" s="136">
        <f t="shared" si="45"/>
        <v>0</v>
      </c>
      <c r="BE53" s="137">
        <f t="shared" si="45"/>
        <v>0</v>
      </c>
      <c r="BF53" s="135">
        <f t="shared" si="45"/>
        <v>0</v>
      </c>
      <c r="BG53" s="136">
        <f t="shared" si="45"/>
        <v>0</v>
      </c>
      <c r="BH53" s="136">
        <f t="shared" si="45"/>
        <v>0</v>
      </c>
      <c r="BI53" s="137">
        <f t="shared" si="45"/>
        <v>0</v>
      </c>
      <c r="BJ53" s="138">
        <f t="shared" si="45"/>
        <v>0</v>
      </c>
      <c r="BK53" s="136">
        <f t="shared" si="45"/>
        <v>0</v>
      </c>
      <c r="BL53" s="136">
        <f t="shared" si="45"/>
        <v>0</v>
      </c>
      <c r="BM53" s="136">
        <f t="shared" si="45"/>
        <v>0</v>
      </c>
      <c r="BN53" s="137">
        <f t="shared" si="45"/>
        <v>0</v>
      </c>
      <c r="BO53" s="138">
        <f t="shared" si="45"/>
        <v>0</v>
      </c>
      <c r="BP53" s="136">
        <f t="shared" si="45"/>
        <v>0</v>
      </c>
      <c r="BQ53" s="136">
        <f t="shared" si="45"/>
        <v>0</v>
      </c>
      <c r="BR53" s="137">
        <f t="shared" si="44"/>
        <v>0</v>
      </c>
      <c r="BS53" s="138">
        <f t="shared" si="44"/>
        <v>0</v>
      </c>
      <c r="BT53" s="136">
        <f t="shared" si="44"/>
        <v>0</v>
      </c>
      <c r="BU53" s="136">
        <f t="shared" si="44"/>
        <v>0</v>
      </c>
      <c r="BV53" s="136">
        <f t="shared" si="44"/>
        <v>0</v>
      </c>
      <c r="BW53" s="137">
        <f t="shared" si="44"/>
        <v>0</v>
      </c>
      <c r="BX53" s="138">
        <f t="shared" si="44"/>
        <v>0</v>
      </c>
      <c r="BY53" s="136">
        <f t="shared" si="44"/>
        <v>0</v>
      </c>
      <c r="BZ53" s="136">
        <f t="shared" si="44"/>
        <v>0</v>
      </c>
      <c r="CA53" s="137">
        <f t="shared" si="44"/>
        <v>0</v>
      </c>
      <c r="CB53" s="135">
        <f t="shared" si="44"/>
        <v>0</v>
      </c>
      <c r="CC53" s="136">
        <f t="shared" si="44"/>
        <v>0</v>
      </c>
      <c r="CD53" s="136">
        <f t="shared" si="44"/>
        <v>0</v>
      </c>
      <c r="CE53" s="137">
        <f t="shared" si="44"/>
        <v>0</v>
      </c>
    </row>
    <row r="54" spans="1:83" ht="17.25" thickBot="1">
      <c r="A54" s="139" t="s">
        <v>78</v>
      </c>
      <c r="B54" s="114" t="str">
        <f>진행현황_템플릿!F15</f>
        <v>단계5</v>
      </c>
      <c r="C54" s="115"/>
      <c r="D54" s="115"/>
      <c r="E54" s="115"/>
      <c r="F54" s="115"/>
      <c r="G54" s="115"/>
      <c r="H54" s="116">
        <f>SUM(I55:I64)</f>
        <v>100</v>
      </c>
      <c r="I54" s="117">
        <f>진행현황_템플릿!F16</f>
        <v>15</v>
      </c>
      <c r="J54" s="118">
        <f>SUM(L55:L64)</f>
        <v>0.99999999999999989</v>
      </c>
      <c r="K54" s="119">
        <f>SUM(M55:M64)</f>
        <v>0</v>
      </c>
      <c r="L54" s="120">
        <f>SUM(L55:L64)*I54</f>
        <v>14.999999999999998</v>
      </c>
      <c r="M54" s="120">
        <f>SUM(M55:M64)*I54</f>
        <v>0</v>
      </c>
      <c r="N54" s="120">
        <f t="shared" si="3"/>
        <v>-14.999999999999998</v>
      </c>
      <c r="O54" s="121"/>
      <c r="P54" s="122">
        <f>MIN(P55:P64)</f>
        <v>0</v>
      </c>
      <c r="Q54" s="122">
        <f>MAX(Q55:Q64)</f>
        <v>0</v>
      </c>
      <c r="R54" s="122">
        <f>MIN(R55:R64)</f>
        <v>0</v>
      </c>
      <c r="S54" s="122">
        <f>MAX(S55:S64)</f>
        <v>0</v>
      </c>
      <c r="T54" s="113"/>
      <c r="U54" s="123" t="str">
        <f t="shared" si="37"/>
        <v/>
      </c>
      <c r="V54" s="124">
        <f>NETWORKDAYS(P54,Q54,진행현황_전체!C$59:C$77)</f>
        <v>0</v>
      </c>
      <c r="W54" s="125"/>
      <c r="X54" s="126"/>
      <c r="Y54" s="126"/>
      <c r="Z54" s="126"/>
      <c r="AA54" s="127"/>
      <c r="AB54" s="129"/>
      <c r="AC54" s="126"/>
      <c r="AD54" s="126"/>
      <c r="AE54" s="127"/>
      <c r="AF54" s="128"/>
      <c r="AG54" s="126"/>
      <c r="AH54" s="126"/>
      <c r="AI54" s="127"/>
      <c r="AJ54" s="128"/>
      <c r="AK54" s="129"/>
      <c r="AL54" s="126"/>
      <c r="AM54" s="126"/>
      <c r="AN54" s="193"/>
      <c r="AO54" s="129"/>
      <c r="AP54" s="126"/>
      <c r="AQ54" s="126"/>
      <c r="AR54" s="127"/>
      <c r="AS54" s="128"/>
      <c r="AT54" s="126"/>
      <c r="AU54" s="126"/>
      <c r="AV54" s="127"/>
      <c r="AW54" s="125"/>
      <c r="AX54" s="126"/>
      <c r="AY54" s="126"/>
      <c r="AZ54" s="126"/>
      <c r="BA54" s="127"/>
      <c r="BB54" s="129"/>
      <c r="BC54" s="126"/>
      <c r="BD54" s="126"/>
      <c r="BE54" s="127"/>
      <c r="BF54" s="128"/>
      <c r="BG54" s="126"/>
      <c r="BH54" s="126"/>
      <c r="BI54" s="127"/>
      <c r="BJ54" s="129"/>
      <c r="BK54" s="126"/>
      <c r="BL54" s="126"/>
      <c r="BM54" s="126"/>
      <c r="BN54" s="127"/>
      <c r="BO54" s="129"/>
      <c r="BP54" s="126"/>
      <c r="BQ54" s="126"/>
      <c r="BR54" s="127"/>
      <c r="BS54" s="129"/>
      <c r="BT54" s="126"/>
      <c r="BU54" s="126"/>
      <c r="BV54" s="126"/>
      <c r="BW54" s="127"/>
      <c r="BX54" s="129"/>
      <c r="BY54" s="126"/>
      <c r="BZ54" s="126"/>
      <c r="CA54" s="127"/>
      <c r="CB54" s="128"/>
      <c r="CC54" s="126"/>
      <c r="CD54" s="126"/>
      <c r="CE54" s="127"/>
    </row>
    <row r="55" spans="1:83">
      <c r="A55" s="130" t="s">
        <v>17</v>
      </c>
      <c r="B55" s="95"/>
      <c r="C55" s="96"/>
      <c r="D55" s="96"/>
      <c r="E55" s="96"/>
      <c r="F55" s="96"/>
      <c r="G55" s="96"/>
      <c r="H55" s="97"/>
      <c r="I55" s="94">
        <v>10</v>
      </c>
      <c r="J55" s="131">
        <f t="shared" ref="J55:J64" si="47">IF(CheckDay&gt;=Q55,1,IF(CheckDay&lt;P55, 0,DAYS360(P55,CheckDay+1)/Y55))</f>
        <v>1</v>
      </c>
      <c r="K55" s="101">
        <v>0</v>
      </c>
      <c r="L55" s="132">
        <f t="shared" ref="L55:L64" si="48">I55*J55/100</f>
        <v>0.1</v>
      </c>
      <c r="M55" s="132">
        <f t="shared" ref="M55:M64" si="49">I55*K55/100</f>
        <v>0</v>
      </c>
      <c r="N55" s="132">
        <f t="shared" si="3"/>
        <v>-0.1</v>
      </c>
      <c r="O55" s="133" t="str">
        <f t="shared" ref="O55:O64" si="50">IF(AND(K55=0%,N55=0),"",IF(N55&lt;0,"지연",IF(K55=100%,"종료","진행")))</f>
        <v>지연</v>
      </c>
      <c r="P55" s="104"/>
      <c r="Q55" s="104"/>
      <c r="R55" s="104"/>
      <c r="S55" s="104"/>
      <c r="T55" s="94"/>
      <c r="U55" s="134" t="str">
        <f t="shared" si="37"/>
        <v/>
      </c>
      <c r="V55" s="253">
        <f>NETWORKDAYS(P55,Q55,진행현황_전체!C$59:C$77)</f>
        <v>0</v>
      </c>
      <c r="W55" s="135">
        <f t="shared" ref="W55:AQ64" si="51">IF(OR((AND($P55&lt;=W$7,AND($Q55&lt;=W$8, $Q55&gt;=W$7))),(AND(AND($P55&gt;=W$7, $P55&lt;=W$8),$Q55&gt;=W$8)), AND($P55&gt;=W$7, $Q55&lt;=W$8), AND($P55&lt;=W$7,$Q55&gt;=W$8)),1,0)</f>
        <v>0</v>
      </c>
      <c r="X55" s="136">
        <f t="shared" si="51"/>
        <v>0</v>
      </c>
      <c r="Y55" s="136">
        <f t="shared" si="51"/>
        <v>0</v>
      </c>
      <c r="Z55" s="136">
        <f t="shared" si="51"/>
        <v>0</v>
      </c>
      <c r="AA55" s="137">
        <f t="shared" si="51"/>
        <v>0</v>
      </c>
      <c r="AB55" s="138">
        <f t="shared" si="51"/>
        <v>0</v>
      </c>
      <c r="AC55" s="136">
        <f t="shared" si="51"/>
        <v>0</v>
      </c>
      <c r="AD55" s="136">
        <f t="shared" si="51"/>
        <v>0</v>
      </c>
      <c r="AE55" s="137">
        <f t="shared" si="51"/>
        <v>0</v>
      </c>
      <c r="AF55" s="135">
        <f t="shared" si="51"/>
        <v>0</v>
      </c>
      <c r="AG55" s="136">
        <f t="shared" si="51"/>
        <v>0</v>
      </c>
      <c r="AH55" s="136">
        <f t="shared" si="51"/>
        <v>0</v>
      </c>
      <c r="AI55" s="137">
        <f t="shared" si="51"/>
        <v>0</v>
      </c>
      <c r="AJ55" s="135">
        <f t="shared" si="51"/>
        <v>0</v>
      </c>
      <c r="AK55" s="138">
        <f t="shared" si="51"/>
        <v>0</v>
      </c>
      <c r="AL55" s="136">
        <f t="shared" si="51"/>
        <v>0</v>
      </c>
      <c r="AM55" s="136">
        <f t="shared" si="51"/>
        <v>0</v>
      </c>
      <c r="AN55" s="194">
        <f t="shared" si="51"/>
        <v>0</v>
      </c>
      <c r="AO55" s="138">
        <f t="shared" si="51"/>
        <v>0</v>
      </c>
      <c r="AP55" s="136">
        <f t="shared" si="51"/>
        <v>0</v>
      </c>
      <c r="AQ55" s="136">
        <f t="shared" si="51"/>
        <v>0</v>
      </c>
      <c r="AR55" s="137">
        <f t="shared" ref="AR55:BG64" si="52">IF(OR((AND($P55&lt;=AR$7,AND($Q55&lt;=AR$8, $Q55&gt;=AR$7))),(AND(AND($P55&gt;=AR$7, $P55&lt;=AR$8),$Q55&gt;=AR$8)), AND($P55&gt;=AR$7, $Q55&lt;=AR$8), AND($P55&lt;=AR$7,$Q55&gt;=AR$8)),1,0)</f>
        <v>0</v>
      </c>
      <c r="AS55" s="135">
        <f t="shared" si="52"/>
        <v>0</v>
      </c>
      <c r="AT55" s="136">
        <f t="shared" si="52"/>
        <v>0</v>
      </c>
      <c r="AU55" s="136">
        <f t="shared" si="52"/>
        <v>0</v>
      </c>
      <c r="AV55" s="137">
        <f t="shared" si="52"/>
        <v>0</v>
      </c>
      <c r="AW55" s="135">
        <f t="shared" si="52"/>
        <v>0</v>
      </c>
      <c r="AX55" s="136">
        <f t="shared" si="52"/>
        <v>0</v>
      </c>
      <c r="AY55" s="136">
        <f t="shared" si="52"/>
        <v>0</v>
      </c>
      <c r="AZ55" s="136">
        <f t="shared" si="52"/>
        <v>0</v>
      </c>
      <c r="BA55" s="137">
        <f t="shared" si="52"/>
        <v>0</v>
      </c>
      <c r="BB55" s="138">
        <f t="shared" si="52"/>
        <v>0</v>
      </c>
      <c r="BC55" s="136">
        <f t="shared" si="52"/>
        <v>0</v>
      </c>
      <c r="BD55" s="136">
        <f t="shared" si="52"/>
        <v>0</v>
      </c>
      <c r="BE55" s="137">
        <f t="shared" si="52"/>
        <v>0</v>
      </c>
      <c r="BF55" s="135">
        <f t="shared" si="52"/>
        <v>0</v>
      </c>
      <c r="BG55" s="136">
        <f t="shared" si="52"/>
        <v>0</v>
      </c>
      <c r="BH55" s="136">
        <f t="shared" ref="BH55:CE64" si="53">IF(OR((AND($P55&lt;=BH$7,AND($Q55&lt;=BH$8, $Q55&gt;=BH$7))),(AND(AND($P55&gt;=BH$7, $P55&lt;=BH$8),$Q55&gt;=BH$8)), AND($P55&gt;=BH$7, $Q55&lt;=BH$8), AND($P55&lt;=BH$7,$Q55&gt;=BH$8)),1,0)</f>
        <v>0</v>
      </c>
      <c r="BI55" s="137">
        <f t="shared" si="53"/>
        <v>0</v>
      </c>
      <c r="BJ55" s="138">
        <f t="shared" si="53"/>
        <v>0</v>
      </c>
      <c r="BK55" s="136">
        <f t="shared" si="53"/>
        <v>0</v>
      </c>
      <c r="BL55" s="136">
        <f t="shared" si="53"/>
        <v>0</v>
      </c>
      <c r="BM55" s="136">
        <f t="shared" si="53"/>
        <v>0</v>
      </c>
      <c r="BN55" s="137">
        <f t="shared" si="53"/>
        <v>0</v>
      </c>
      <c r="BO55" s="138">
        <f t="shared" si="53"/>
        <v>0</v>
      </c>
      <c r="BP55" s="136">
        <f t="shared" si="53"/>
        <v>0</v>
      </c>
      <c r="BQ55" s="136">
        <f t="shared" si="53"/>
        <v>0</v>
      </c>
      <c r="BR55" s="137">
        <f t="shared" si="53"/>
        <v>0</v>
      </c>
      <c r="BS55" s="138">
        <f t="shared" si="53"/>
        <v>0</v>
      </c>
      <c r="BT55" s="136">
        <f t="shared" si="53"/>
        <v>0</v>
      </c>
      <c r="BU55" s="136">
        <f t="shared" si="53"/>
        <v>0</v>
      </c>
      <c r="BV55" s="136">
        <f t="shared" si="53"/>
        <v>0</v>
      </c>
      <c r="BW55" s="137">
        <f t="shared" si="53"/>
        <v>0</v>
      </c>
      <c r="BX55" s="138">
        <f t="shared" si="53"/>
        <v>0</v>
      </c>
      <c r="BY55" s="136">
        <f t="shared" si="53"/>
        <v>0</v>
      </c>
      <c r="BZ55" s="136">
        <f t="shared" si="53"/>
        <v>0</v>
      </c>
      <c r="CA55" s="137">
        <f t="shared" si="53"/>
        <v>0</v>
      </c>
      <c r="CB55" s="135">
        <f t="shared" si="53"/>
        <v>0</v>
      </c>
      <c r="CC55" s="136">
        <f t="shared" si="53"/>
        <v>0</v>
      </c>
      <c r="CD55" s="136">
        <f t="shared" si="53"/>
        <v>0</v>
      </c>
      <c r="CE55" s="137">
        <f t="shared" si="53"/>
        <v>0</v>
      </c>
    </row>
    <row r="56" spans="1:83">
      <c r="A56" s="130" t="s">
        <v>18</v>
      </c>
      <c r="B56" s="95"/>
      <c r="C56" s="96"/>
      <c r="D56" s="96"/>
      <c r="E56" s="96"/>
      <c r="F56" s="96"/>
      <c r="G56" s="96"/>
      <c r="H56" s="97"/>
      <c r="I56" s="94">
        <v>10</v>
      </c>
      <c r="J56" s="131">
        <f t="shared" si="47"/>
        <v>1</v>
      </c>
      <c r="K56" s="101">
        <v>0</v>
      </c>
      <c r="L56" s="132">
        <f t="shared" si="48"/>
        <v>0.1</v>
      </c>
      <c r="M56" s="132">
        <f t="shared" si="49"/>
        <v>0</v>
      </c>
      <c r="N56" s="132">
        <f t="shared" si="3"/>
        <v>-0.1</v>
      </c>
      <c r="O56" s="133" t="str">
        <f t="shared" si="50"/>
        <v>지연</v>
      </c>
      <c r="P56" s="104"/>
      <c r="Q56" s="104"/>
      <c r="R56" s="104"/>
      <c r="S56" s="104"/>
      <c r="T56" s="94"/>
      <c r="U56" s="134" t="str">
        <f t="shared" si="37"/>
        <v/>
      </c>
      <c r="V56" s="253">
        <f>NETWORKDAYS(P56,Q56,진행현황_전체!C$59:C$77)</f>
        <v>0</v>
      </c>
      <c r="W56" s="135">
        <f t="shared" si="51"/>
        <v>0</v>
      </c>
      <c r="X56" s="136">
        <f t="shared" si="51"/>
        <v>0</v>
      </c>
      <c r="Y56" s="136">
        <f t="shared" si="51"/>
        <v>0</v>
      </c>
      <c r="Z56" s="136">
        <f t="shared" si="51"/>
        <v>0</v>
      </c>
      <c r="AA56" s="137">
        <f t="shared" si="51"/>
        <v>0</v>
      </c>
      <c r="AB56" s="138">
        <f t="shared" si="51"/>
        <v>0</v>
      </c>
      <c r="AC56" s="136">
        <f t="shared" si="51"/>
        <v>0</v>
      </c>
      <c r="AD56" s="136">
        <f t="shared" si="51"/>
        <v>0</v>
      </c>
      <c r="AE56" s="137">
        <f t="shared" si="51"/>
        <v>0</v>
      </c>
      <c r="AF56" s="135">
        <f t="shared" si="51"/>
        <v>0</v>
      </c>
      <c r="AG56" s="136">
        <f t="shared" si="51"/>
        <v>0</v>
      </c>
      <c r="AH56" s="136">
        <f t="shared" si="51"/>
        <v>0</v>
      </c>
      <c r="AI56" s="137">
        <f t="shared" si="51"/>
        <v>0</v>
      </c>
      <c r="AJ56" s="135">
        <f t="shared" si="51"/>
        <v>0</v>
      </c>
      <c r="AK56" s="138">
        <f t="shared" si="51"/>
        <v>0</v>
      </c>
      <c r="AL56" s="136">
        <f t="shared" si="51"/>
        <v>0</v>
      </c>
      <c r="AM56" s="136">
        <f t="shared" si="51"/>
        <v>0</v>
      </c>
      <c r="AN56" s="194">
        <f t="shared" si="51"/>
        <v>0</v>
      </c>
      <c r="AO56" s="138">
        <f t="shared" si="51"/>
        <v>0</v>
      </c>
      <c r="AP56" s="136">
        <f t="shared" si="51"/>
        <v>0</v>
      </c>
      <c r="AQ56" s="136">
        <f t="shared" si="51"/>
        <v>0</v>
      </c>
      <c r="AR56" s="137">
        <f t="shared" si="52"/>
        <v>0</v>
      </c>
      <c r="AS56" s="135">
        <f t="shared" si="52"/>
        <v>0</v>
      </c>
      <c r="AT56" s="136">
        <f t="shared" si="52"/>
        <v>0</v>
      </c>
      <c r="AU56" s="136">
        <f t="shared" si="52"/>
        <v>0</v>
      </c>
      <c r="AV56" s="137">
        <f t="shared" si="52"/>
        <v>0</v>
      </c>
      <c r="AW56" s="135">
        <f t="shared" si="52"/>
        <v>0</v>
      </c>
      <c r="AX56" s="136">
        <f t="shared" si="52"/>
        <v>0</v>
      </c>
      <c r="AY56" s="136">
        <f t="shared" si="52"/>
        <v>0</v>
      </c>
      <c r="AZ56" s="136">
        <f t="shared" si="52"/>
        <v>0</v>
      </c>
      <c r="BA56" s="137">
        <f t="shared" si="52"/>
        <v>0</v>
      </c>
      <c r="BB56" s="138">
        <f t="shared" si="52"/>
        <v>0</v>
      </c>
      <c r="BC56" s="136">
        <f t="shared" si="52"/>
        <v>0</v>
      </c>
      <c r="BD56" s="136">
        <f t="shared" si="52"/>
        <v>0</v>
      </c>
      <c r="BE56" s="137">
        <f t="shared" si="52"/>
        <v>0</v>
      </c>
      <c r="BF56" s="135">
        <f t="shared" si="52"/>
        <v>0</v>
      </c>
      <c r="BG56" s="136">
        <f t="shared" si="52"/>
        <v>0</v>
      </c>
      <c r="BH56" s="136">
        <f t="shared" si="53"/>
        <v>0</v>
      </c>
      <c r="BI56" s="137">
        <f t="shared" si="53"/>
        <v>0</v>
      </c>
      <c r="BJ56" s="138">
        <f t="shared" si="53"/>
        <v>0</v>
      </c>
      <c r="BK56" s="136">
        <f t="shared" si="53"/>
        <v>0</v>
      </c>
      <c r="BL56" s="136">
        <f t="shared" si="53"/>
        <v>0</v>
      </c>
      <c r="BM56" s="136">
        <f t="shared" si="53"/>
        <v>0</v>
      </c>
      <c r="BN56" s="137">
        <f t="shared" si="53"/>
        <v>0</v>
      </c>
      <c r="BO56" s="138">
        <f t="shared" si="53"/>
        <v>0</v>
      </c>
      <c r="BP56" s="136">
        <f t="shared" si="53"/>
        <v>0</v>
      </c>
      <c r="BQ56" s="136">
        <f t="shared" si="53"/>
        <v>0</v>
      </c>
      <c r="BR56" s="137">
        <f t="shared" si="53"/>
        <v>0</v>
      </c>
      <c r="BS56" s="138">
        <f t="shared" si="53"/>
        <v>0</v>
      </c>
      <c r="BT56" s="136">
        <f t="shared" si="53"/>
        <v>0</v>
      </c>
      <c r="BU56" s="136">
        <f t="shared" si="53"/>
        <v>0</v>
      </c>
      <c r="BV56" s="136">
        <f t="shared" si="53"/>
        <v>0</v>
      </c>
      <c r="BW56" s="137">
        <f t="shared" si="53"/>
        <v>0</v>
      </c>
      <c r="BX56" s="138">
        <f t="shared" si="53"/>
        <v>0</v>
      </c>
      <c r="BY56" s="136">
        <f t="shared" si="53"/>
        <v>0</v>
      </c>
      <c r="BZ56" s="136">
        <f t="shared" si="53"/>
        <v>0</v>
      </c>
      <c r="CA56" s="137">
        <f t="shared" si="53"/>
        <v>0</v>
      </c>
      <c r="CB56" s="135">
        <f t="shared" si="53"/>
        <v>0</v>
      </c>
      <c r="CC56" s="136">
        <f t="shared" si="53"/>
        <v>0</v>
      </c>
      <c r="CD56" s="136">
        <f t="shared" si="53"/>
        <v>0</v>
      </c>
      <c r="CE56" s="137">
        <f t="shared" si="53"/>
        <v>0</v>
      </c>
    </row>
    <row r="57" spans="1:83">
      <c r="A57" s="130" t="s">
        <v>19</v>
      </c>
      <c r="B57" s="95"/>
      <c r="C57" s="96"/>
      <c r="D57" s="96"/>
      <c r="E57" s="96"/>
      <c r="F57" s="96"/>
      <c r="G57" s="96"/>
      <c r="H57" s="97"/>
      <c r="I57" s="94">
        <v>10</v>
      </c>
      <c r="J57" s="131">
        <f t="shared" si="47"/>
        <v>1</v>
      </c>
      <c r="K57" s="101">
        <v>0</v>
      </c>
      <c r="L57" s="132">
        <f t="shared" si="48"/>
        <v>0.1</v>
      </c>
      <c r="M57" s="132">
        <f t="shared" si="49"/>
        <v>0</v>
      </c>
      <c r="N57" s="132">
        <f t="shared" si="3"/>
        <v>-0.1</v>
      </c>
      <c r="O57" s="133" t="str">
        <f t="shared" si="50"/>
        <v>지연</v>
      </c>
      <c r="P57" s="104"/>
      <c r="Q57" s="104"/>
      <c r="R57" s="104"/>
      <c r="S57" s="104"/>
      <c r="T57" s="94"/>
      <c r="U57" s="134" t="str">
        <f t="shared" si="37"/>
        <v/>
      </c>
      <c r="V57" s="253">
        <f>NETWORKDAYS(P57,Q57,진행현황_전체!C$59:C$77)</f>
        <v>0</v>
      </c>
      <c r="W57" s="135">
        <f t="shared" si="51"/>
        <v>0</v>
      </c>
      <c r="X57" s="136">
        <f t="shared" si="51"/>
        <v>0</v>
      </c>
      <c r="Y57" s="136">
        <f t="shared" si="51"/>
        <v>0</v>
      </c>
      <c r="Z57" s="136">
        <f t="shared" si="51"/>
        <v>0</v>
      </c>
      <c r="AA57" s="137">
        <f t="shared" si="51"/>
        <v>0</v>
      </c>
      <c r="AB57" s="138">
        <f t="shared" si="51"/>
        <v>0</v>
      </c>
      <c r="AC57" s="136">
        <f t="shared" si="51"/>
        <v>0</v>
      </c>
      <c r="AD57" s="136">
        <f t="shared" si="51"/>
        <v>0</v>
      </c>
      <c r="AE57" s="137">
        <f t="shared" si="51"/>
        <v>0</v>
      </c>
      <c r="AF57" s="135">
        <f t="shared" si="51"/>
        <v>0</v>
      </c>
      <c r="AG57" s="136">
        <f t="shared" si="51"/>
        <v>0</v>
      </c>
      <c r="AH57" s="136">
        <f t="shared" si="51"/>
        <v>0</v>
      </c>
      <c r="AI57" s="137">
        <f t="shared" si="51"/>
        <v>0</v>
      </c>
      <c r="AJ57" s="135">
        <f t="shared" si="51"/>
        <v>0</v>
      </c>
      <c r="AK57" s="138">
        <f t="shared" si="51"/>
        <v>0</v>
      </c>
      <c r="AL57" s="136">
        <f t="shared" si="51"/>
        <v>0</v>
      </c>
      <c r="AM57" s="136">
        <f t="shared" si="51"/>
        <v>0</v>
      </c>
      <c r="AN57" s="194">
        <f t="shared" si="51"/>
        <v>0</v>
      </c>
      <c r="AO57" s="138">
        <f t="shared" si="51"/>
        <v>0</v>
      </c>
      <c r="AP57" s="136">
        <f t="shared" si="51"/>
        <v>0</v>
      </c>
      <c r="AQ57" s="136">
        <f t="shared" si="51"/>
        <v>0</v>
      </c>
      <c r="AR57" s="137">
        <f t="shared" si="52"/>
        <v>0</v>
      </c>
      <c r="AS57" s="135">
        <f t="shared" si="52"/>
        <v>0</v>
      </c>
      <c r="AT57" s="136">
        <f t="shared" si="52"/>
        <v>0</v>
      </c>
      <c r="AU57" s="136">
        <f t="shared" si="52"/>
        <v>0</v>
      </c>
      <c r="AV57" s="137">
        <f t="shared" si="52"/>
        <v>0</v>
      </c>
      <c r="AW57" s="135">
        <f t="shared" si="52"/>
        <v>0</v>
      </c>
      <c r="AX57" s="136">
        <f t="shared" si="52"/>
        <v>0</v>
      </c>
      <c r="AY57" s="136">
        <f t="shared" si="52"/>
        <v>0</v>
      </c>
      <c r="AZ57" s="136">
        <f t="shared" si="52"/>
        <v>0</v>
      </c>
      <c r="BA57" s="137">
        <f t="shared" si="52"/>
        <v>0</v>
      </c>
      <c r="BB57" s="138">
        <f t="shared" si="52"/>
        <v>0</v>
      </c>
      <c r="BC57" s="136">
        <f t="shared" si="52"/>
        <v>0</v>
      </c>
      <c r="BD57" s="136">
        <f t="shared" si="52"/>
        <v>0</v>
      </c>
      <c r="BE57" s="137">
        <f t="shared" si="52"/>
        <v>0</v>
      </c>
      <c r="BF57" s="135">
        <f t="shared" si="52"/>
        <v>0</v>
      </c>
      <c r="BG57" s="136">
        <f t="shared" si="52"/>
        <v>0</v>
      </c>
      <c r="BH57" s="136">
        <f t="shared" si="53"/>
        <v>0</v>
      </c>
      <c r="BI57" s="137">
        <f t="shared" si="53"/>
        <v>0</v>
      </c>
      <c r="BJ57" s="138">
        <f t="shared" si="53"/>
        <v>0</v>
      </c>
      <c r="BK57" s="136">
        <f t="shared" si="53"/>
        <v>0</v>
      </c>
      <c r="BL57" s="136">
        <f t="shared" si="53"/>
        <v>0</v>
      </c>
      <c r="BM57" s="136">
        <f t="shared" si="53"/>
        <v>0</v>
      </c>
      <c r="BN57" s="137">
        <f t="shared" si="53"/>
        <v>0</v>
      </c>
      <c r="BO57" s="138">
        <f t="shared" si="53"/>
        <v>0</v>
      </c>
      <c r="BP57" s="136">
        <f t="shared" si="53"/>
        <v>0</v>
      </c>
      <c r="BQ57" s="136">
        <f t="shared" si="53"/>
        <v>0</v>
      </c>
      <c r="BR57" s="137">
        <f t="shared" si="53"/>
        <v>0</v>
      </c>
      <c r="BS57" s="138">
        <f t="shared" si="53"/>
        <v>0</v>
      </c>
      <c r="BT57" s="136">
        <f t="shared" si="53"/>
        <v>0</v>
      </c>
      <c r="BU57" s="136">
        <f t="shared" si="53"/>
        <v>0</v>
      </c>
      <c r="BV57" s="136">
        <f t="shared" si="53"/>
        <v>0</v>
      </c>
      <c r="BW57" s="137">
        <f t="shared" si="53"/>
        <v>0</v>
      </c>
      <c r="BX57" s="138">
        <f t="shared" si="53"/>
        <v>0</v>
      </c>
      <c r="BY57" s="136">
        <f t="shared" si="53"/>
        <v>0</v>
      </c>
      <c r="BZ57" s="136">
        <f t="shared" si="53"/>
        <v>0</v>
      </c>
      <c r="CA57" s="137">
        <f t="shared" si="53"/>
        <v>0</v>
      </c>
      <c r="CB57" s="135">
        <f t="shared" si="53"/>
        <v>0</v>
      </c>
      <c r="CC57" s="136">
        <f t="shared" si="53"/>
        <v>0</v>
      </c>
      <c r="CD57" s="136">
        <f t="shared" si="53"/>
        <v>0</v>
      </c>
      <c r="CE57" s="137">
        <f t="shared" si="53"/>
        <v>0</v>
      </c>
    </row>
    <row r="58" spans="1:83">
      <c r="A58" s="130" t="s">
        <v>20</v>
      </c>
      <c r="B58" s="95"/>
      <c r="C58" s="96"/>
      <c r="D58" s="96"/>
      <c r="E58" s="96"/>
      <c r="F58" s="96"/>
      <c r="G58" s="96"/>
      <c r="H58" s="97"/>
      <c r="I58" s="94">
        <v>10</v>
      </c>
      <c r="J58" s="131">
        <f t="shared" si="47"/>
        <v>1</v>
      </c>
      <c r="K58" s="101">
        <v>0</v>
      </c>
      <c r="L58" s="132">
        <f t="shared" si="48"/>
        <v>0.1</v>
      </c>
      <c r="M58" s="132">
        <f t="shared" si="49"/>
        <v>0</v>
      </c>
      <c r="N58" s="132">
        <f t="shared" si="3"/>
        <v>-0.1</v>
      </c>
      <c r="O58" s="133" t="str">
        <f t="shared" si="50"/>
        <v>지연</v>
      </c>
      <c r="P58" s="104"/>
      <c r="Q58" s="104"/>
      <c r="R58" s="104"/>
      <c r="S58" s="104"/>
      <c r="T58" s="94"/>
      <c r="U58" s="134" t="str">
        <f t="shared" si="37"/>
        <v/>
      </c>
      <c r="V58" s="253">
        <f>NETWORKDAYS(P58,Q58,진행현황_전체!C$59:C$77)</f>
        <v>0</v>
      </c>
      <c r="W58" s="135">
        <f t="shared" si="51"/>
        <v>0</v>
      </c>
      <c r="X58" s="136">
        <f t="shared" si="51"/>
        <v>0</v>
      </c>
      <c r="Y58" s="136">
        <f t="shared" si="51"/>
        <v>0</v>
      </c>
      <c r="Z58" s="136">
        <f t="shared" si="51"/>
        <v>0</v>
      </c>
      <c r="AA58" s="137">
        <f t="shared" si="51"/>
        <v>0</v>
      </c>
      <c r="AB58" s="138">
        <f t="shared" si="51"/>
        <v>0</v>
      </c>
      <c r="AC58" s="136">
        <f t="shared" si="51"/>
        <v>0</v>
      </c>
      <c r="AD58" s="136">
        <f t="shared" si="51"/>
        <v>0</v>
      </c>
      <c r="AE58" s="137">
        <f t="shared" si="51"/>
        <v>0</v>
      </c>
      <c r="AF58" s="135">
        <f t="shared" si="51"/>
        <v>0</v>
      </c>
      <c r="AG58" s="136">
        <f t="shared" si="51"/>
        <v>0</v>
      </c>
      <c r="AH58" s="136">
        <f t="shared" si="51"/>
        <v>0</v>
      </c>
      <c r="AI58" s="137">
        <f t="shared" si="51"/>
        <v>0</v>
      </c>
      <c r="AJ58" s="135">
        <f t="shared" si="51"/>
        <v>0</v>
      </c>
      <c r="AK58" s="138">
        <f t="shared" si="51"/>
        <v>0</v>
      </c>
      <c r="AL58" s="136">
        <f t="shared" si="51"/>
        <v>0</v>
      </c>
      <c r="AM58" s="136">
        <f t="shared" si="51"/>
        <v>0</v>
      </c>
      <c r="AN58" s="194">
        <f t="shared" si="51"/>
        <v>0</v>
      </c>
      <c r="AO58" s="138">
        <f t="shared" si="51"/>
        <v>0</v>
      </c>
      <c r="AP58" s="136">
        <f t="shared" si="51"/>
        <v>0</v>
      </c>
      <c r="AQ58" s="136">
        <f t="shared" si="51"/>
        <v>0</v>
      </c>
      <c r="AR58" s="137">
        <f t="shared" si="52"/>
        <v>0</v>
      </c>
      <c r="AS58" s="135">
        <f t="shared" si="52"/>
        <v>0</v>
      </c>
      <c r="AT58" s="136">
        <f t="shared" si="52"/>
        <v>0</v>
      </c>
      <c r="AU58" s="136">
        <f t="shared" si="52"/>
        <v>0</v>
      </c>
      <c r="AV58" s="137">
        <f t="shared" si="52"/>
        <v>0</v>
      </c>
      <c r="AW58" s="135">
        <f t="shared" si="52"/>
        <v>0</v>
      </c>
      <c r="AX58" s="136">
        <f t="shared" si="52"/>
        <v>0</v>
      </c>
      <c r="AY58" s="136">
        <f t="shared" si="52"/>
        <v>0</v>
      </c>
      <c r="AZ58" s="136">
        <f t="shared" si="52"/>
        <v>0</v>
      </c>
      <c r="BA58" s="137">
        <f t="shared" si="52"/>
        <v>0</v>
      </c>
      <c r="BB58" s="138">
        <f t="shared" si="52"/>
        <v>0</v>
      </c>
      <c r="BC58" s="136">
        <f t="shared" si="52"/>
        <v>0</v>
      </c>
      <c r="BD58" s="136">
        <f t="shared" si="52"/>
        <v>0</v>
      </c>
      <c r="BE58" s="137">
        <f t="shared" si="52"/>
        <v>0</v>
      </c>
      <c r="BF58" s="135">
        <f t="shared" si="52"/>
        <v>0</v>
      </c>
      <c r="BG58" s="136">
        <f t="shared" si="52"/>
        <v>0</v>
      </c>
      <c r="BH58" s="136">
        <f t="shared" si="53"/>
        <v>0</v>
      </c>
      <c r="BI58" s="137">
        <f t="shared" si="53"/>
        <v>0</v>
      </c>
      <c r="BJ58" s="138">
        <f t="shared" si="53"/>
        <v>0</v>
      </c>
      <c r="BK58" s="136">
        <f t="shared" si="53"/>
        <v>0</v>
      </c>
      <c r="BL58" s="136">
        <f t="shared" si="53"/>
        <v>0</v>
      </c>
      <c r="BM58" s="136">
        <f t="shared" si="53"/>
        <v>0</v>
      </c>
      <c r="BN58" s="137">
        <f t="shared" si="53"/>
        <v>0</v>
      </c>
      <c r="BO58" s="138">
        <f t="shared" si="53"/>
        <v>0</v>
      </c>
      <c r="BP58" s="136">
        <f t="shared" si="53"/>
        <v>0</v>
      </c>
      <c r="BQ58" s="136">
        <f t="shared" si="53"/>
        <v>0</v>
      </c>
      <c r="BR58" s="137">
        <f t="shared" si="53"/>
        <v>0</v>
      </c>
      <c r="BS58" s="138">
        <f t="shared" si="53"/>
        <v>0</v>
      </c>
      <c r="BT58" s="136">
        <f t="shared" si="53"/>
        <v>0</v>
      </c>
      <c r="BU58" s="136">
        <f t="shared" si="53"/>
        <v>0</v>
      </c>
      <c r="BV58" s="136">
        <f t="shared" si="53"/>
        <v>0</v>
      </c>
      <c r="BW58" s="137">
        <f t="shared" si="53"/>
        <v>0</v>
      </c>
      <c r="BX58" s="138">
        <f t="shared" si="53"/>
        <v>0</v>
      </c>
      <c r="BY58" s="136">
        <f t="shared" si="53"/>
        <v>0</v>
      </c>
      <c r="BZ58" s="136">
        <f t="shared" si="53"/>
        <v>0</v>
      </c>
      <c r="CA58" s="137">
        <f t="shared" si="53"/>
        <v>0</v>
      </c>
      <c r="CB58" s="135">
        <f t="shared" si="53"/>
        <v>0</v>
      </c>
      <c r="CC58" s="136">
        <f t="shared" si="53"/>
        <v>0</v>
      </c>
      <c r="CD58" s="136">
        <f t="shared" si="53"/>
        <v>0</v>
      </c>
      <c r="CE58" s="137">
        <f t="shared" si="53"/>
        <v>0</v>
      </c>
    </row>
    <row r="59" spans="1:83">
      <c r="A59" s="130" t="s">
        <v>21</v>
      </c>
      <c r="B59" s="95"/>
      <c r="C59" s="96"/>
      <c r="D59" s="96"/>
      <c r="E59" s="96"/>
      <c r="F59" s="96"/>
      <c r="G59" s="96"/>
      <c r="H59" s="97"/>
      <c r="I59" s="94">
        <v>10</v>
      </c>
      <c r="J59" s="131">
        <f t="shared" si="47"/>
        <v>1</v>
      </c>
      <c r="K59" s="101">
        <v>0</v>
      </c>
      <c r="L59" s="132">
        <f t="shared" si="48"/>
        <v>0.1</v>
      </c>
      <c r="M59" s="132">
        <f t="shared" si="49"/>
        <v>0</v>
      </c>
      <c r="N59" s="132">
        <f t="shared" si="3"/>
        <v>-0.1</v>
      </c>
      <c r="O59" s="133" t="str">
        <f t="shared" si="50"/>
        <v>지연</v>
      </c>
      <c r="P59" s="104"/>
      <c r="Q59" s="104"/>
      <c r="R59" s="104"/>
      <c r="S59" s="104"/>
      <c r="T59" s="94"/>
      <c r="U59" s="134" t="str">
        <f t="shared" si="37"/>
        <v/>
      </c>
      <c r="V59" s="253">
        <f>NETWORKDAYS(P59,Q59,진행현황_전체!C$59:C$77)</f>
        <v>0</v>
      </c>
      <c r="W59" s="135">
        <f t="shared" si="51"/>
        <v>0</v>
      </c>
      <c r="X59" s="136">
        <f t="shared" si="51"/>
        <v>0</v>
      </c>
      <c r="Y59" s="136">
        <f t="shared" si="51"/>
        <v>0</v>
      </c>
      <c r="Z59" s="136">
        <f t="shared" si="51"/>
        <v>0</v>
      </c>
      <c r="AA59" s="137">
        <f t="shared" si="51"/>
        <v>0</v>
      </c>
      <c r="AB59" s="138">
        <f t="shared" si="51"/>
        <v>0</v>
      </c>
      <c r="AC59" s="136">
        <f t="shared" si="51"/>
        <v>0</v>
      </c>
      <c r="AD59" s="136">
        <f t="shared" si="51"/>
        <v>0</v>
      </c>
      <c r="AE59" s="137">
        <f t="shared" si="51"/>
        <v>0</v>
      </c>
      <c r="AF59" s="135">
        <f t="shared" si="51"/>
        <v>0</v>
      </c>
      <c r="AG59" s="136">
        <f t="shared" si="51"/>
        <v>0</v>
      </c>
      <c r="AH59" s="136">
        <f t="shared" si="51"/>
        <v>0</v>
      </c>
      <c r="AI59" s="137">
        <f t="shared" si="51"/>
        <v>0</v>
      </c>
      <c r="AJ59" s="135">
        <f t="shared" si="51"/>
        <v>0</v>
      </c>
      <c r="AK59" s="138">
        <f t="shared" si="51"/>
        <v>0</v>
      </c>
      <c r="AL59" s="136">
        <f t="shared" si="51"/>
        <v>0</v>
      </c>
      <c r="AM59" s="136">
        <f t="shared" si="51"/>
        <v>0</v>
      </c>
      <c r="AN59" s="194">
        <f t="shared" si="51"/>
        <v>0</v>
      </c>
      <c r="AO59" s="138">
        <f t="shared" si="51"/>
        <v>0</v>
      </c>
      <c r="AP59" s="136">
        <f t="shared" si="51"/>
        <v>0</v>
      </c>
      <c r="AQ59" s="136">
        <f t="shared" si="51"/>
        <v>0</v>
      </c>
      <c r="AR59" s="137">
        <f t="shared" si="52"/>
        <v>0</v>
      </c>
      <c r="AS59" s="135">
        <f t="shared" si="52"/>
        <v>0</v>
      </c>
      <c r="AT59" s="136">
        <f t="shared" si="52"/>
        <v>0</v>
      </c>
      <c r="AU59" s="136">
        <f t="shared" si="52"/>
        <v>0</v>
      </c>
      <c r="AV59" s="137">
        <f t="shared" si="52"/>
        <v>0</v>
      </c>
      <c r="AW59" s="135">
        <f t="shared" si="52"/>
        <v>0</v>
      </c>
      <c r="AX59" s="136">
        <f t="shared" si="52"/>
        <v>0</v>
      </c>
      <c r="AY59" s="136">
        <f t="shared" si="52"/>
        <v>0</v>
      </c>
      <c r="AZ59" s="136">
        <f t="shared" si="52"/>
        <v>0</v>
      </c>
      <c r="BA59" s="137">
        <f t="shared" si="52"/>
        <v>0</v>
      </c>
      <c r="BB59" s="138">
        <f t="shared" si="52"/>
        <v>0</v>
      </c>
      <c r="BC59" s="136">
        <f t="shared" si="52"/>
        <v>0</v>
      </c>
      <c r="BD59" s="136">
        <f t="shared" si="52"/>
        <v>0</v>
      </c>
      <c r="BE59" s="137">
        <f t="shared" si="52"/>
        <v>0</v>
      </c>
      <c r="BF59" s="135">
        <f t="shared" si="52"/>
        <v>0</v>
      </c>
      <c r="BG59" s="136">
        <f t="shared" si="52"/>
        <v>0</v>
      </c>
      <c r="BH59" s="136">
        <f t="shared" si="53"/>
        <v>0</v>
      </c>
      <c r="BI59" s="137">
        <f t="shared" si="53"/>
        <v>0</v>
      </c>
      <c r="BJ59" s="138">
        <f t="shared" si="53"/>
        <v>0</v>
      </c>
      <c r="BK59" s="136">
        <f t="shared" si="53"/>
        <v>0</v>
      </c>
      <c r="BL59" s="136">
        <f t="shared" si="53"/>
        <v>0</v>
      </c>
      <c r="BM59" s="136">
        <f t="shared" si="53"/>
        <v>0</v>
      </c>
      <c r="BN59" s="137">
        <f t="shared" si="53"/>
        <v>0</v>
      </c>
      <c r="BO59" s="138">
        <f t="shared" si="53"/>
        <v>0</v>
      </c>
      <c r="BP59" s="136">
        <f t="shared" si="53"/>
        <v>0</v>
      </c>
      <c r="BQ59" s="136">
        <f t="shared" si="53"/>
        <v>0</v>
      </c>
      <c r="BR59" s="137">
        <f t="shared" si="53"/>
        <v>0</v>
      </c>
      <c r="BS59" s="138">
        <f t="shared" si="53"/>
        <v>0</v>
      </c>
      <c r="BT59" s="136">
        <f t="shared" si="53"/>
        <v>0</v>
      </c>
      <c r="BU59" s="136">
        <f t="shared" si="53"/>
        <v>0</v>
      </c>
      <c r="BV59" s="136">
        <f t="shared" si="53"/>
        <v>0</v>
      </c>
      <c r="BW59" s="137">
        <f t="shared" si="53"/>
        <v>0</v>
      </c>
      <c r="BX59" s="138">
        <f t="shared" si="53"/>
        <v>0</v>
      </c>
      <c r="BY59" s="136">
        <f t="shared" si="53"/>
        <v>0</v>
      </c>
      <c r="BZ59" s="136">
        <f t="shared" si="53"/>
        <v>0</v>
      </c>
      <c r="CA59" s="137">
        <f t="shared" si="53"/>
        <v>0</v>
      </c>
      <c r="CB59" s="135">
        <f t="shared" si="53"/>
        <v>0</v>
      </c>
      <c r="CC59" s="136">
        <f t="shared" si="53"/>
        <v>0</v>
      </c>
      <c r="CD59" s="136">
        <f t="shared" si="53"/>
        <v>0</v>
      </c>
      <c r="CE59" s="137">
        <f t="shared" si="53"/>
        <v>0</v>
      </c>
    </row>
    <row r="60" spans="1:83">
      <c r="A60" s="130" t="s">
        <v>22</v>
      </c>
      <c r="B60" s="95"/>
      <c r="C60" s="96"/>
      <c r="D60" s="96"/>
      <c r="E60" s="96"/>
      <c r="F60" s="96"/>
      <c r="G60" s="96"/>
      <c r="H60" s="97"/>
      <c r="I60" s="94">
        <v>10</v>
      </c>
      <c r="J60" s="131">
        <f t="shared" si="47"/>
        <v>1</v>
      </c>
      <c r="K60" s="101">
        <v>0</v>
      </c>
      <c r="L60" s="132">
        <f t="shared" si="48"/>
        <v>0.1</v>
      </c>
      <c r="M60" s="132">
        <f t="shared" si="49"/>
        <v>0</v>
      </c>
      <c r="N60" s="132">
        <f t="shared" si="3"/>
        <v>-0.1</v>
      </c>
      <c r="O60" s="133" t="str">
        <f t="shared" si="50"/>
        <v>지연</v>
      </c>
      <c r="P60" s="104"/>
      <c r="Q60" s="104"/>
      <c r="R60" s="104"/>
      <c r="S60" s="104"/>
      <c r="T60" s="130"/>
      <c r="U60" s="134" t="str">
        <f t="shared" si="37"/>
        <v/>
      </c>
      <c r="V60" s="253">
        <f>NETWORKDAYS(P60,Q60,진행현황_전체!C$59:C$77)</f>
        <v>0</v>
      </c>
      <c r="W60" s="135">
        <f t="shared" si="51"/>
        <v>0</v>
      </c>
      <c r="X60" s="136">
        <f t="shared" si="51"/>
        <v>0</v>
      </c>
      <c r="Y60" s="136">
        <f t="shared" si="51"/>
        <v>0</v>
      </c>
      <c r="Z60" s="136">
        <f t="shared" si="51"/>
        <v>0</v>
      </c>
      <c r="AA60" s="137">
        <f t="shared" si="51"/>
        <v>0</v>
      </c>
      <c r="AB60" s="138">
        <f t="shared" si="51"/>
        <v>0</v>
      </c>
      <c r="AC60" s="136">
        <f t="shared" si="51"/>
        <v>0</v>
      </c>
      <c r="AD60" s="136">
        <f t="shared" si="51"/>
        <v>0</v>
      </c>
      <c r="AE60" s="137">
        <f t="shared" si="51"/>
        <v>0</v>
      </c>
      <c r="AF60" s="135">
        <f t="shared" si="51"/>
        <v>0</v>
      </c>
      <c r="AG60" s="136">
        <f t="shared" si="51"/>
        <v>0</v>
      </c>
      <c r="AH60" s="136">
        <f t="shared" si="51"/>
        <v>0</v>
      </c>
      <c r="AI60" s="137">
        <f t="shared" si="51"/>
        <v>0</v>
      </c>
      <c r="AJ60" s="135">
        <f t="shared" si="51"/>
        <v>0</v>
      </c>
      <c r="AK60" s="138">
        <f t="shared" si="51"/>
        <v>0</v>
      </c>
      <c r="AL60" s="136">
        <f t="shared" si="51"/>
        <v>0</v>
      </c>
      <c r="AM60" s="136">
        <f t="shared" si="51"/>
        <v>0</v>
      </c>
      <c r="AN60" s="194">
        <f t="shared" si="51"/>
        <v>0</v>
      </c>
      <c r="AO60" s="138">
        <f t="shared" si="51"/>
        <v>0</v>
      </c>
      <c r="AP60" s="136">
        <f t="shared" si="51"/>
        <v>0</v>
      </c>
      <c r="AQ60" s="136">
        <f t="shared" si="51"/>
        <v>0</v>
      </c>
      <c r="AR60" s="137">
        <f t="shared" si="52"/>
        <v>0</v>
      </c>
      <c r="AS60" s="135">
        <f t="shared" si="52"/>
        <v>0</v>
      </c>
      <c r="AT60" s="136">
        <f t="shared" si="52"/>
        <v>0</v>
      </c>
      <c r="AU60" s="136">
        <f t="shared" si="52"/>
        <v>0</v>
      </c>
      <c r="AV60" s="137">
        <f t="shared" si="52"/>
        <v>0</v>
      </c>
      <c r="AW60" s="135">
        <f t="shared" si="52"/>
        <v>0</v>
      </c>
      <c r="AX60" s="136">
        <f t="shared" si="52"/>
        <v>0</v>
      </c>
      <c r="AY60" s="136">
        <f t="shared" si="52"/>
        <v>0</v>
      </c>
      <c r="AZ60" s="136">
        <f t="shared" si="52"/>
        <v>0</v>
      </c>
      <c r="BA60" s="137">
        <f t="shared" si="52"/>
        <v>0</v>
      </c>
      <c r="BB60" s="138">
        <f t="shared" si="52"/>
        <v>0</v>
      </c>
      <c r="BC60" s="136">
        <f t="shared" si="52"/>
        <v>0</v>
      </c>
      <c r="BD60" s="136">
        <f t="shared" si="52"/>
        <v>0</v>
      </c>
      <c r="BE60" s="137">
        <f t="shared" si="52"/>
        <v>0</v>
      </c>
      <c r="BF60" s="135">
        <f t="shared" si="52"/>
        <v>0</v>
      </c>
      <c r="BG60" s="136">
        <f t="shared" si="52"/>
        <v>0</v>
      </c>
      <c r="BH60" s="136">
        <f t="shared" si="53"/>
        <v>0</v>
      </c>
      <c r="BI60" s="137">
        <f t="shared" si="53"/>
        <v>0</v>
      </c>
      <c r="BJ60" s="138">
        <f t="shared" si="53"/>
        <v>0</v>
      </c>
      <c r="BK60" s="136">
        <f t="shared" si="53"/>
        <v>0</v>
      </c>
      <c r="BL60" s="136">
        <f t="shared" si="53"/>
        <v>0</v>
      </c>
      <c r="BM60" s="136">
        <f t="shared" si="53"/>
        <v>0</v>
      </c>
      <c r="BN60" s="137">
        <f t="shared" si="53"/>
        <v>0</v>
      </c>
      <c r="BO60" s="138">
        <f t="shared" si="53"/>
        <v>0</v>
      </c>
      <c r="BP60" s="136">
        <f t="shared" si="53"/>
        <v>0</v>
      </c>
      <c r="BQ60" s="136">
        <f t="shared" si="53"/>
        <v>0</v>
      </c>
      <c r="BR60" s="137">
        <f t="shared" si="53"/>
        <v>0</v>
      </c>
      <c r="BS60" s="138">
        <f t="shared" si="53"/>
        <v>0</v>
      </c>
      <c r="BT60" s="136">
        <f t="shared" si="53"/>
        <v>0</v>
      </c>
      <c r="BU60" s="136">
        <f t="shared" si="53"/>
        <v>0</v>
      </c>
      <c r="BV60" s="136">
        <f t="shared" si="53"/>
        <v>0</v>
      </c>
      <c r="BW60" s="137">
        <f t="shared" si="53"/>
        <v>0</v>
      </c>
      <c r="BX60" s="138">
        <f t="shared" si="53"/>
        <v>0</v>
      </c>
      <c r="BY60" s="136">
        <f t="shared" si="53"/>
        <v>0</v>
      </c>
      <c r="BZ60" s="136">
        <f t="shared" si="53"/>
        <v>0</v>
      </c>
      <c r="CA60" s="137">
        <f t="shared" si="53"/>
        <v>0</v>
      </c>
      <c r="CB60" s="135">
        <f t="shared" si="53"/>
        <v>0</v>
      </c>
      <c r="CC60" s="136">
        <f t="shared" si="53"/>
        <v>0</v>
      </c>
      <c r="CD60" s="136">
        <f t="shared" si="53"/>
        <v>0</v>
      </c>
      <c r="CE60" s="137">
        <f t="shared" si="53"/>
        <v>0</v>
      </c>
    </row>
    <row r="61" spans="1:83">
      <c r="A61" s="130" t="s">
        <v>23</v>
      </c>
      <c r="B61" s="95"/>
      <c r="C61" s="96"/>
      <c r="D61" s="96"/>
      <c r="E61" s="96"/>
      <c r="F61" s="96"/>
      <c r="G61" s="96"/>
      <c r="H61" s="97"/>
      <c r="I61" s="94">
        <v>10</v>
      </c>
      <c r="J61" s="131">
        <f t="shared" si="47"/>
        <v>1</v>
      </c>
      <c r="K61" s="101">
        <v>0</v>
      </c>
      <c r="L61" s="132">
        <f t="shared" si="48"/>
        <v>0.1</v>
      </c>
      <c r="M61" s="132">
        <f t="shared" si="49"/>
        <v>0</v>
      </c>
      <c r="N61" s="132">
        <f t="shared" si="3"/>
        <v>-0.1</v>
      </c>
      <c r="O61" s="133" t="str">
        <f t="shared" si="50"/>
        <v>지연</v>
      </c>
      <c r="P61" s="104"/>
      <c r="Q61" s="104"/>
      <c r="R61" s="104"/>
      <c r="S61" s="104"/>
      <c r="T61" s="94"/>
      <c r="U61" s="134" t="str">
        <f t="shared" si="37"/>
        <v/>
      </c>
      <c r="V61" s="253">
        <f>NETWORKDAYS(P61,Q61,진행현황_전체!C$59:C$77)</f>
        <v>0</v>
      </c>
      <c r="W61" s="135">
        <f t="shared" si="51"/>
        <v>0</v>
      </c>
      <c r="X61" s="136">
        <f t="shared" si="51"/>
        <v>0</v>
      </c>
      <c r="Y61" s="136">
        <f t="shared" si="51"/>
        <v>0</v>
      </c>
      <c r="Z61" s="136">
        <f t="shared" si="51"/>
        <v>0</v>
      </c>
      <c r="AA61" s="137">
        <f t="shared" si="51"/>
        <v>0</v>
      </c>
      <c r="AB61" s="138">
        <f t="shared" si="51"/>
        <v>0</v>
      </c>
      <c r="AC61" s="136">
        <f t="shared" si="51"/>
        <v>0</v>
      </c>
      <c r="AD61" s="136">
        <f t="shared" si="51"/>
        <v>0</v>
      </c>
      <c r="AE61" s="137">
        <f t="shared" si="51"/>
        <v>0</v>
      </c>
      <c r="AF61" s="135">
        <f t="shared" si="51"/>
        <v>0</v>
      </c>
      <c r="AG61" s="136">
        <f t="shared" si="51"/>
        <v>0</v>
      </c>
      <c r="AH61" s="136">
        <f t="shared" si="51"/>
        <v>0</v>
      </c>
      <c r="AI61" s="137">
        <f t="shared" si="51"/>
        <v>0</v>
      </c>
      <c r="AJ61" s="135">
        <f t="shared" si="51"/>
        <v>0</v>
      </c>
      <c r="AK61" s="138">
        <f t="shared" si="51"/>
        <v>0</v>
      </c>
      <c r="AL61" s="136">
        <f t="shared" si="51"/>
        <v>0</v>
      </c>
      <c r="AM61" s="136">
        <f t="shared" si="51"/>
        <v>0</v>
      </c>
      <c r="AN61" s="194">
        <f t="shared" si="51"/>
        <v>0</v>
      </c>
      <c r="AO61" s="138">
        <f t="shared" si="51"/>
        <v>0</v>
      </c>
      <c r="AP61" s="136">
        <f t="shared" si="51"/>
        <v>0</v>
      </c>
      <c r="AQ61" s="136">
        <f t="shared" si="51"/>
        <v>0</v>
      </c>
      <c r="AR61" s="137">
        <f t="shared" si="52"/>
        <v>0</v>
      </c>
      <c r="AS61" s="135">
        <f t="shared" si="52"/>
        <v>0</v>
      </c>
      <c r="AT61" s="136">
        <f t="shared" si="52"/>
        <v>0</v>
      </c>
      <c r="AU61" s="136">
        <f t="shared" si="52"/>
        <v>0</v>
      </c>
      <c r="AV61" s="137">
        <f t="shared" si="52"/>
        <v>0</v>
      </c>
      <c r="AW61" s="135">
        <f t="shared" si="52"/>
        <v>0</v>
      </c>
      <c r="AX61" s="136">
        <f t="shared" si="52"/>
        <v>0</v>
      </c>
      <c r="AY61" s="136">
        <f t="shared" si="52"/>
        <v>0</v>
      </c>
      <c r="AZ61" s="136">
        <f t="shared" si="52"/>
        <v>0</v>
      </c>
      <c r="BA61" s="137">
        <f t="shared" si="52"/>
        <v>0</v>
      </c>
      <c r="BB61" s="138">
        <f t="shared" si="52"/>
        <v>0</v>
      </c>
      <c r="BC61" s="136">
        <f t="shared" si="52"/>
        <v>0</v>
      </c>
      <c r="BD61" s="136">
        <f t="shared" si="52"/>
        <v>0</v>
      </c>
      <c r="BE61" s="137">
        <f t="shared" si="52"/>
        <v>0</v>
      </c>
      <c r="BF61" s="135">
        <f t="shared" si="52"/>
        <v>0</v>
      </c>
      <c r="BG61" s="136">
        <f t="shared" si="52"/>
        <v>0</v>
      </c>
      <c r="BH61" s="136">
        <f t="shared" si="53"/>
        <v>0</v>
      </c>
      <c r="BI61" s="137">
        <f t="shared" si="53"/>
        <v>0</v>
      </c>
      <c r="BJ61" s="138">
        <f t="shared" si="53"/>
        <v>0</v>
      </c>
      <c r="BK61" s="136">
        <f t="shared" si="53"/>
        <v>0</v>
      </c>
      <c r="BL61" s="136">
        <f t="shared" si="53"/>
        <v>0</v>
      </c>
      <c r="BM61" s="136">
        <f t="shared" si="53"/>
        <v>0</v>
      </c>
      <c r="BN61" s="137">
        <f t="shared" si="53"/>
        <v>0</v>
      </c>
      <c r="BO61" s="138">
        <f t="shared" si="53"/>
        <v>0</v>
      </c>
      <c r="BP61" s="136">
        <f t="shared" si="53"/>
        <v>0</v>
      </c>
      <c r="BQ61" s="136">
        <f t="shared" si="53"/>
        <v>0</v>
      </c>
      <c r="BR61" s="137">
        <f t="shared" si="53"/>
        <v>0</v>
      </c>
      <c r="BS61" s="138">
        <f t="shared" si="53"/>
        <v>0</v>
      </c>
      <c r="BT61" s="136">
        <f t="shared" si="53"/>
        <v>0</v>
      </c>
      <c r="BU61" s="136">
        <f t="shared" si="53"/>
        <v>0</v>
      </c>
      <c r="BV61" s="136">
        <f t="shared" si="53"/>
        <v>0</v>
      </c>
      <c r="BW61" s="137">
        <f t="shared" si="53"/>
        <v>0</v>
      </c>
      <c r="BX61" s="138">
        <f t="shared" si="53"/>
        <v>0</v>
      </c>
      <c r="BY61" s="136">
        <f t="shared" si="53"/>
        <v>0</v>
      </c>
      <c r="BZ61" s="136">
        <f t="shared" si="53"/>
        <v>0</v>
      </c>
      <c r="CA61" s="137">
        <f t="shared" si="53"/>
        <v>0</v>
      </c>
      <c r="CB61" s="135">
        <f t="shared" si="53"/>
        <v>0</v>
      </c>
      <c r="CC61" s="136">
        <f t="shared" si="53"/>
        <v>0</v>
      </c>
      <c r="CD61" s="136">
        <f t="shared" si="53"/>
        <v>0</v>
      </c>
      <c r="CE61" s="137">
        <f t="shared" si="53"/>
        <v>0</v>
      </c>
    </row>
    <row r="62" spans="1:83">
      <c r="A62" s="130" t="s">
        <v>24</v>
      </c>
      <c r="B62" s="95"/>
      <c r="C62" s="96"/>
      <c r="D62" s="96"/>
      <c r="E62" s="96"/>
      <c r="F62" s="96"/>
      <c r="G62" s="96"/>
      <c r="H62" s="97"/>
      <c r="I62" s="94">
        <v>10</v>
      </c>
      <c r="J62" s="131">
        <f t="shared" si="47"/>
        <v>1</v>
      </c>
      <c r="K62" s="101">
        <v>0</v>
      </c>
      <c r="L62" s="132">
        <f t="shared" si="48"/>
        <v>0.1</v>
      </c>
      <c r="M62" s="132">
        <f t="shared" si="49"/>
        <v>0</v>
      </c>
      <c r="N62" s="132">
        <f t="shared" si="3"/>
        <v>-0.1</v>
      </c>
      <c r="O62" s="133" t="str">
        <f t="shared" si="50"/>
        <v>지연</v>
      </c>
      <c r="P62" s="104"/>
      <c r="Q62" s="104"/>
      <c r="R62" s="104"/>
      <c r="S62" s="104"/>
      <c r="T62" s="94"/>
      <c r="U62" s="134" t="str">
        <f t="shared" si="37"/>
        <v/>
      </c>
      <c r="V62" s="253">
        <f>NETWORKDAYS(P62,Q62,진행현황_전체!C$59:C$77)</f>
        <v>0</v>
      </c>
      <c r="W62" s="135">
        <f t="shared" si="51"/>
        <v>0</v>
      </c>
      <c r="X62" s="136">
        <f t="shared" si="51"/>
        <v>0</v>
      </c>
      <c r="Y62" s="136">
        <f t="shared" si="51"/>
        <v>0</v>
      </c>
      <c r="Z62" s="136">
        <f t="shared" si="51"/>
        <v>0</v>
      </c>
      <c r="AA62" s="137">
        <f t="shared" si="51"/>
        <v>0</v>
      </c>
      <c r="AB62" s="138">
        <f t="shared" si="51"/>
        <v>0</v>
      </c>
      <c r="AC62" s="136">
        <f t="shared" si="51"/>
        <v>0</v>
      </c>
      <c r="AD62" s="136">
        <f t="shared" si="51"/>
        <v>0</v>
      </c>
      <c r="AE62" s="137">
        <f t="shared" si="51"/>
        <v>0</v>
      </c>
      <c r="AF62" s="135">
        <f t="shared" si="51"/>
        <v>0</v>
      </c>
      <c r="AG62" s="136">
        <f t="shared" si="51"/>
        <v>0</v>
      </c>
      <c r="AH62" s="136">
        <f t="shared" si="51"/>
        <v>0</v>
      </c>
      <c r="AI62" s="137">
        <f t="shared" si="51"/>
        <v>0</v>
      </c>
      <c r="AJ62" s="135">
        <f t="shared" si="51"/>
        <v>0</v>
      </c>
      <c r="AK62" s="138">
        <f t="shared" si="51"/>
        <v>0</v>
      </c>
      <c r="AL62" s="136">
        <f t="shared" si="51"/>
        <v>0</v>
      </c>
      <c r="AM62" s="136">
        <f t="shared" si="51"/>
        <v>0</v>
      </c>
      <c r="AN62" s="194">
        <f t="shared" si="51"/>
        <v>0</v>
      </c>
      <c r="AO62" s="138">
        <f t="shared" si="51"/>
        <v>0</v>
      </c>
      <c r="AP62" s="136">
        <f t="shared" si="51"/>
        <v>0</v>
      </c>
      <c r="AQ62" s="136">
        <f t="shared" si="51"/>
        <v>0</v>
      </c>
      <c r="AR62" s="137">
        <f t="shared" si="52"/>
        <v>0</v>
      </c>
      <c r="AS62" s="135">
        <f t="shared" si="52"/>
        <v>0</v>
      </c>
      <c r="AT62" s="136">
        <f t="shared" si="52"/>
        <v>0</v>
      </c>
      <c r="AU62" s="136">
        <f t="shared" si="52"/>
        <v>0</v>
      </c>
      <c r="AV62" s="137">
        <f t="shared" si="52"/>
        <v>0</v>
      </c>
      <c r="AW62" s="135">
        <f t="shared" si="52"/>
        <v>0</v>
      </c>
      <c r="AX62" s="136">
        <f t="shared" si="52"/>
        <v>0</v>
      </c>
      <c r="AY62" s="136">
        <f t="shared" si="52"/>
        <v>0</v>
      </c>
      <c r="AZ62" s="136">
        <f t="shared" si="52"/>
        <v>0</v>
      </c>
      <c r="BA62" s="137">
        <f t="shared" si="52"/>
        <v>0</v>
      </c>
      <c r="BB62" s="138">
        <f t="shared" si="52"/>
        <v>0</v>
      </c>
      <c r="BC62" s="136">
        <f t="shared" si="52"/>
        <v>0</v>
      </c>
      <c r="BD62" s="136">
        <f t="shared" si="52"/>
        <v>0</v>
      </c>
      <c r="BE62" s="137">
        <f t="shared" si="52"/>
        <v>0</v>
      </c>
      <c r="BF62" s="135">
        <f t="shared" si="52"/>
        <v>0</v>
      </c>
      <c r="BG62" s="136">
        <f t="shared" si="52"/>
        <v>0</v>
      </c>
      <c r="BH62" s="136">
        <f t="shared" si="53"/>
        <v>0</v>
      </c>
      <c r="BI62" s="137">
        <f t="shared" si="53"/>
        <v>0</v>
      </c>
      <c r="BJ62" s="138">
        <f t="shared" si="53"/>
        <v>0</v>
      </c>
      <c r="BK62" s="136">
        <f t="shared" si="53"/>
        <v>0</v>
      </c>
      <c r="BL62" s="136">
        <f t="shared" si="53"/>
        <v>0</v>
      </c>
      <c r="BM62" s="136">
        <f t="shared" si="53"/>
        <v>0</v>
      </c>
      <c r="BN62" s="137">
        <f t="shared" si="53"/>
        <v>0</v>
      </c>
      <c r="BO62" s="138">
        <f t="shared" si="53"/>
        <v>0</v>
      </c>
      <c r="BP62" s="136">
        <f t="shared" si="53"/>
        <v>0</v>
      </c>
      <c r="BQ62" s="136">
        <f t="shared" si="53"/>
        <v>0</v>
      </c>
      <c r="BR62" s="137">
        <f t="shared" si="53"/>
        <v>0</v>
      </c>
      <c r="BS62" s="138">
        <f t="shared" si="53"/>
        <v>0</v>
      </c>
      <c r="BT62" s="136">
        <f t="shared" si="53"/>
        <v>0</v>
      </c>
      <c r="BU62" s="136">
        <f t="shared" si="53"/>
        <v>0</v>
      </c>
      <c r="BV62" s="136">
        <f t="shared" si="53"/>
        <v>0</v>
      </c>
      <c r="BW62" s="137">
        <f t="shared" si="53"/>
        <v>0</v>
      </c>
      <c r="BX62" s="138">
        <f t="shared" si="53"/>
        <v>0</v>
      </c>
      <c r="BY62" s="136">
        <f t="shared" si="53"/>
        <v>0</v>
      </c>
      <c r="BZ62" s="136">
        <f t="shared" si="53"/>
        <v>0</v>
      </c>
      <c r="CA62" s="137">
        <f t="shared" si="53"/>
        <v>0</v>
      </c>
      <c r="CB62" s="135">
        <f t="shared" si="53"/>
        <v>0</v>
      </c>
      <c r="CC62" s="136">
        <f t="shared" si="53"/>
        <v>0</v>
      </c>
      <c r="CD62" s="136">
        <f t="shared" si="53"/>
        <v>0</v>
      </c>
      <c r="CE62" s="137">
        <f t="shared" si="53"/>
        <v>0</v>
      </c>
    </row>
    <row r="63" spans="1:83">
      <c r="A63" s="130" t="s">
        <v>25</v>
      </c>
      <c r="B63" s="95"/>
      <c r="C63" s="96"/>
      <c r="D63" s="96"/>
      <c r="E63" s="96"/>
      <c r="F63" s="96"/>
      <c r="G63" s="96"/>
      <c r="H63" s="97"/>
      <c r="I63" s="94">
        <v>10</v>
      </c>
      <c r="J63" s="131">
        <f t="shared" si="47"/>
        <v>1</v>
      </c>
      <c r="K63" s="101">
        <v>0</v>
      </c>
      <c r="L63" s="132">
        <f t="shared" si="48"/>
        <v>0.1</v>
      </c>
      <c r="M63" s="132">
        <f t="shared" si="49"/>
        <v>0</v>
      </c>
      <c r="N63" s="132">
        <f t="shared" si="3"/>
        <v>-0.1</v>
      </c>
      <c r="O63" s="133" t="str">
        <f t="shared" si="50"/>
        <v>지연</v>
      </c>
      <c r="P63" s="104"/>
      <c r="Q63" s="104"/>
      <c r="R63" s="104"/>
      <c r="S63" s="104"/>
      <c r="T63" s="130"/>
      <c r="U63" s="134" t="str">
        <f t="shared" si="37"/>
        <v/>
      </c>
      <c r="V63" s="253">
        <f>NETWORKDAYS(P63,Q63,진행현황_전체!C$59:C$77)</f>
        <v>0</v>
      </c>
      <c r="W63" s="135">
        <f t="shared" si="51"/>
        <v>0</v>
      </c>
      <c r="X63" s="136">
        <f t="shared" si="51"/>
        <v>0</v>
      </c>
      <c r="Y63" s="136">
        <f t="shared" si="51"/>
        <v>0</v>
      </c>
      <c r="Z63" s="136">
        <f t="shared" si="51"/>
        <v>0</v>
      </c>
      <c r="AA63" s="137">
        <f t="shared" si="51"/>
        <v>0</v>
      </c>
      <c r="AB63" s="138">
        <f t="shared" si="51"/>
        <v>0</v>
      </c>
      <c r="AC63" s="136">
        <f t="shared" si="51"/>
        <v>0</v>
      </c>
      <c r="AD63" s="136">
        <f t="shared" si="51"/>
        <v>0</v>
      </c>
      <c r="AE63" s="137">
        <f t="shared" si="51"/>
        <v>0</v>
      </c>
      <c r="AF63" s="135">
        <f t="shared" si="51"/>
        <v>0</v>
      </c>
      <c r="AG63" s="136">
        <f t="shared" si="51"/>
        <v>0</v>
      </c>
      <c r="AH63" s="136">
        <f t="shared" si="51"/>
        <v>0</v>
      </c>
      <c r="AI63" s="137">
        <f t="shared" si="51"/>
        <v>0</v>
      </c>
      <c r="AJ63" s="135">
        <f t="shared" si="51"/>
        <v>0</v>
      </c>
      <c r="AK63" s="138">
        <f t="shared" si="51"/>
        <v>0</v>
      </c>
      <c r="AL63" s="136">
        <f t="shared" si="51"/>
        <v>0</v>
      </c>
      <c r="AM63" s="136">
        <f t="shared" si="51"/>
        <v>0</v>
      </c>
      <c r="AN63" s="194">
        <f t="shared" si="51"/>
        <v>0</v>
      </c>
      <c r="AO63" s="138">
        <f t="shared" si="51"/>
        <v>0</v>
      </c>
      <c r="AP63" s="136">
        <f t="shared" si="51"/>
        <v>0</v>
      </c>
      <c r="AQ63" s="136">
        <f t="shared" si="51"/>
        <v>0</v>
      </c>
      <c r="AR63" s="137">
        <f t="shared" si="52"/>
        <v>0</v>
      </c>
      <c r="AS63" s="135">
        <f t="shared" si="52"/>
        <v>0</v>
      </c>
      <c r="AT63" s="136">
        <f t="shared" si="52"/>
        <v>0</v>
      </c>
      <c r="AU63" s="136">
        <f t="shared" si="52"/>
        <v>0</v>
      </c>
      <c r="AV63" s="137">
        <f t="shared" si="52"/>
        <v>0</v>
      </c>
      <c r="AW63" s="135">
        <f t="shared" si="52"/>
        <v>0</v>
      </c>
      <c r="AX63" s="136">
        <f t="shared" si="52"/>
        <v>0</v>
      </c>
      <c r="AY63" s="136">
        <f t="shared" si="52"/>
        <v>0</v>
      </c>
      <c r="AZ63" s="136">
        <f t="shared" si="52"/>
        <v>0</v>
      </c>
      <c r="BA63" s="137">
        <f t="shared" si="52"/>
        <v>0</v>
      </c>
      <c r="BB63" s="138">
        <f t="shared" si="52"/>
        <v>0</v>
      </c>
      <c r="BC63" s="136">
        <f t="shared" si="52"/>
        <v>0</v>
      </c>
      <c r="BD63" s="136">
        <f t="shared" si="52"/>
        <v>0</v>
      </c>
      <c r="BE63" s="137">
        <f t="shared" si="52"/>
        <v>0</v>
      </c>
      <c r="BF63" s="135">
        <f t="shared" si="52"/>
        <v>0</v>
      </c>
      <c r="BG63" s="136">
        <f t="shared" si="52"/>
        <v>0</v>
      </c>
      <c r="BH63" s="136">
        <f t="shared" si="53"/>
        <v>0</v>
      </c>
      <c r="BI63" s="137">
        <f t="shared" si="53"/>
        <v>0</v>
      </c>
      <c r="BJ63" s="138">
        <f t="shared" si="53"/>
        <v>0</v>
      </c>
      <c r="BK63" s="136">
        <f t="shared" si="53"/>
        <v>0</v>
      </c>
      <c r="BL63" s="136">
        <f t="shared" si="53"/>
        <v>0</v>
      </c>
      <c r="BM63" s="136">
        <f t="shared" si="53"/>
        <v>0</v>
      </c>
      <c r="BN63" s="137">
        <f t="shared" si="53"/>
        <v>0</v>
      </c>
      <c r="BO63" s="138">
        <f t="shared" si="53"/>
        <v>0</v>
      </c>
      <c r="BP63" s="136">
        <f t="shared" si="53"/>
        <v>0</v>
      </c>
      <c r="BQ63" s="136">
        <f t="shared" si="53"/>
        <v>0</v>
      </c>
      <c r="BR63" s="137">
        <f t="shared" si="53"/>
        <v>0</v>
      </c>
      <c r="BS63" s="138">
        <f t="shared" si="53"/>
        <v>0</v>
      </c>
      <c r="BT63" s="136">
        <f t="shared" si="53"/>
        <v>0</v>
      </c>
      <c r="BU63" s="136">
        <f t="shared" si="53"/>
        <v>0</v>
      </c>
      <c r="BV63" s="136">
        <f t="shared" si="53"/>
        <v>0</v>
      </c>
      <c r="BW63" s="137">
        <f t="shared" si="53"/>
        <v>0</v>
      </c>
      <c r="BX63" s="138">
        <f t="shared" si="53"/>
        <v>0</v>
      </c>
      <c r="BY63" s="136">
        <f t="shared" si="53"/>
        <v>0</v>
      </c>
      <c r="BZ63" s="136">
        <f t="shared" si="53"/>
        <v>0</v>
      </c>
      <c r="CA63" s="137">
        <f t="shared" si="53"/>
        <v>0</v>
      </c>
      <c r="CB63" s="135">
        <f t="shared" si="53"/>
        <v>0</v>
      </c>
      <c r="CC63" s="136">
        <f t="shared" si="53"/>
        <v>0</v>
      </c>
      <c r="CD63" s="136">
        <f t="shared" si="53"/>
        <v>0</v>
      </c>
      <c r="CE63" s="137">
        <f t="shared" si="53"/>
        <v>0</v>
      </c>
    </row>
    <row r="64" spans="1:83" ht="17.25" thickBot="1">
      <c r="A64" s="130" t="s">
        <v>26</v>
      </c>
      <c r="B64" s="95"/>
      <c r="C64" s="96"/>
      <c r="D64" s="96"/>
      <c r="E64" s="96"/>
      <c r="F64" s="96"/>
      <c r="G64" s="96"/>
      <c r="H64" s="97"/>
      <c r="I64" s="94">
        <v>10</v>
      </c>
      <c r="J64" s="131">
        <f t="shared" si="47"/>
        <v>1</v>
      </c>
      <c r="K64" s="101">
        <v>0</v>
      </c>
      <c r="L64" s="132">
        <f t="shared" si="48"/>
        <v>0.1</v>
      </c>
      <c r="M64" s="132">
        <f t="shared" si="49"/>
        <v>0</v>
      </c>
      <c r="N64" s="132">
        <f t="shared" si="3"/>
        <v>-0.1</v>
      </c>
      <c r="O64" s="133" t="str">
        <f t="shared" si="50"/>
        <v>지연</v>
      </c>
      <c r="P64" s="104"/>
      <c r="Q64" s="104"/>
      <c r="R64" s="104"/>
      <c r="S64" s="104"/>
      <c r="T64" s="94"/>
      <c r="U64" s="134" t="str">
        <f t="shared" si="37"/>
        <v/>
      </c>
      <c r="V64" s="253">
        <f>NETWORKDAYS(P64,Q64,진행현황_전체!C$59:C$77)</f>
        <v>0</v>
      </c>
      <c r="W64" s="135">
        <f t="shared" si="51"/>
        <v>0</v>
      </c>
      <c r="X64" s="136">
        <f t="shared" si="51"/>
        <v>0</v>
      </c>
      <c r="Y64" s="136">
        <f t="shared" si="51"/>
        <v>0</v>
      </c>
      <c r="Z64" s="136">
        <f t="shared" si="51"/>
        <v>0</v>
      </c>
      <c r="AA64" s="137">
        <f t="shared" si="51"/>
        <v>0</v>
      </c>
      <c r="AB64" s="138">
        <f t="shared" si="51"/>
        <v>0</v>
      </c>
      <c r="AC64" s="136">
        <f t="shared" si="51"/>
        <v>0</v>
      </c>
      <c r="AD64" s="136">
        <f t="shared" si="51"/>
        <v>0</v>
      </c>
      <c r="AE64" s="137">
        <f t="shared" si="51"/>
        <v>0</v>
      </c>
      <c r="AF64" s="135">
        <f t="shared" si="51"/>
        <v>0</v>
      </c>
      <c r="AG64" s="136">
        <f t="shared" si="51"/>
        <v>0</v>
      </c>
      <c r="AH64" s="136">
        <f t="shared" si="51"/>
        <v>0</v>
      </c>
      <c r="AI64" s="137">
        <f t="shared" si="51"/>
        <v>0</v>
      </c>
      <c r="AJ64" s="135">
        <f t="shared" si="51"/>
        <v>0</v>
      </c>
      <c r="AK64" s="138">
        <f t="shared" si="51"/>
        <v>0</v>
      </c>
      <c r="AL64" s="136">
        <f t="shared" si="51"/>
        <v>0</v>
      </c>
      <c r="AM64" s="136">
        <f t="shared" si="51"/>
        <v>0</v>
      </c>
      <c r="AN64" s="194">
        <f t="shared" si="51"/>
        <v>0</v>
      </c>
      <c r="AO64" s="138">
        <f t="shared" si="51"/>
        <v>0</v>
      </c>
      <c r="AP64" s="136">
        <f t="shared" si="51"/>
        <v>0</v>
      </c>
      <c r="AQ64" s="136">
        <f t="shared" si="51"/>
        <v>0</v>
      </c>
      <c r="AR64" s="137">
        <f t="shared" si="52"/>
        <v>0</v>
      </c>
      <c r="AS64" s="135">
        <f t="shared" si="52"/>
        <v>0</v>
      </c>
      <c r="AT64" s="136">
        <f t="shared" si="52"/>
        <v>0</v>
      </c>
      <c r="AU64" s="136">
        <f t="shared" si="52"/>
        <v>0</v>
      </c>
      <c r="AV64" s="137">
        <f t="shared" si="52"/>
        <v>0</v>
      </c>
      <c r="AW64" s="135">
        <f t="shared" si="52"/>
        <v>0</v>
      </c>
      <c r="AX64" s="136">
        <f t="shared" si="52"/>
        <v>0</v>
      </c>
      <c r="AY64" s="136">
        <f t="shared" si="52"/>
        <v>0</v>
      </c>
      <c r="AZ64" s="136">
        <f t="shared" si="52"/>
        <v>0</v>
      </c>
      <c r="BA64" s="137">
        <f t="shared" si="52"/>
        <v>0</v>
      </c>
      <c r="BB64" s="138">
        <f t="shared" si="52"/>
        <v>0</v>
      </c>
      <c r="BC64" s="136">
        <f t="shared" si="52"/>
        <v>0</v>
      </c>
      <c r="BD64" s="136">
        <f t="shared" si="52"/>
        <v>0</v>
      </c>
      <c r="BE64" s="137">
        <f t="shared" si="52"/>
        <v>0</v>
      </c>
      <c r="BF64" s="135">
        <f t="shared" si="52"/>
        <v>0</v>
      </c>
      <c r="BG64" s="136">
        <f t="shared" si="52"/>
        <v>0</v>
      </c>
      <c r="BH64" s="136">
        <f t="shared" si="53"/>
        <v>0</v>
      </c>
      <c r="BI64" s="137">
        <f t="shared" si="53"/>
        <v>0</v>
      </c>
      <c r="BJ64" s="138">
        <f t="shared" si="53"/>
        <v>0</v>
      </c>
      <c r="BK64" s="136">
        <f t="shared" si="53"/>
        <v>0</v>
      </c>
      <c r="BL64" s="136">
        <f t="shared" si="53"/>
        <v>0</v>
      </c>
      <c r="BM64" s="136">
        <f t="shared" si="53"/>
        <v>0</v>
      </c>
      <c r="BN64" s="137">
        <f t="shared" si="53"/>
        <v>0</v>
      </c>
      <c r="BO64" s="138">
        <f t="shared" si="53"/>
        <v>0</v>
      </c>
      <c r="BP64" s="136">
        <f t="shared" si="53"/>
        <v>0</v>
      </c>
      <c r="BQ64" s="136">
        <f t="shared" si="53"/>
        <v>0</v>
      </c>
      <c r="BR64" s="137">
        <f t="shared" si="53"/>
        <v>0</v>
      </c>
      <c r="BS64" s="138">
        <f t="shared" si="53"/>
        <v>0</v>
      </c>
      <c r="BT64" s="136">
        <f t="shared" si="53"/>
        <v>0</v>
      </c>
      <c r="BU64" s="136">
        <f t="shared" si="53"/>
        <v>0</v>
      </c>
      <c r="BV64" s="136">
        <f t="shared" si="53"/>
        <v>0</v>
      </c>
      <c r="BW64" s="137">
        <f t="shared" si="53"/>
        <v>0</v>
      </c>
      <c r="BX64" s="138">
        <f t="shared" si="53"/>
        <v>0</v>
      </c>
      <c r="BY64" s="136">
        <f t="shared" si="53"/>
        <v>0</v>
      </c>
      <c r="BZ64" s="136">
        <f t="shared" si="53"/>
        <v>0</v>
      </c>
      <c r="CA64" s="137">
        <f t="shared" si="53"/>
        <v>0</v>
      </c>
      <c r="CB64" s="135">
        <f t="shared" si="53"/>
        <v>0</v>
      </c>
      <c r="CC64" s="136">
        <f t="shared" si="53"/>
        <v>0</v>
      </c>
      <c r="CD64" s="136">
        <f t="shared" si="53"/>
        <v>0</v>
      </c>
      <c r="CE64" s="137">
        <f t="shared" si="53"/>
        <v>0</v>
      </c>
    </row>
    <row r="65" spans="1:83" ht="17.25" thickBot="1">
      <c r="A65" s="139" t="s">
        <v>79</v>
      </c>
      <c r="B65" s="114" t="str">
        <f>진행현황_템플릿!G15</f>
        <v>단계6</v>
      </c>
      <c r="C65" s="115"/>
      <c r="D65" s="115"/>
      <c r="E65" s="115"/>
      <c r="F65" s="115"/>
      <c r="G65" s="115"/>
      <c r="H65" s="116">
        <f>SUM(I66:I75)</f>
        <v>100</v>
      </c>
      <c r="I65" s="117">
        <f>진행현황_템플릿!G16</f>
        <v>5</v>
      </c>
      <c r="J65" s="118">
        <f>SUM(L66:L75)</f>
        <v>0.99999999999999989</v>
      </c>
      <c r="K65" s="119">
        <f>SUM(M66:M75)</f>
        <v>0</v>
      </c>
      <c r="L65" s="120">
        <f>SUM(L66:L75)*I65</f>
        <v>4.9999999999999991</v>
      </c>
      <c r="M65" s="120">
        <f>SUM(M66:M75)*I65</f>
        <v>0</v>
      </c>
      <c r="N65" s="120">
        <f t="shared" si="3"/>
        <v>-4.9999999999999991</v>
      </c>
      <c r="O65" s="121"/>
      <c r="P65" s="122">
        <f>MIN(P66:P75)</f>
        <v>0</v>
      </c>
      <c r="Q65" s="122">
        <f>MAX(Q66:Q75)</f>
        <v>0</v>
      </c>
      <c r="R65" s="122">
        <f>MIN(R66:R75)</f>
        <v>0</v>
      </c>
      <c r="S65" s="122">
        <f>MAX(S66:S75)</f>
        <v>0</v>
      </c>
      <c r="T65" s="113"/>
      <c r="U65" s="123" t="str">
        <f t="shared" si="37"/>
        <v/>
      </c>
      <c r="V65" s="124">
        <f>NETWORKDAYS(P65,Q65,진행현황_전체!C$59:C$77)</f>
        <v>0</v>
      </c>
      <c r="W65" s="125"/>
      <c r="X65" s="126"/>
      <c r="Y65" s="126"/>
      <c r="Z65" s="126"/>
      <c r="AA65" s="127"/>
      <c r="AB65" s="129"/>
      <c r="AC65" s="126"/>
      <c r="AD65" s="126"/>
      <c r="AE65" s="127"/>
      <c r="AF65" s="128"/>
      <c r="AG65" s="126"/>
      <c r="AH65" s="126"/>
      <c r="AI65" s="127"/>
      <c r="AJ65" s="128"/>
      <c r="AK65" s="129"/>
      <c r="AL65" s="126"/>
      <c r="AM65" s="126"/>
      <c r="AN65" s="193"/>
      <c r="AO65" s="129"/>
      <c r="AP65" s="126"/>
      <c r="AQ65" s="126"/>
      <c r="AR65" s="127"/>
      <c r="AS65" s="128"/>
      <c r="AT65" s="126"/>
      <c r="AU65" s="126"/>
      <c r="AV65" s="127"/>
      <c r="AW65" s="125"/>
      <c r="AX65" s="126"/>
      <c r="AY65" s="126"/>
      <c r="AZ65" s="126"/>
      <c r="BA65" s="127"/>
      <c r="BB65" s="129"/>
      <c r="BC65" s="126"/>
      <c r="BD65" s="126"/>
      <c r="BE65" s="127"/>
      <c r="BF65" s="128"/>
      <c r="BG65" s="126"/>
      <c r="BH65" s="126"/>
      <c r="BI65" s="127"/>
      <c r="BJ65" s="129"/>
      <c r="BK65" s="126"/>
      <c r="BL65" s="126"/>
      <c r="BM65" s="126"/>
      <c r="BN65" s="127"/>
      <c r="BO65" s="129"/>
      <c r="BP65" s="126"/>
      <c r="BQ65" s="126"/>
      <c r="BR65" s="127"/>
      <c r="BS65" s="129"/>
      <c r="BT65" s="126"/>
      <c r="BU65" s="126"/>
      <c r="BV65" s="126"/>
      <c r="BW65" s="127"/>
      <c r="BX65" s="129"/>
      <c r="BY65" s="126"/>
      <c r="BZ65" s="126"/>
      <c r="CA65" s="127"/>
      <c r="CB65" s="128"/>
      <c r="CC65" s="126"/>
      <c r="CD65" s="126"/>
      <c r="CE65" s="127"/>
    </row>
    <row r="66" spans="1:83">
      <c r="A66" s="130" t="s">
        <v>27</v>
      </c>
      <c r="B66" s="95"/>
      <c r="C66" s="96"/>
      <c r="D66" s="96"/>
      <c r="E66" s="96"/>
      <c r="F66" s="96"/>
      <c r="G66" s="96"/>
      <c r="H66" s="97"/>
      <c r="I66" s="94">
        <v>10</v>
      </c>
      <c r="J66" s="131">
        <f t="shared" ref="J66:J75" si="54">IF(CheckDay&gt;=Q66,1,IF(CheckDay&lt;P66, 0,DAYS360(P66,CheckDay+1)/Y66))</f>
        <v>1</v>
      </c>
      <c r="K66" s="101">
        <v>0</v>
      </c>
      <c r="L66" s="132">
        <f t="shared" ref="L66:L75" si="55">I66*J66/100</f>
        <v>0.1</v>
      </c>
      <c r="M66" s="132">
        <f t="shared" ref="M66:M75" si="56">I66*K66/100</f>
        <v>0</v>
      </c>
      <c r="N66" s="132">
        <f t="shared" si="3"/>
        <v>-0.1</v>
      </c>
      <c r="O66" s="133" t="str">
        <f t="shared" ref="O66:O75" si="57">IF(AND(K66=0%,N66=0),"",IF(N66&lt;0,"지연",IF(K66=100%,"종료","진행")))</f>
        <v>지연</v>
      </c>
      <c r="P66" s="104"/>
      <c r="Q66" s="104"/>
      <c r="R66" s="104"/>
      <c r="S66" s="104"/>
      <c r="T66" s="94"/>
      <c r="U66" s="134" t="str">
        <f t="shared" si="37"/>
        <v/>
      </c>
      <c r="V66" s="253">
        <f>NETWORKDAYS(P66,Q66,진행현황_전체!C$59:C$77)</f>
        <v>0</v>
      </c>
      <c r="W66" s="135">
        <f t="shared" ref="W66:AQ75" si="58">IF(OR((AND($P66&lt;=W$7,AND($Q66&lt;=W$8, $Q66&gt;=W$7))),(AND(AND($P66&gt;=W$7, $P66&lt;=W$8),$Q66&gt;=W$8)), AND($P66&gt;=W$7, $Q66&lt;=W$8), AND($P66&lt;=W$7,$Q66&gt;=W$8)),1,0)</f>
        <v>0</v>
      </c>
      <c r="X66" s="136">
        <f t="shared" si="58"/>
        <v>0</v>
      </c>
      <c r="Y66" s="136">
        <f t="shared" si="58"/>
        <v>0</v>
      </c>
      <c r="Z66" s="136">
        <f t="shared" si="58"/>
        <v>0</v>
      </c>
      <c r="AA66" s="137">
        <f t="shared" si="58"/>
        <v>0</v>
      </c>
      <c r="AB66" s="138">
        <f t="shared" si="58"/>
        <v>0</v>
      </c>
      <c r="AC66" s="136">
        <f t="shared" si="58"/>
        <v>0</v>
      </c>
      <c r="AD66" s="136">
        <f t="shared" si="58"/>
        <v>0</v>
      </c>
      <c r="AE66" s="137">
        <f t="shared" si="58"/>
        <v>0</v>
      </c>
      <c r="AF66" s="135">
        <f t="shared" si="58"/>
        <v>0</v>
      </c>
      <c r="AG66" s="136">
        <f t="shared" si="58"/>
        <v>0</v>
      </c>
      <c r="AH66" s="136">
        <f t="shared" si="58"/>
        <v>0</v>
      </c>
      <c r="AI66" s="137">
        <f t="shared" si="58"/>
        <v>0</v>
      </c>
      <c r="AJ66" s="135">
        <f t="shared" si="58"/>
        <v>0</v>
      </c>
      <c r="AK66" s="138">
        <f t="shared" si="58"/>
        <v>0</v>
      </c>
      <c r="AL66" s="136">
        <f t="shared" si="58"/>
        <v>0</v>
      </c>
      <c r="AM66" s="136">
        <f t="shared" si="58"/>
        <v>0</v>
      </c>
      <c r="AN66" s="194">
        <f t="shared" si="58"/>
        <v>0</v>
      </c>
      <c r="AO66" s="138">
        <f t="shared" si="58"/>
        <v>0</v>
      </c>
      <c r="AP66" s="136">
        <f t="shared" si="58"/>
        <v>0</v>
      </c>
      <c r="AQ66" s="136">
        <f t="shared" si="58"/>
        <v>0</v>
      </c>
      <c r="AR66" s="137">
        <f t="shared" ref="AR66:BG75" si="59">IF(OR((AND($P66&lt;=AR$7,AND($Q66&lt;=AR$8, $Q66&gt;=AR$7))),(AND(AND($P66&gt;=AR$7, $P66&lt;=AR$8),$Q66&gt;=AR$8)), AND($P66&gt;=AR$7, $Q66&lt;=AR$8), AND($P66&lt;=AR$7,$Q66&gt;=AR$8)),1,0)</f>
        <v>0</v>
      </c>
      <c r="AS66" s="135">
        <f t="shared" si="59"/>
        <v>0</v>
      </c>
      <c r="AT66" s="136">
        <f t="shared" si="59"/>
        <v>0</v>
      </c>
      <c r="AU66" s="136">
        <f t="shared" si="59"/>
        <v>0</v>
      </c>
      <c r="AV66" s="137">
        <f t="shared" si="59"/>
        <v>0</v>
      </c>
      <c r="AW66" s="135">
        <f t="shared" si="59"/>
        <v>0</v>
      </c>
      <c r="AX66" s="136">
        <f t="shared" si="59"/>
        <v>0</v>
      </c>
      <c r="AY66" s="136">
        <f t="shared" si="59"/>
        <v>0</v>
      </c>
      <c r="AZ66" s="136">
        <f t="shared" si="59"/>
        <v>0</v>
      </c>
      <c r="BA66" s="137">
        <f t="shared" si="59"/>
        <v>0</v>
      </c>
      <c r="BB66" s="138">
        <f t="shared" si="59"/>
        <v>0</v>
      </c>
      <c r="BC66" s="136">
        <f t="shared" si="59"/>
        <v>0</v>
      </c>
      <c r="BD66" s="136">
        <f t="shared" si="59"/>
        <v>0</v>
      </c>
      <c r="BE66" s="137">
        <f t="shared" si="59"/>
        <v>0</v>
      </c>
      <c r="BF66" s="135">
        <f t="shared" si="59"/>
        <v>0</v>
      </c>
      <c r="BG66" s="136">
        <f t="shared" si="59"/>
        <v>0</v>
      </c>
      <c r="BH66" s="136">
        <f t="shared" ref="BH66:CE75" si="60">IF(OR((AND($P66&lt;=BH$7,AND($Q66&lt;=BH$8, $Q66&gt;=BH$7))),(AND(AND($P66&gt;=BH$7, $P66&lt;=BH$8),$Q66&gt;=BH$8)), AND($P66&gt;=BH$7, $Q66&lt;=BH$8), AND($P66&lt;=BH$7,$Q66&gt;=BH$8)),1,0)</f>
        <v>0</v>
      </c>
      <c r="BI66" s="137">
        <f t="shared" si="60"/>
        <v>0</v>
      </c>
      <c r="BJ66" s="138">
        <f t="shared" si="60"/>
        <v>0</v>
      </c>
      <c r="BK66" s="136">
        <f t="shared" si="60"/>
        <v>0</v>
      </c>
      <c r="BL66" s="136">
        <f t="shared" si="60"/>
        <v>0</v>
      </c>
      <c r="BM66" s="136">
        <f t="shared" si="60"/>
        <v>0</v>
      </c>
      <c r="BN66" s="137">
        <f t="shared" si="60"/>
        <v>0</v>
      </c>
      <c r="BO66" s="138">
        <f t="shared" si="60"/>
        <v>0</v>
      </c>
      <c r="BP66" s="136">
        <f t="shared" si="60"/>
        <v>0</v>
      </c>
      <c r="BQ66" s="136">
        <f t="shared" si="60"/>
        <v>0</v>
      </c>
      <c r="BR66" s="137">
        <f t="shared" si="60"/>
        <v>0</v>
      </c>
      <c r="BS66" s="138">
        <f t="shared" si="60"/>
        <v>0</v>
      </c>
      <c r="BT66" s="136">
        <f t="shared" si="60"/>
        <v>0</v>
      </c>
      <c r="BU66" s="136">
        <f t="shared" si="60"/>
        <v>0</v>
      </c>
      <c r="BV66" s="136">
        <f t="shared" si="60"/>
        <v>0</v>
      </c>
      <c r="BW66" s="137">
        <f t="shared" si="60"/>
        <v>0</v>
      </c>
      <c r="BX66" s="138">
        <f t="shared" si="60"/>
        <v>0</v>
      </c>
      <c r="BY66" s="136">
        <f t="shared" si="60"/>
        <v>0</v>
      </c>
      <c r="BZ66" s="136">
        <f t="shared" si="60"/>
        <v>0</v>
      </c>
      <c r="CA66" s="137">
        <f t="shared" si="60"/>
        <v>0</v>
      </c>
      <c r="CB66" s="135">
        <f t="shared" si="60"/>
        <v>0</v>
      </c>
      <c r="CC66" s="136">
        <f t="shared" si="60"/>
        <v>0</v>
      </c>
      <c r="CD66" s="136">
        <f t="shared" si="60"/>
        <v>0</v>
      </c>
      <c r="CE66" s="137">
        <f t="shared" si="60"/>
        <v>0</v>
      </c>
    </row>
    <row r="67" spans="1:83">
      <c r="A67" s="130" t="s">
        <v>142</v>
      </c>
      <c r="B67" s="95"/>
      <c r="C67" s="96"/>
      <c r="D67" s="96"/>
      <c r="E67" s="96"/>
      <c r="F67" s="96"/>
      <c r="G67" s="96"/>
      <c r="H67" s="97"/>
      <c r="I67" s="94">
        <v>10</v>
      </c>
      <c r="J67" s="131">
        <f t="shared" si="54"/>
        <v>1</v>
      </c>
      <c r="K67" s="101">
        <v>0</v>
      </c>
      <c r="L67" s="132">
        <f t="shared" si="55"/>
        <v>0.1</v>
      </c>
      <c r="M67" s="132">
        <f t="shared" si="56"/>
        <v>0</v>
      </c>
      <c r="N67" s="132">
        <f t="shared" si="3"/>
        <v>-0.1</v>
      </c>
      <c r="O67" s="133" t="str">
        <f t="shared" si="57"/>
        <v>지연</v>
      </c>
      <c r="P67" s="104"/>
      <c r="Q67" s="104"/>
      <c r="R67" s="104"/>
      <c r="S67" s="104"/>
      <c r="T67" s="94"/>
      <c r="U67" s="134" t="str">
        <f t="shared" si="37"/>
        <v/>
      </c>
      <c r="V67" s="253">
        <f>NETWORKDAYS(P67,Q67,진행현황_전체!C$59:C$77)</f>
        <v>0</v>
      </c>
      <c r="W67" s="135">
        <f t="shared" si="58"/>
        <v>0</v>
      </c>
      <c r="X67" s="136">
        <f t="shared" si="58"/>
        <v>0</v>
      </c>
      <c r="Y67" s="136">
        <f t="shared" si="58"/>
        <v>0</v>
      </c>
      <c r="Z67" s="136">
        <f t="shared" si="58"/>
        <v>0</v>
      </c>
      <c r="AA67" s="137">
        <f t="shared" si="58"/>
        <v>0</v>
      </c>
      <c r="AB67" s="138">
        <f t="shared" si="58"/>
        <v>0</v>
      </c>
      <c r="AC67" s="136">
        <f t="shared" si="58"/>
        <v>0</v>
      </c>
      <c r="AD67" s="136">
        <f t="shared" si="58"/>
        <v>0</v>
      </c>
      <c r="AE67" s="137">
        <f t="shared" si="58"/>
        <v>0</v>
      </c>
      <c r="AF67" s="135">
        <f t="shared" si="58"/>
        <v>0</v>
      </c>
      <c r="AG67" s="136">
        <f t="shared" si="58"/>
        <v>0</v>
      </c>
      <c r="AH67" s="136">
        <f t="shared" si="58"/>
        <v>0</v>
      </c>
      <c r="AI67" s="137">
        <f t="shared" si="58"/>
        <v>0</v>
      </c>
      <c r="AJ67" s="135">
        <f t="shared" si="58"/>
        <v>0</v>
      </c>
      <c r="AK67" s="138">
        <f t="shared" si="58"/>
        <v>0</v>
      </c>
      <c r="AL67" s="136">
        <f t="shared" si="58"/>
        <v>0</v>
      </c>
      <c r="AM67" s="136">
        <f t="shared" si="58"/>
        <v>0</v>
      </c>
      <c r="AN67" s="194">
        <f t="shared" si="58"/>
        <v>0</v>
      </c>
      <c r="AO67" s="138">
        <f t="shared" si="58"/>
        <v>0</v>
      </c>
      <c r="AP67" s="136">
        <f t="shared" si="58"/>
        <v>0</v>
      </c>
      <c r="AQ67" s="136">
        <f t="shared" si="58"/>
        <v>0</v>
      </c>
      <c r="AR67" s="137">
        <f t="shared" si="59"/>
        <v>0</v>
      </c>
      <c r="AS67" s="135">
        <f t="shared" si="59"/>
        <v>0</v>
      </c>
      <c r="AT67" s="136">
        <f t="shared" si="59"/>
        <v>0</v>
      </c>
      <c r="AU67" s="136">
        <f t="shared" si="59"/>
        <v>0</v>
      </c>
      <c r="AV67" s="137">
        <f t="shared" si="59"/>
        <v>0</v>
      </c>
      <c r="AW67" s="135">
        <f t="shared" si="59"/>
        <v>0</v>
      </c>
      <c r="AX67" s="136">
        <f t="shared" si="59"/>
        <v>0</v>
      </c>
      <c r="AY67" s="136">
        <f t="shared" si="59"/>
        <v>0</v>
      </c>
      <c r="AZ67" s="136">
        <f t="shared" si="59"/>
        <v>0</v>
      </c>
      <c r="BA67" s="137">
        <f t="shared" si="59"/>
        <v>0</v>
      </c>
      <c r="BB67" s="138">
        <f t="shared" si="59"/>
        <v>0</v>
      </c>
      <c r="BC67" s="136">
        <f t="shared" si="59"/>
        <v>0</v>
      </c>
      <c r="BD67" s="136">
        <f t="shared" si="59"/>
        <v>0</v>
      </c>
      <c r="BE67" s="137">
        <f t="shared" si="59"/>
        <v>0</v>
      </c>
      <c r="BF67" s="135">
        <f t="shared" si="59"/>
        <v>0</v>
      </c>
      <c r="BG67" s="136">
        <f t="shared" si="59"/>
        <v>0</v>
      </c>
      <c r="BH67" s="136">
        <f t="shared" si="60"/>
        <v>0</v>
      </c>
      <c r="BI67" s="137">
        <f t="shared" si="60"/>
        <v>0</v>
      </c>
      <c r="BJ67" s="138">
        <f t="shared" si="60"/>
        <v>0</v>
      </c>
      <c r="BK67" s="136">
        <f t="shared" si="60"/>
        <v>0</v>
      </c>
      <c r="BL67" s="136">
        <f t="shared" si="60"/>
        <v>0</v>
      </c>
      <c r="BM67" s="136">
        <f t="shared" si="60"/>
        <v>0</v>
      </c>
      <c r="BN67" s="137">
        <f t="shared" si="60"/>
        <v>0</v>
      </c>
      <c r="BO67" s="138">
        <f t="shared" si="60"/>
        <v>0</v>
      </c>
      <c r="BP67" s="136">
        <f t="shared" si="60"/>
        <v>0</v>
      </c>
      <c r="BQ67" s="136">
        <f t="shared" si="60"/>
        <v>0</v>
      </c>
      <c r="BR67" s="137">
        <f t="shared" si="60"/>
        <v>0</v>
      </c>
      <c r="BS67" s="138">
        <f t="shared" si="60"/>
        <v>0</v>
      </c>
      <c r="BT67" s="136">
        <f t="shared" si="60"/>
        <v>0</v>
      </c>
      <c r="BU67" s="136">
        <f t="shared" si="60"/>
        <v>0</v>
      </c>
      <c r="BV67" s="136">
        <f t="shared" si="60"/>
        <v>0</v>
      </c>
      <c r="BW67" s="137">
        <f t="shared" si="60"/>
        <v>0</v>
      </c>
      <c r="BX67" s="138">
        <f t="shared" si="60"/>
        <v>0</v>
      </c>
      <c r="BY67" s="136">
        <f t="shared" si="60"/>
        <v>0</v>
      </c>
      <c r="BZ67" s="136">
        <f t="shared" si="60"/>
        <v>0</v>
      </c>
      <c r="CA67" s="137">
        <f t="shared" si="60"/>
        <v>0</v>
      </c>
      <c r="CB67" s="135">
        <f t="shared" si="60"/>
        <v>0</v>
      </c>
      <c r="CC67" s="136">
        <f t="shared" si="60"/>
        <v>0</v>
      </c>
      <c r="CD67" s="136">
        <f t="shared" si="60"/>
        <v>0</v>
      </c>
      <c r="CE67" s="137">
        <f t="shared" si="60"/>
        <v>0</v>
      </c>
    </row>
    <row r="68" spans="1:83">
      <c r="A68" s="130" t="s">
        <v>143</v>
      </c>
      <c r="B68" s="95"/>
      <c r="C68" s="96"/>
      <c r="D68" s="96"/>
      <c r="E68" s="96"/>
      <c r="F68" s="96"/>
      <c r="G68" s="96"/>
      <c r="H68" s="97"/>
      <c r="I68" s="94">
        <v>10</v>
      </c>
      <c r="J68" s="131">
        <f t="shared" si="54"/>
        <v>1</v>
      </c>
      <c r="K68" s="101">
        <v>0</v>
      </c>
      <c r="L68" s="132">
        <f t="shared" si="55"/>
        <v>0.1</v>
      </c>
      <c r="M68" s="132">
        <f t="shared" si="56"/>
        <v>0</v>
      </c>
      <c r="N68" s="132">
        <f t="shared" si="3"/>
        <v>-0.1</v>
      </c>
      <c r="O68" s="133" t="str">
        <f t="shared" si="57"/>
        <v>지연</v>
      </c>
      <c r="P68" s="104"/>
      <c r="Q68" s="104"/>
      <c r="R68" s="104"/>
      <c r="S68" s="104"/>
      <c r="T68" s="94"/>
      <c r="U68" s="134" t="str">
        <f t="shared" si="37"/>
        <v/>
      </c>
      <c r="V68" s="253">
        <f>NETWORKDAYS(P68,Q68,진행현황_전체!C$59:C$77)</f>
        <v>0</v>
      </c>
      <c r="W68" s="135">
        <f t="shared" si="58"/>
        <v>0</v>
      </c>
      <c r="X68" s="136">
        <f t="shared" si="58"/>
        <v>0</v>
      </c>
      <c r="Y68" s="136">
        <f t="shared" si="58"/>
        <v>0</v>
      </c>
      <c r="Z68" s="136">
        <f t="shared" si="58"/>
        <v>0</v>
      </c>
      <c r="AA68" s="137">
        <f t="shared" si="58"/>
        <v>0</v>
      </c>
      <c r="AB68" s="138">
        <f t="shared" si="58"/>
        <v>0</v>
      </c>
      <c r="AC68" s="136">
        <f t="shared" si="58"/>
        <v>0</v>
      </c>
      <c r="AD68" s="136">
        <f t="shared" si="58"/>
        <v>0</v>
      </c>
      <c r="AE68" s="137">
        <f t="shared" si="58"/>
        <v>0</v>
      </c>
      <c r="AF68" s="135">
        <f t="shared" si="58"/>
        <v>0</v>
      </c>
      <c r="AG68" s="136">
        <f t="shared" si="58"/>
        <v>0</v>
      </c>
      <c r="AH68" s="136">
        <f t="shared" si="58"/>
        <v>0</v>
      </c>
      <c r="AI68" s="137">
        <f t="shared" si="58"/>
        <v>0</v>
      </c>
      <c r="AJ68" s="135">
        <f t="shared" si="58"/>
        <v>0</v>
      </c>
      <c r="AK68" s="138">
        <f t="shared" si="58"/>
        <v>0</v>
      </c>
      <c r="AL68" s="136">
        <f t="shared" si="58"/>
        <v>0</v>
      </c>
      <c r="AM68" s="136">
        <f t="shared" si="58"/>
        <v>0</v>
      </c>
      <c r="AN68" s="194">
        <f t="shared" si="58"/>
        <v>0</v>
      </c>
      <c r="AO68" s="138">
        <f t="shared" si="58"/>
        <v>0</v>
      </c>
      <c r="AP68" s="136">
        <f t="shared" si="58"/>
        <v>0</v>
      </c>
      <c r="AQ68" s="136">
        <f t="shared" si="58"/>
        <v>0</v>
      </c>
      <c r="AR68" s="137">
        <f t="shared" si="59"/>
        <v>0</v>
      </c>
      <c r="AS68" s="135">
        <f t="shared" si="59"/>
        <v>0</v>
      </c>
      <c r="AT68" s="136">
        <f t="shared" si="59"/>
        <v>0</v>
      </c>
      <c r="AU68" s="136">
        <f t="shared" si="59"/>
        <v>0</v>
      </c>
      <c r="AV68" s="137">
        <f t="shared" si="59"/>
        <v>0</v>
      </c>
      <c r="AW68" s="135">
        <f t="shared" si="59"/>
        <v>0</v>
      </c>
      <c r="AX68" s="136">
        <f t="shared" si="59"/>
        <v>0</v>
      </c>
      <c r="AY68" s="136">
        <f t="shared" si="59"/>
        <v>0</v>
      </c>
      <c r="AZ68" s="136">
        <f t="shared" si="59"/>
        <v>0</v>
      </c>
      <c r="BA68" s="137">
        <f t="shared" si="59"/>
        <v>0</v>
      </c>
      <c r="BB68" s="138">
        <f t="shared" si="59"/>
        <v>0</v>
      </c>
      <c r="BC68" s="136">
        <f t="shared" si="59"/>
        <v>0</v>
      </c>
      <c r="BD68" s="136">
        <f t="shared" si="59"/>
        <v>0</v>
      </c>
      <c r="BE68" s="137">
        <f t="shared" si="59"/>
        <v>0</v>
      </c>
      <c r="BF68" s="135">
        <f t="shared" si="59"/>
        <v>0</v>
      </c>
      <c r="BG68" s="136">
        <f t="shared" si="59"/>
        <v>0</v>
      </c>
      <c r="BH68" s="136">
        <f t="shared" si="60"/>
        <v>0</v>
      </c>
      <c r="BI68" s="137">
        <f t="shared" si="60"/>
        <v>0</v>
      </c>
      <c r="BJ68" s="138">
        <f t="shared" si="60"/>
        <v>0</v>
      </c>
      <c r="BK68" s="136">
        <f t="shared" si="60"/>
        <v>0</v>
      </c>
      <c r="BL68" s="136">
        <f t="shared" si="60"/>
        <v>0</v>
      </c>
      <c r="BM68" s="136">
        <f t="shared" si="60"/>
        <v>0</v>
      </c>
      <c r="BN68" s="137">
        <f t="shared" si="60"/>
        <v>0</v>
      </c>
      <c r="BO68" s="138">
        <f t="shared" si="60"/>
        <v>0</v>
      </c>
      <c r="BP68" s="136">
        <f t="shared" si="60"/>
        <v>0</v>
      </c>
      <c r="BQ68" s="136">
        <f t="shared" si="60"/>
        <v>0</v>
      </c>
      <c r="BR68" s="137">
        <f t="shared" si="60"/>
        <v>0</v>
      </c>
      <c r="BS68" s="138">
        <f t="shared" si="60"/>
        <v>0</v>
      </c>
      <c r="BT68" s="136">
        <f t="shared" si="60"/>
        <v>0</v>
      </c>
      <c r="BU68" s="136">
        <f t="shared" si="60"/>
        <v>0</v>
      </c>
      <c r="BV68" s="136">
        <f t="shared" si="60"/>
        <v>0</v>
      </c>
      <c r="BW68" s="137">
        <f t="shared" si="60"/>
        <v>0</v>
      </c>
      <c r="BX68" s="138">
        <f t="shared" si="60"/>
        <v>0</v>
      </c>
      <c r="BY68" s="136">
        <f t="shared" si="60"/>
        <v>0</v>
      </c>
      <c r="BZ68" s="136">
        <f t="shared" si="60"/>
        <v>0</v>
      </c>
      <c r="CA68" s="137">
        <f t="shared" si="60"/>
        <v>0</v>
      </c>
      <c r="CB68" s="135">
        <f t="shared" si="60"/>
        <v>0</v>
      </c>
      <c r="CC68" s="136">
        <f t="shared" si="60"/>
        <v>0</v>
      </c>
      <c r="CD68" s="136">
        <f t="shared" si="60"/>
        <v>0</v>
      </c>
      <c r="CE68" s="137">
        <f t="shared" si="60"/>
        <v>0</v>
      </c>
    </row>
    <row r="69" spans="1:83">
      <c r="A69" s="130" t="s">
        <v>28</v>
      </c>
      <c r="B69" s="95"/>
      <c r="C69" s="96"/>
      <c r="D69" s="96"/>
      <c r="E69" s="96"/>
      <c r="F69" s="96"/>
      <c r="G69" s="96"/>
      <c r="H69" s="97"/>
      <c r="I69" s="94">
        <v>10</v>
      </c>
      <c r="J69" s="131">
        <f t="shared" si="54"/>
        <v>1</v>
      </c>
      <c r="K69" s="101">
        <v>0</v>
      </c>
      <c r="L69" s="132">
        <f t="shared" si="55"/>
        <v>0.1</v>
      </c>
      <c r="M69" s="132">
        <f t="shared" si="56"/>
        <v>0</v>
      </c>
      <c r="N69" s="132">
        <f t="shared" si="3"/>
        <v>-0.1</v>
      </c>
      <c r="O69" s="133" t="str">
        <f t="shared" si="57"/>
        <v>지연</v>
      </c>
      <c r="P69" s="104"/>
      <c r="Q69" s="104"/>
      <c r="R69" s="104"/>
      <c r="S69" s="104"/>
      <c r="T69" s="94"/>
      <c r="U69" s="134" t="str">
        <f t="shared" si="37"/>
        <v/>
      </c>
      <c r="V69" s="253">
        <f>NETWORKDAYS(P69,Q69,진행현황_전체!C$59:C$77)</f>
        <v>0</v>
      </c>
      <c r="W69" s="135">
        <f t="shared" si="58"/>
        <v>0</v>
      </c>
      <c r="X69" s="136">
        <f t="shared" si="58"/>
        <v>0</v>
      </c>
      <c r="Y69" s="136">
        <f t="shared" si="58"/>
        <v>0</v>
      </c>
      <c r="Z69" s="136">
        <f t="shared" si="58"/>
        <v>0</v>
      </c>
      <c r="AA69" s="137">
        <f t="shared" si="58"/>
        <v>0</v>
      </c>
      <c r="AB69" s="138">
        <f t="shared" si="58"/>
        <v>0</v>
      </c>
      <c r="AC69" s="136">
        <f t="shared" si="58"/>
        <v>0</v>
      </c>
      <c r="AD69" s="136">
        <f t="shared" si="58"/>
        <v>0</v>
      </c>
      <c r="AE69" s="137">
        <f t="shared" si="58"/>
        <v>0</v>
      </c>
      <c r="AF69" s="135">
        <f t="shared" si="58"/>
        <v>0</v>
      </c>
      <c r="AG69" s="136">
        <f t="shared" si="58"/>
        <v>0</v>
      </c>
      <c r="AH69" s="136">
        <f t="shared" si="58"/>
        <v>0</v>
      </c>
      <c r="AI69" s="137">
        <f t="shared" si="58"/>
        <v>0</v>
      </c>
      <c r="AJ69" s="135">
        <f t="shared" si="58"/>
        <v>0</v>
      </c>
      <c r="AK69" s="138">
        <f t="shared" si="58"/>
        <v>0</v>
      </c>
      <c r="AL69" s="136">
        <f t="shared" si="58"/>
        <v>0</v>
      </c>
      <c r="AM69" s="136">
        <f t="shared" si="58"/>
        <v>0</v>
      </c>
      <c r="AN69" s="194">
        <f t="shared" si="58"/>
        <v>0</v>
      </c>
      <c r="AO69" s="138">
        <f t="shared" si="58"/>
        <v>0</v>
      </c>
      <c r="AP69" s="136">
        <f t="shared" si="58"/>
        <v>0</v>
      </c>
      <c r="AQ69" s="136">
        <f t="shared" si="58"/>
        <v>0</v>
      </c>
      <c r="AR69" s="137">
        <f t="shared" si="59"/>
        <v>0</v>
      </c>
      <c r="AS69" s="135">
        <f t="shared" si="59"/>
        <v>0</v>
      </c>
      <c r="AT69" s="136">
        <f t="shared" si="59"/>
        <v>0</v>
      </c>
      <c r="AU69" s="136">
        <f t="shared" si="59"/>
        <v>0</v>
      </c>
      <c r="AV69" s="137">
        <f t="shared" si="59"/>
        <v>0</v>
      </c>
      <c r="AW69" s="135">
        <f t="shared" si="59"/>
        <v>0</v>
      </c>
      <c r="AX69" s="136">
        <f t="shared" si="59"/>
        <v>0</v>
      </c>
      <c r="AY69" s="136">
        <f t="shared" si="59"/>
        <v>0</v>
      </c>
      <c r="AZ69" s="136">
        <f t="shared" si="59"/>
        <v>0</v>
      </c>
      <c r="BA69" s="137">
        <f t="shared" si="59"/>
        <v>0</v>
      </c>
      <c r="BB69" s="138">
        <f t="shared" si="59"/>
        <v>0</v>
      </c>
      <c r="BC69" s="136">
        <f t="shared" si="59"/>
        <v>0</v>
      </c>
      <c r="BD69" s="136">
        <f t="shared" si="59"/>
        <v>0</v>
      </c>
      <c r="BE69" s="137">
        <f t="shared" si="59"/>
        <v>0</v>
      </c>
      <c r="BF69" s="135">
        <f t="shared" si="59"/>
        <v>0</v>
      </c>
      <c r="BG69" s="136">
        <f t="shared" si="59"/>
        <v>0</v>
      </c>
      <c r="BH69" s="136">
        <f t="shared" si="60"/>
        <v>0</v>
      </c>
      <c r="BI69" s="137">
        <f t="shared" si="60"/>
        <v>0</v>
      </c>
      <c r="BJ69" s="138">
        <f t="shared" si="60"/>
        <v>0</v>
      </c>
      <c r="BK69" s="136">
        <f t="shared" si="60"/>
        <v>0</v>
      </c>
      <c r="BL69" s="136">
        <f t="shared" si="60"/>
        <v>0</v>
      </c>
      <c r="BM69" s="136">
        <f t="shared" si="60"/>
        <v>0</v>
      </c>
      <c r="BN69" s="137">
        <f t="shared" si="60"/>
        <v>0</v>
      </c>
      <c r="BO69" s="138">
        <f t="shared" si="60"/>
        <v>0</v>
      </c>
      <c r="BP69" s="136">
        <f t="shared" si="60"/>
        <v>0</v>
      </c>
      <c r="BQ69" s="136">
        <f t="shared" si="60"/>
        <v>0</v>
      </c>
      <c r="BR69" s="137">
        <f t="shared" si="60"/>
        <v>0</v>
      </c>
      <c r="BS69" s="138">
        <f t="shared" si="60"/>
        <v>0</v>
      </c>
      <c r="BT69" s="136">
        <f t="shared" si="60"/>
        <v>0</v>
      </c>
      <c r="BU69" s="136">
        <f t="shared" si="60"/>
        <v>0</v>
      </c>
      <c r="BV69" s="136">
        <f t="shared" si="60"/>
        <v>0</v>
      </c>
      <c r="BW69" s="137">
        <f t="shared" si="60"/>
        <v>0</v>
      </c>
      <c r="BX69" s="138">
        <f t="shared" si="60"/>
        <v>0</v>
      </c>
      <c r="BY69" s="136">
        <f t="shared" si="60"/>
        <v>0</v>
      </c>
      <c r="BZ69" s="136">
        <f t="shared" si="60"/>
        <v>0</v>
      </c>
      <c r="CA69" s="137">
        <f t="shared" si="60"/>
        <v>0</v>
      </c>
      <c r="CB69" s="135">
        <f t="shared" si="60"/>
        <v>0</v>
      </c>
      <c r="CC69" s="136">
        <f t="shared" si="60"/>
        <v>0</v>
      </c>
      <c r="CD69" s="136">
        <f t="shared" si="60"/>
        <v>0</v>
      </c>
      <c r="CE69" s="137">
        <f t="shared" si="60"/>
        <v>0</v>
      </c>
    </row>
    <row r="70" spans="1:83">
      <c r="A70" s="130" t="s">
        <v>29</v>
      </c>
      <c r="B70" s="95"/>
      <c r="C70" s="96"/>
      <c r="D70" s="96"/>
      <c r="E70" s="96"/>
      <c r="F70" s="96"/>
      <c r="G70" s="96"/>
      <c r="H70" s="97"/>
      <c r="I70" s="94">
        <v>10</v>
      </c>
      <c r="J70" s="131">
        <f t="shared" si="54"/>
        <v>1</v>
      </c>
      <c r="K70" s="101">
        <v>0</v>
      </c>
      <c r="L70" s="132">
        <f t="shared" si="55"/>
        <v>0.1</v>
      </c>
      <c r="M70" s="132">
        <f t="shared" si="56"/>
        <v>0</v>
      </c>
      <c r="N70" s="132">
        <f t="shared" si="3"/>
        <v>-0.1</v>
      </c>
      <c r="O70" s="133" t="str">
        <f t="shared" si="57"/>
        <v>지연</v>
      </c>
      <c r="P70" s="104"/>
      <c r="Q70" s="104"/>
      <c r="R70" s="104"/>
      <c r="S70" s="104"/>
      <c r="T70" s="94"/>
      <c r="U70" s="134" t="str">
        <f t="shared" si="37"/>
        <v/>
      </c>
      <c r="V70" s="253">
        <f>NETWORKDAYS(P70,Q70,진행현황_전체!C$59:C$77)</f>
        <v>0</v>
      </c>
      <c r="W70" s="135">
        <f t="shared" si="58"/>
        <v>0</v>
      </c>
      <c r="X70" s="136">
        <f t="shared" si="58"/>
        <v>0</v>
      </c>
      <c r="Y70" s="136">
        <f t="shared" si="58"/>
        <v>0</v>
      </c>
      <c r="Z70" s="136">
        <f t="shared" si="58"/>
        <v>0</v>
      </c>
      <c r="AA70" s="137">
        <f t="shared" si="58"/>
        <v>0</v>
      </c>
      <c r="AB70" s="138">
        <f t="shared" si="58"/>
        <v>0</v>
      </c>
      <c r="AC70" s="136">
        <f t="shared" si="58"/>
        <v>0</v>
      </c>
      <c r="AD70" s="136">
        <f t="shared" si="58"/>
        <v>0</v>
      </c>
      <c r="AE70" s="137">
        <f t="shared" si="58"/>
        <v>0</v>
      </c>
      <c r="AF70" s="135">
        <f t="shared" si="58"/>
        <v>0</v>
      </c>
      <c r="AG70" s="136">
        <f t="shared" si="58"/>
        <v>0</v>
      </c>
      <c r="AH70" s="136">
        <f t="shared" si="58"/>
        <v>0</v>
      </c>
      <c r="AI70" s="137">
        <f t="shared" si="58"/>
        <v>0</v>
      </c>
      <c r="AJ70" s="135">
        <f t="shared" si="58"/>
        <v>0</v>
      </c>
      <c r="AK70" s="138">
        <f t="shared" si="58"/>
        <v>0</v>
      </c>
      <c r="AL70" s="136">
        <f t="shared" si="58"/>
        <v>0</v>
      </c>
      <c r="AM70" s="136">
        <f t="shared" si="58"/>
        <v>0</v>
      </c>
      <c r="AN70" s="194">
        <f t="shared" si="58"/>
        <v>0</v>
      </c>
      <c r="AO70" s="138">
        <f t="shared" si="58"/>
        <v>0</v>
      </c>
      <c r="AP70" s="136">
        <f t="shared" si="58"/>
        <v>0</v>
      </c>
      <c r="AQ70" s="136">
        <f t="shared" si="58"/>
        <v>0</v>
      </c>
      <c r="AR70" s="137">
        <f t="shared" si="59"/>
        <v>0</v>
      </c>
      <c r="AS70" s="135">
        <f t="shared" si="59"/>
        <v>0</v>
      </c>
      <c r="AT70" s="136">
        <f t="shared" si="59"/>
        <v>0</v>
      </c>
      <c r="AU70" s="136">
        <f t="shared" si="59"/>
        <v>0</v>
      </c>
      <c r="AV70" s="137">
        <f t="shared" si="59"/>
        <v>0</v>
      </c>
      <c r="AW70" s="135">
        <f t="shared" si="59"/>
        <v>0</v>
      </c>
      <c r="AX70" s="136">
        <f t="shared" si="59"/>
        <v>0</v>
      </c>
      <c r="AY70" s="136">
        <f t="shared" si="59"/>
        <v>0</v>
      </c>
      <c r="AZ70" s="136">
        <f t="shared" si="59"/>
        <v>0</v>
      </c>
      <c r="BA70" s="137">
        <f t="shared" si="59"/>
        <v>0</v>
      </c>
      <c r="BB70" s="138">
        <f t="shared" si="59"/>
        <v>0</v>
      </c>
      <c r="BC70" s="136">
        <f t="shared" si="59"/>
        <v>0</v>
      </c>
      <c r="BD70" s="136">
        <f t="shared" si="59"/>
        <v>0</v>
      </c>
      <c r="BE70" s="137">
        <f t="shared" si="59"/>
        <v>0</v>
      </c>
      <c r="BF70" s="135">
        <f t="shared" si="59"/>
        <v>0</v>
      </c>
      <c r="BG70" s="136">
        <f t="shared" si="59"/>
        <v>0</v>
      </c>
      <c r="BH70" s="136">
        <f t="shared" si="60"/>
        <v>0</v>
      </c>
      <c r="BI70" s="137">
        <f t="shared" si="60"/>
        <v>0</v>
      </c>
      <c r="BJ70" s="138">
        <f t="shared" si="60"/>
        <v>0</v>
      </c>
      <c r="BK70" s="136">
        <f t="shared" si="60"/>
        <v>0</v>
      </c>
      <c r="BL70" s="136">
        <f t="shared" si="60"/>
        <v>0</v>
      </c>
      <c r="BM70" s="136">
        <f t="shared" si="60"/>
        <v>0</v>
      </c>
      <c r="BN70" s="137">
        <f t="shared" si="60"/>
        <v>0</v>
      </c>
      <c r="BO70" s="138">
        <f t="shared" si="60"/>
        <v>0</v>
      </c>
      <c r="BP70" s="136">
        <f t="shared" si="60"/>
        <v>0</v>
      </c>
      <c r="BQ70" s="136">
        <f t="shared" si="60"/>
        <v>0</v>
      </c>
      <c r="BR70" s="137">
        <f t="shared" si="60"/>
        <v>0</v>
      </c>
      <c r="BS70" s="138">
        <f t="shared" si="60"/>
        <v>0</v>
      </c>
      <c r="BT70" s="136">
        <f t="shared" si="60"/>
        <v>0</v>
      </c>
      <c r="BU70" s="136">
        <f t="shared" si="60"/>
        <v>0</v>
      </c>
      <c r="BV70" s="136">
        <f t="shared" si="60"/>
        <v>0</v>
      </c>
      <c r="BW70" s="137">
        <f t="shared" si="60"/>
        <v>0</v>
      </c>
      <c r="BX70" s="138">
        <f t="shared" si="60"/>
        <v>0</v>
      </c>
      <c r="BY70" s="136">
        <f t="shared" si="60"/>
        <v>0</v>
      </c>
      <c r="BZ70" s="136">
        <f t="shared" si="60"/>
        <v>0</v>
      </c>
      <c r="CA70" s="137">
        <f t="shared" si="60"/>
        <v>0</v>
      </c>
      <c r="CB70" s="135">
        <f t="shared" si="60"/>
        <v>0</v>
      </c>
      <c r="CC70" s="136">
        <f t="shared" si="60"/>
        <v>0</v>
      </c>
      <c r="CD70" s="136">
        <f t="shared" si="60"/>
        <v>0</v>
      </c>
      <c r="CE70" s="137">
        <f t="shared" si="60"/>
        <v>0</v>
      </c>
    </row>
    <row r="71" spans="1:83">
      <c r="A71" s="130" t="s">
        <v>30</v>
      </c>
      <c r="B71" s="95"/>
      <c r="C71" s="96"/>
      <c r="D71" s="96"/>
      <c r="E71" s="96"/>
      <c r="F71" s="96"/>
      <c r="G71" s="96"/>
      <c r="H71" s="97"/>
      <c r="I71" s="94">
        <v>10</v>
      </c>
      <c r="J71" s="131">
        <f t="shared" si="54"/>
        <v>1</v>
      </c>
      <c r="K71" s="101">
        <v>0</v>
      </c>
      <c r="L71" s="132">
        <f t="shared" si="55"/>
        <v>0.1</v>
      </c>
      <c r="M71" s="132">
        <f t="shared" si="56"/>
        <v>0</v>
      </c>
      <c r="N71" s="132">
        <f t="shared" si="3"/>
        <v>-0.1</v>
      </c>
      <c r="O71" s="133" t="str">
        <f t="shared" si="57"/>
        <v>지연</v>
      </c>
      <c r="P71" s="104"/>
      <c r="Q71" s="104"/>
      <c r="R71" s="104"/>
      <c r="S71" s="104"/>
      <c r="T71" s="130"/>
      <c r="U71" s="134" t="str">
        <f t="shared" si="37"/>
        <v/>
      </c>
      <c r="V71" s="253">
        <f>NETWORKDAYS(P71,Q71,진행현황_전체!C$59:C$77)</f>
        <v>0</v>
      </c>
      <c r="W71" s="135">
        <f t="shared" si="58"/>
        <v>0</v>
      </c>
      <c r="X71" s="136">
        <f t="shared" si="58"/>
        <v>0</v>
      </c>
      <c r="Y71" s="136">
        <f t="shared" si="58"/>
        <v>0</v>
      </c>
      <c r="Z71" s="136">
        <f t="shared" si="58"/>
        <v>0</v>
      </c>
      <c r="AA71" s="137">
        <f t="shared" si="58"/>
        <v>0</v>
      </c>
      <c r="AB71" s="138">
        <f t="shared" si="58"/>
        <v>0</v>
      </c>
      <c r="AC71" s="136">
        <f t="shared" si="58"/>
        <v>0</v>
      </c>
      <c r="AD71" s="136">
        <f t="shared" si="58"/>
        <v>0</v>
      </c>
      <c r="AE71" s="137">
        <f t="shared" si="58"/>
        <v>0</v>
      </c>
      <c r="AF71" s="135">
        <f t="shared" si="58"/>
        <v>0</v>
      </c>
      <c r="AG71" s="136">
        <f t="shared" si="58"/>
        <v>0</v>
      </c>
      <c r="AH71" s="136">
        <f t="shared" si="58"/>
        <v>0</v>
      </c>
      <c r="AI71" s="137">
        <f t="shared" si="58"/>
        <v>0</v>
      </c>
      <c r="AJ71" s="135">
        <f t="shared" si="58"/>
        <v>0</v>
      </c>
      <c r="AK71" s="138">
        <f t="shared" si="58"/>
        <v>0</v>
      </c>
      <c r="AL71" s="136">
        <f t="shared" si="58"/>
        <v>0</v>
      </c>
      <c r="AM71" s="136">
        <f t="shared" si="58"/>
        <v>0</v>
      </c>
      <c r="AN71" s="194">
        <f t="shared" si="58"/>
        <v>0</v>
      </c>
      <c r="AO71" s="138">
        <f t="shared" si="58"/>
        <v>0</v>
      </c>
      <c r="AP71" s="136">
        <f t="shared" si="58"/>
        <v>0</v>
      </c>
      <c r="AQ71" s="136">
        <f t="shared" si="58"/>
        <v>0</v>
      </c>
      <c r="AR71" s="137">
        <f t="shared" si="59"/>
        <v>0</v>
      </c>
      <c r="AS71" s="135">
        <f t="shared" si="59"/>
        <v>0</v>
      </c>
      <c r="AT71" s="136">
        <f t="shared" si="59"/>
        <v>0</v>
      </c>
      <c r="AU71" s="136">
        <f t="shared" si="59"/>
        <v>0</v>
      </c>
      <c r="AV71" s="137">
        <f t="shared" si="59"/>
        <v>0</v>
      </c>
      <c r="AW71" s="135">
        <f t="shared" si="59"/>
        <v>0</v>
      </c>
      <c r="AX71" s="136">
        <f t="shared" si="59"/>
        <v>0</v>
      </c>
      <c r="AY71" s="136">
        <f t="shared" si="59"/>
        <v>0</v>
      </c>
      <c r="AZ71" s="136">
        <f t="shared" si="59"/>
        <v>0</v>
      </c>
      <c r="BA71" s="137">
        <f t="shared" si="59"/>
        <v>0</v>
      </c>
      <c r="BB71" s="138">
        <f t="shared" si="59"/>
        <v>0</v>
      </c>
      <c r="BC71" s="136">
        <f t="shared" si="59"/>
        <v>0</v>
      </c>
      <c r="BD71" s="136">
        <f t="shared" si="59"/>
        <v>0</v>
      </c>
      <c r="BE71" s="137">
        <f t="shared" si="59"/>
        <v>0</v>
      </c>
      <c r="BF71" s="135">
        <f t="shared" si="59"/>
        <v>0</v>
      </c>
      <c r="BG71" s="136">
        <f t="shared" si="59"/>
        <v>0</v>
      </c>
      <c r="BH71" s="136">
        <f t="shared" si="60"/>
        <v>0</v>
      </c>
      <c r="BI71" s="137">
        <f t="shared" si="60"/>
        <v>0</v>
      </c>
      <c r="BJ71" s="138">
        <f t="shared" si="60"/>
        <v>0</v>
      </c>
      <c r="BK71" s="136">
        <f t="shared" si="60"/>
        <v>0</v>
      </c>
      <c r="BL71" s="136">
        <f t="shared" si="60"/>
        <v>0</v>
      </c>
      <c r="BM71" s="136">
        <f t="shared" si="60"/>
        <v>0</v>
      </c>
      <c r="BN71" s="137">
        <f t="shared" si="60"/>
        <v>0</v>
      </c>
      <c r="BO71" s="138">
        <f t="shared" si="60"/>
        <v>0</v>
      </c>
      <c r="BP71" s="136">
        <f t="shared" si="60"/>
        <v>0</v>
      </c>
      <c r="BQ71" s="136">
        <f t="shared" si="60"/>
        <v>0</v>
      </c>
      <c r="BR71" s="137">
        <f t="shared" si="60"/>
        <v>0</v>
      </c>
      <c r="BS71" s="138">
        <f t="shared" si="60"/>
        <v>0</v>
      </c>
      <c r="BT71" s="136">
        <f t="shared" si="60"/>
        <v>0</v>
      </c>
      <c r="BU71" s="136">
        <f t="shared" si="60"/>
        <v>0</v>
      </c>
      <c r="BV71" s="136">
        <f t="shared" si="60"/>
        <v>0</v>
      </c>
      <c r="BW71" s="137">
        <f t="shared" si="60"/>
        <v>0</v>
      </c>
      <c r="BX71" s="138">
        <f t="shared" si="60"/>
        <v>0</v>
      </c>
      <c r="BY71" s="136">
        <f t="shared" si="60"/>
        <v>0</v>
      </c>
      <c r="BZ71" s="136">
        <f t="shared" si="60"/>
        <v>0</v>
      </c>
      <c r="CA71" s="137">
        <f t="shared" si="60"/>
        <v>0</v>
      </c>
      <c r="CB71" s="135">
        <f t="shared" si="60"/>
        <v>0</v>
      </c>
      <c r="CC71" s="136">
        <f t="shared" si="60"/>
        <v>0</v>
      </c>
      <c r="CD71" s="136">
        <f t="shared" si="60"/>
        <v>0</v>
      </c>
      <c r="CE71" s="137">
        <f t="shared" si="60"/>
        <v>0</v>
      </c>
    </row>
    <row r="72" spans="1:83">
      <c r="A72" s="130" t="s">
        <v>31</v>
      </c>
      <c r="B72" s="95"/>
      <c r="C72" s="96"/>
      <c r="D72" s="96"/>
      <c r="E72" s="96"/>
      <c r="F72" s="96"/>
      <c r="G72" s="96"/>
      <c r="H72" s="97"/>
      <c r="I72" s="94">
        <v>10</v>
      </c>
      <c r="J72" s="131">
        <f t="shared" si="54"/>
        <v>1</v>
      </c>
      <c r="K72" s="101">
        <v>0</v>
      </c>
      <c r="L72" s="132">
        <f t="shared" si="55"/>
        <v>0.1</v>
      </c>
      <c r="M72" s="132">
        <f t="shared" si="56"/>
        <v>0</v>
      </c>
      <c r="N72" s="132">
        <f t="shared" si="3"/>
        <v>-0.1</v>
      </c>
      <c r="O72" s="133" t="str">
        <f t="shared" si="57"/>
        <v>지연</v>
      </c>
      <c r="P72" s="104"/>
      <c r="Q72" s="104"/>
      <c r="R72" s="104"/>
      <c r="S72" s="104"/>
      <c r="T72" s="94"/>
      <c r="U72" s="134" t="str">
        <f t="shared" si="37"/>
        <v/>
      </c>
      <c r="V72" s="253">
        <f>NETWORKDAYS(P72,Q72,진행현황_전체!C$59:C$77)</f>
        <v>0</v>
      </c>
      <c r="W72" s="135">
        <f t="shared" si="58"/>
        <v>0</v>
      </c>
      <c r="X72" s="136">
        <f t="shared" si="58"/>
        <v>0</v>
      </c>
      <c r="Y72" s="136">
        <f t="shared" si="58"/>
        <v>0</v>
      </c>
      <c r="Z72" s="136">
        <f t="shared" si="58"/>
        <v>0</v>
      </c>
      <c r="AA72" s="137">
        <f t="shared" si="58"/>
        <v>0</v>
      </c>
      <c r="AB72" s="138">
        <f t="shared" si="58"/>
        <v>0</v>
      </c>
      <c r="AC72" s="136">
        <f t="shared" si="58"/>
        <v>0</v>
      </c>
      <c r="AD72" s="136">
        <f t="shared" si="58"/>
        <v>0</v>
      </c>
      <c r="AE72" s="137">
        <f t="shared" si="58"/>
        <v>0</v>
      </c>
      <c r="AF72" s="135">
        <f t="shared" si="58"/>
        <v>0</v>
      </c>
      <c r="AG72" s="136">
        <f t="shared" si="58"/>
        <v>0</v>
      </c>
      <c r="AH72" s="136">
        <f t="shared" si="58"/>
        <v>0</v>
      </c>
      <c r="AI72" s="137">
        <f t="shared" si="58"/>
        <v>0</v>
      </c>
      <c r="AJ72" s="135">
        <f t="shared" si="58"/>
        <v>0</v>
      </c>
      <c r="AK72" s="138">
        <f t="shared" si="58"/>
        <v>0</v>
      </c>
      <c r="AL72" s="136">
        <f t="shared" si="58"/>
        <v>0</v>
      </c>
      <c r="AM72" s="136">
        <f t="shared" si="58"/>
        <v>0</v>
      </c>
      <c r="AN72" s="194">
        <f t="shared" si="58"/>
        <v>0</v>
      </c>
      <c r="AO72" s="138">
        <f t="shared" si="58"/>
        <v>0</v>
      </c>
      <c r="AP72" s="136">
        <f t="shared" si="58"/>
        <v>0</v>
      </c>
      <c r="AQ72" s="136">
        <f t="shared" si="58"/>
        <v>0</v>
      </c>
      <c r="AR72" s="137">
        <f t="shared" si="59"/>
        <v>0</v>
      </c>
      <c r="AS72" s="135">
        <f t="shared" si="59"/>
        <v>0</v>
      </c>
      <c r="AT72" s="136">
        <f t="shared" si="59"/>
        <v>0</v>
      </c>
      <c r="AU72" s="136">
        <f t="shared" si="59"/>
        <v>0</v>
      </c>
      <c r="AV72" s="137">
        <f t="shared" si="59"/>
        <v>0</v>
      </c>
      <c r="AW72" s="135">
        <f t="shared" si="59"/>
        <v>0</v>
      </c>
      <c r="AX72" s="136">
        <f t="shared" si="59"/>
        <v>0</v>
      </c>
      <c r="AY72" s="136">
        <f t="shared" si="59"/>
        <v>0</v>
      </c>
      <c r="AZ72" s="136">
        <f t="shared" si="59"/>
        <v>0</v>
      </c>
      <c r="BA72" s="137">
        <f t="shared" si="59"/>
        <v>0</v>
      </c>
      <c r="BB72" s="138">
        <f t="shared" si="59"/>
        <v>0</v>
      </c>
      <c r="BC72" s="136">
        <f t="shared" si="59"/>
        <v>0</v>
      </c>
      <c r="BD72" s="136">
        <f t="shared" si="59"/>
        <v>0</v>
      </c>
      <c r="BE72" s="137">
        <f t="shared" si="59"/>
        <v>0</v>
      </c>
      <c r="BF72" s="135">
        <f t="shared" si="59"/>
        <v>0</v>
      </c>
      <c r="BG72" s="136">
        <f t="shared" si="59"/>
        <v>0</v>
      </c>
      <c r="BH72" s="136">
        <f t="shared" si="60"/>
        <v>0</v>
      </c>
      <c r="BI72" s="137">
        <f t="shared" si="60"/>
        <v>0</v>
      </c>
      <c r="BJ72" s="138">
        <f t="shared" si="60"/>
        <v>0</v>
      </c>
      <c r="BK72" s="136">
        <f t="shared" si="60"/>
        <v>0</v>
      </c>
      <c r="BL72" s="136">
        <f t="shared" si="60"/>
        <v>0</v>
      </c>
      <c r="BM72" s="136">
        <f t="shared" si="60"/>
        <v>0</v>
      </c>
      <c r="BN72" s="137">
        <f t="shared" si="60"/>
        <v>0</v>
      </c>
      <c r="BO72" s="138">
        <f t="shared" si="60"/>
        <v>0</v>
      </c>
      <c r="BP72" s="136">
        <f t="shared" si="60"/>
        <v>0</v>
      </c>
      <c r="BQ72" s="136">
        <f t="shared" si="60"/>
        <v>0</v>
      </c>
      <c r="BR72" s="137">
        <f t="shared" si="60"/>
        <v>0</v>
      </c>
      <c r="BS72" s="138">
        <f t="shared" si="60"/>
        <v>0</v>
      </c>
      <c r="BT72" s="136">
        <f t="shared" si="60"/>
        <v>0</v>
      </c>
      <c r="BU72" s="136">
        <f t="shared" si="60"/>
        <v>0</v>
      </c>
      <c r="BV72" s="136">
        <f t="shared" si="60"/>
        <v>0</v>
      </c>
      <c r="BW72" s="137">
        <f t="shared" si="60"/>
        <v>0</v>
      </c>
      <c r="BX72" s="138">
        <f t="shared" si="60"/>
        <v>0</v>
      </c>
      <c r="BY72" s="136">
        <f t="shared" si="60"/>
        <v>0</v>
      </c>
      <c r="BZ72" s="136">
        <f t="shared" si="60"/>
        <v>0</v>
      </c>
      <c r="CA72" s="137">
        <f t="shared" si="60"/>
        <v>0</v>
      </c>
      <c r="CB72" s="135">
        <f t="shared" si="60"/>
        <v>0</v>
      </c>
      <c r="CC72" s="136">
        <f t="shared" si="60"/>
        <v>0</v>
      </c>
      <c r="CD72" s="136">
        <f t="shared" si="60"/>
        <v>0</v>
      </c>
      <c r="CE72" s="137">
        <f t="shared" si="60"/>
        <v>0</v>
      </c>
    </row>
    <row r="73" spans="1:83">
      <c r="A73" s="130" t="s">
        <v>32</v>
      </c>
      <c r="B73" s="95"/>
      <c r="C73" s="96"/>
      <c r="D73" s="96"/>
      <c r="E73" s="96"/>
      <c r="F73" s="96"/>
      <c r="G73" s="96"/>
      <c r="H73" s="97"/>
      <c r="I73" s="94">
        <v>10</v>
      </c>
      <c r="J73" s="131">
        <f t="shared" si="54"/>
        <v>1</v>
      </c>
      <c r="K73" s="101">
        <v>0</v>
      </c>
      <c r="L73" s="132">
        <f t="shared" si="55"/>
        <v>0.1</v>
      </c>
      <c r="M73" s="132">
        <f t="shared" si="56"/>
        <v>0</v>
      </c>
      <c r="N73" s="132">
        <f t="shared" si="3"/>
        <v>-0.1</v>
      </c>
      <c r="O73" s="133" t="str">
        <f t="shared" si="57"/>
        <v>지연</v>
      </c>
      <c r="P73" s="104"/>
      <c r="Q73" s="104"/>
      <c r="R73" s="104"/>
      <c r="S73" s="104"/>
      <c r="T73" s="130"/>
      <c r="U73" s="134" t="str">
        <f t="shared" ref="U73:U97" si="61">IF(ISBLANK(T73),"",(DAYS360(VLOOKUP(T73,$A$9:$Q$97,15,FALSE),P73)-1))</f>
        <v/>
      </c>
      <c r="V73" s="253">
        <f>NETWORKDAYS(P73,Q73,진행현황_전체!C$59:C$77)</f>
        <v>0</v>
      </c>
      <c r="W73" s="135">
        <f t="shared" si="58"/>
        <v>0</v>
      </c>
      <c r="X73" s="136">
        <f t="shared" si="58"/>
        <v>0</v>
      </c>
      <c r="Y73" s="136">
        <f t="shared" si="58"/>
        <v>0</v>
      </c>
      <c r="Z73" s="136">
        <f t="shared" si="58"/>
        <v>0</v>
      </c>
      <c r="AA73" s="137">
        <f t="shared" si="58"/>
        <v>0</v>
      </c>
      <c r="AB73" s="138">
        <f t="shared" si="58"/>
        <v>0</v>
      </c>
      <c r="AC73" s="136">
        <f t="shared" si="58"/>
        <v>0</v>
      </c>
      <c r="AD73" s="136">
        <f t="shared" si="58"/>
        <v>0</v>
      </c>
      <c r="AE73" s="137">
        <f t="shared" si="58"/>
        <v>0</v>
      </c>
      <c r="AF73" s="135">
        <f t="shared" si="58"/>
        <v>0</v>
      </c>
      <c r="AG73" s="136">
        <f t="shared" si="58"/>
        <v>0</v>
      </c>
      <c r="AH73" s="136">
        <f t="shared" si="58"/>
        <v>0</v>
      </c>
      <c r="AI73" s="137">
        <f t="shared" si="58"/>
        <v>0</v>
      </c>
      <c r="AJ73" s="135">
        <f t="shared" si="58"/>
        <v>0</v>
      </c>
      <c r="AK73" s="138">
        <f t="shared" si="58"/>
        <v>0</v>
      </c>
      <c r="AL73" s="136">
        <f t="shared" si="58"/>
        <v>0</v>
      </c>
      <c r="AM73" s="136">
        <f t="shared" si="58"/>
        <v>0</v>
      </c>
      <c r="AN73" s="194">
        <f t="shared" si="58"/>
        <v>0</v>
      </c>
      <c r="AO73" s="138">
        <f t="shared" si="58"/>
        <v>0</v>
      </c>
      <c r="AP73" s="136">
        <f t="shared" si="58"/>
        <v>0</v>
      </c>
      <c r="AQ73" s="136">
        <f t="shared" si="58"/>
        <v>0</v>
      </c>
      <c r="AR73" s="137">
        <f t="shared" si="59"/>
        <v>0</v>
      </c>
      <c r="AS73" s="135">
        <f t="shared" si="59"/>
        <v>0</v>
      </c>
      <c r="AT73" s="136">
        <f t="shared" si="59"/>
        <v>0</v>
      </c>
      <c r="AU73" s="136">
        <f t="shared" si="59"/>
        <v>0</v>
      </c>
      <c r="AV73" s="137">
        <f t="shared" si="59"/>
        <v>0</v>
      </c>
      <c r="AW73" s="135">
        <f t="shared" si="59"/>
        <v>0</v>
      </c>
      <c r="AX73" s="136">
        <f t="shared" si="59"/>
        <v>0</v>
      </c>
      <c r="AY73" s="136">
        <f t="shared" si="59"/>
        <v>0</v>
      </c>
      <c r="AZ73" s="136">
        <f t="shared" si="59"/>
        <v>0</v>
      </c>
      <c r="BA73" s="137">
        <f t="shared" si="59"/>
        <v>0</v>
      </c>
      <c r="BB73" s="138">
        <f t="shared" si="59"/>
        <v>0</v>
      </c>
      <c r="BC73" s="136">
        <f t="shared" si="59"/>
        <v>0</v>
      </c>
      <c r="BD73" s="136">
        <f t="shared" si="59"/>
        <v>0</v>
      </c>
      <c r="BE73" s="137">
        <f t="shared" si="59"/>
        <v>0</v>
      </c>
      <c r="BF73" s="135">
        <f t="shared" si="59"/>
        <v>0</v>
      </c>
      <c r="BG73" s="136">
        <f t="shared" si="59"/>
        <v>0</v>
      </c>
      <c r="BH73" s="136">
        <f t="shared" si="60"/>
        <v>0</v>
      </c>
      <c r="BI73" s="137">
        <f t="shared" si="60"/>
        <v>0</v>
      </c>
      <c r="BJ73" s="138">
        <f t="shared" si="60"/>
        <v>0</v>
      </c>
      <c r="BK73" s="136">
        <f t="shared" si="60"/>
        <v>0</v>
      </c>
      <c r="BL73" s="136">
        <f t="shared" si="60"/>
        <v>0</v>
      </c>
      <c r="BM73" s="136">
        <f t="shared" si="60"/>
        <v>0</v>
      </c>
      <c r="BN73" s="137">
        <f t="shared" si="60"/>
        <v>0</v>
      </c>
      <c r="BO73" s="138">
        <f t="shared" si="60"/>
        <v>0</v>
      </c>
      <c r="BP73" s="136">
        <f t="shared" si="60"/>
        <v>0</v>
      </c>
      <c r="BQ73" s="136">
        <f t="shared" si="60"/>
        <v>0</v>
      </c>
      <c r="BR73" s="137">
        <f t="shared" si="60"/>
        <v>0</v>
      </c>
      <c r="BS73" s="138">
        <f t="shared" si="60"/>
        <v>0</v>
      </c>
      <c r="BT73" s="136">
        <f t="shared" si="60"/>
        <v>0</v>
      </c>
      <c r="BU73" s="136">
        <f t="shared" si="60"/>
        <v>0</v>
      </c>
      <c r="BV73" s="136">
        <f t="shared" si="60"/>
        <v>0</v>
      </c>
      <c r="BW73" s="137">
        <f t="shared" si="60"/>
        <v>0</v>
      </c>
      <c r="BX73" s="138">
        <f t="shared" si="60"/>
        <v>0</v>
      </c>
      <c r="BY73" s="136">
        <f t="shared" si="60"/>
        <v>0</v>
      </c>
      <c r="BZ73" s="136">
        <f t="shared" si="60"/>
        <v>0</v>
      </c>
      <c r="CA73" s="137">
        <f t="shared" si="60"/>
        <v>0</v>
      </c>
      <c r="CB73" s="135">
        <f t="shared" si="60"/>
        <v>0</v>
      </c>
      <c r="CC73" s="136">
        <f t="shared" si="60"/>
        <v>0</v>
      </c>
      <c r="CD73" s="136">
        <f t="shared" si="60"/>
        <v>0</v>
      </c>
      <c r="CE73" s="137">
        <f t="shared" si="60"/>
        <v>0</v>
      </c>
    </row>
    <row r="74" spans="1:83">
      <c r="A74" s="130" t="s">
        <v>33</v>
      </c>
      <c r="B74" s="95"/>
      <c r="C74" s="96"/>
      <c r="D74" s="96"/>
      <c r="E74" s="96"/>
      <c r="F74" s="96"/>
      <c r="G74" s="96"/>
      <c r="H74" s="97"/>
      <c r="I74" s="94">
        <v>10</v>
      </c>
      <c r="J74" s="131">
        <f t="shared" si="54"/>
        <v>1</v>
      </c>
      <c r="K74" s="101">
        <v>0</v>
      </c>
      <c r="L74" s="132">
        <f t="shared" si="55"/>
        <v>0.1</v>
      </c>
      <c r="M74" s="132">
        <f t="shared" si="56"/>
        <v>0</v>
      </c>
      <c r="N74" s="132">
        <f t="shared" si="3"/>
        <v>-0.1</v>
      </c>
      <c r="O74" s="133" t="str">
        <f t="shared" si="57"/>
        <v>지연</v>
      </c>
      <c r="P74" s="104"/>
      <c r="Q74" s="104"/>
      <c r="R74" s="104"/>
      <c r="S74" s="104"/>
      <c r="T74" s="94"/>
      <c r="U74" s="134" t="str">
        <f t="shared" si="61"/>
        <v/>
      </c>
      <c r="V74" s="253">
        <f>NETWORKDAYS(P74,Q74,진행현황_전체!C$59:C$77)</f>
        <v>0</v>
      </c>
      <c r="W74" s="135">
        <f t="shared" si="58"/>
        <v>0</v>
      </c>
      <c r="X74" s="136">
        <f t="shared" si="58"/>
        <v>0</v>
      </c>
      <c r="Y74" s="136">
        <f t="shared" si="58"/>
        <v>0</v>
      </c>
      <c r="Z74" s="136">
        <f t="shared" si="58"/>
        <v>0</v>
      </c>
      <c r="AA74" s="137">
        <f t="shared" si="58"/>
        <v>0</v>
      </c>
      <c r="AB74" s="138">
        <f t="shared" si="58"/>
        <v>0</v>
      </c>
      <c r="AC74" s="136">
        <f t="shared" si="58"/>
        <v>0</v>
      </c>
      <c r="AD74" s="136">
        <f t="shared" si="58"/>
        <v>0</v>
      </c>
      <c r="AE74" s="137">
        <f t="shared" si="58"/>
        <v>0</v>
      </c>
      <c r="AF74" s="135">
        <f t="shared" si="58"/>
        <v>0</v>
      </c>
      <c r="AG74" s="136">
        <f t="shared" si="58"/>
        <v>0</v>
      </c>
      <c r="AH74" s="136">
        <f t="shared" si="58"/>
        <v>0</v>
      </c>
      <c r="AI74" s="137">
        <f t="shared" si="58"/>
        <v>0</v>
      </c>
      <c r="AJ74" s="135">
        <f t="shared" si="58"/>
        <v>0</v>
      </c>
      <c r="AK74" s="138">
        <f t="shared" si="58"/>
        <v>0</v>
      </c>
      <c r="AL74" s="136">
        <f t="shared" si="58"/>
        <v>0</v>
      </c>
      <c r="AM74" s="136">
        <f t="shared" si="58"/>
        <v>0</v>
      </c>
      <c r="AN74" s="194">
        <f t="shared" si="58"/>
        <v>0</v>
      </c>
      <c r="AO74" s="138">
        <f t="shared" si="58"/>
        <v>0</v>
      </c>
      <c r="AP74" s="136">
        <f t="shared" si="58"/>
        <v>0</v>
      </c>
      <c r="AQ74" s="136">
        <f t="shared" si="58"/>
        <v>0</v>
      </c>
      <c r="AR74" s="137">
        <f t="shared" si="59"/>
        <v>0</v>
      </c>
      <c r="AS74" s="135">
        <f t="shared" si="59"/>
        <v>0</v>
      </c>
      <c r="AT74" s="136">
        <f t="shared" si="59"/>
        <v>0</v>
      </c>
      <c r="AU74" s="136">
        <f t="shared" si="59"/>
        <v>0</v>
      </c>
      <c r="AV74" s="137">
        <f t="shared" si="59"/>
        <v>0</v>
      </c>
      <c r="AW74" s="135">
        <f t="shared" si="59"/>
        <v>0</v>
      </c>
      <c r="AX74" s="136">
        <f t="shared" si="59"/>
        <v>0</v>
      </c>
      <c r="AY74" s="136">
        <f t="shared" si="59"/>
        <v>0</v>
      </c>
      <c r="AZ74" s="136">
        <f t="shared" si="59"/>
        <v>0</v>
      </c>
      <c r="BA74" s="137">
        <f t="shared" si="59"/>
        <v>0</v>
      </c>
      <c r="BB74" s="138">
        <f t="shared" si="59"/>
        <v>0</v>
      </c>
      <c r="BC74" s="136">
        <f t="shared" si="59"/>
        <v>0</v>
      </c>
      <c r="BD74" s="136">
        <f t="shared" si="59"/>
        <v>0</v>
      </c>
      <c r="BE74" s="137">
        <f t="shared" si="59"/>
        <v>0</v>
      </c>
      <c r="BF74" s="135">
        <f t="shared" si="59"/>
        <v>0</v>
      </c>
      <c r="BG74" s="136">
        <f t="shared" si="59"/>
        <v>0</v>
      </c>
      <c r="BH74" s="136">
        <f t="shared" si="60"/>
        <v>0</v>
      </c>
      <c r="BI74" s="137">
        <f t="shared" si="60"/>
        <v>0</v>
      </c>
      <c r="BJ74" s="138">
        <f t="shared" si="60"/>
        <v>0</v>
      </c>
      <c r="BK74" s="136">
        <f t="shared" si="60"/>
        <v>0</v>
      </c>
      <c r="BL74" s="136">
        <f t="shared" si="60"/>
        <v>0</v>
      </c>
      <c r="BM74" s="136">
        <f t="shared" si="60"/>
        <v>0</v>
      </c>
      <c r="BN74" s="137">
        <f t="shared" si="60"/>
        <v>0</v>
      </c>
      <c r="BO74" s="138">
        <f t="shared" si="60"/>
        <v>0</v>
      </c>
      <c r="BP74" s="136">
        <f t="shared" si="60"/>
        <v>0</v>
      </c>
      <c r="BQ74" s="136">
        <f t="shared" si="60"/>
        <v>0</v>
      </c>
      <c r="BR74" s="137">
        <f t="shared" si="60"/>
        <v>0</v>
      </c>
      <c r="BS74" s="138">
        <f t="shared" si="60"/>
        <v>0</v>
      </c>
      <c r="BT74" s="136">
        <f t="shared" si="60"/>
        <v>0</v>
      </c>
      <c r="BU74" s="136">
        <f t="shared" si="60"/>
        <v>0</v>
      </c>
      <c r="BV74" s="136">
        <f t="shared" si="60"/>
        <v>0</v>
      </c>
      <c r="BW74" s="137">
        <f t="shared" si="60"/>
        <v>0</v>
      </c>
      <c r="BX74" s="138">
        <f t="shared" si="60"/>
        <v>0</v>
      </c>
      <c r="BY74" s="136">
        <f t="shared" si="60"/>
        <v>0</v>
      </c>
      <c r="BZ74" s="136">
        <f t="shared" si="60"/>
        <v>0</v>
      </c>
      <c r="CA74" s="137">
        <f t="shared" si="60"/>
        <v>0</v>
      </c>
      <c r="CB74" s="135">
        <f t="shared" si="60"/>
        <v>0</v>
      </c>
      <c r="CC74" s="136">
        <f t="shared" si="60"/>
        <v>0</v>
      </c>
      <c r="CD74" s="136">
        <f t="shared" si="60"/>
        <v>0</v>
      </c>
      <c r="CE74" s="137">
        <f t="shared" si="60"/>
        <v>0</v>
      </c>
    </row>
    <row r="75" spans="1:83" ht="17.25" thickBot="1">
      <c r="A75" s="130" t="s">
        <v>34</v>
      </c>
      <c r="B75" s="95"/>
      <c r="C75" s="96"/>
      <c r="D75" s="96"/>
      <c r="E75" s="96"/>
      <c r="F75" s="96"/>
      <c r="G75" s="96"/>
      <c r="H75" s="97"/>
      <c r="I75" s="94">
        <v>10</v>
      </c>
      <c r="J75" s="131">
        <f t="shared" si="54"/>
        <v>1</v>
      </c>
      <c r="K75" s="101">
        <v>0</v>
      </c>
      <c r="L75" s="132">
        <f t="shared" si="55"/>
        <v>0.1</v>
      </c>
      <c r="M75" s="132">
        <f t="shared" si="56"/>
        <v>0</v>
      </c>
      <c r="N75" s="132">
        <f t="shared" si="3"/>
        <v>-0.1</v>
      </c>
      <c r="O75" s="133" t="str">
        <f t="shared" si="57"/>
        <v>지연</v>
      </c>
      <c r="P75" s="104"/>
      <c r="Q75" s="104"/>
      <c r="R75" s="104"/>
      <c r="S75" s="104"/>
      <c r="T75" s="94"/>
      <c r="U75" s="134" t="str">
        <f t="shared" si="61"/>
        <v/>
      </c>
      <c r="V75" s="253">
        <f>NETWORKDAYS(P75,Q75,진행현황_전체!C$59:C$77)</f>
        <v>0</v>
      </c>
      <c r="W75" s="135">
        <f t="shared" si="58"/>
        <v>0</v>
      </c>
      <c r="X75" s="136">
        <f t="shared" si="58"/>
        <v>0</v>
      </c>
      <c r="Y75" s="136">
        <f t="shared" si="58"/>
        <v>0</v>
      </c>
      <c r="Z75" s="136">
        <f t="shared" si="58"/>
        <v>0</v>
      </c>
      <c r="AA75" s="137">
        <f t="shared" si="58"/>
        <v>0</v>
      </c>
      <c r="AB75" s="138">
        <f t="shared" si="58"/>
        <v>0</v>
      </c>
      <c r="AC75" s="136">
        <f t="shared" si="58"/>
        <v>0</v>
      </c>
      <c r="AD75" s="136">
        <f t="shared" si="58"/>
        <v>0</v>
      </c>
      <c r="AE75" s="137">
        <f t="shared" si="58"/>
        <v>0</v>
      </c>
      <c r="AF75" s="135">
        <f t="shared" si="58"/>
        <v>0</v>
      </c>
      <c r="AG75" s="136">
        <f t="shared" si="58"/>
        <v>0</v>
      </c>
      <c r="AH75" s="136">
        <f t="shared" si="58"/>
        <v>0</v>
      </c>
      <c r="AI75" s="137">
        <f t="shared" si="58"/>
        <v>0</v>
      </c>
      <c r="AJ75" s="135">
        <f t="shared" si="58"/>
        <v>0</v>
      </c>
      <c r="AK75" s="138">
        <f t="shared" si="58"/>
        <v>0</v>
      </c>
      <c r="AL75" s="136">
        <f t="shared" si="58"/>
        <v>0</v>
      </c>
      <c r="AM75" s="136">
        <f t="shared" si="58"/>
        <v>0</v>
      </c>
      <c r="AN75" s="194">
        <f t="shared" si="58"/>
        <v>0</v>
      </c>
      <c r="AO75" s="138">
        <f t="shared" si="58"/>
        <v>0</v>
      </c>
      <c r="AP75" s="136">
        <f t="shared" si="58"/>
        <v>0</v>
      </c>
      <c r="AQ75" s="136">
        <f t="shared" si="58"/>
        <v>0</v>
      </c>
      <c r="AR75" s="137">
        <f t="shared" si="59"/>
        <v>0</v>
      </c>
      <c r="AS75" s="135">
        <f t="shared" si="59"/>
        <v>0</v>
      </c>
      <c r="AT75" s="136">
        <f t="shared" si="59"/>
        <v>0</v>
      </c>
      <c r="AU75" s="136">
        <f t="shared" si="59"/>
        <v>0</v>
      </c>
      <c r="AV75" s="137">
        <f t="shared" si="59"/>
        <v>0</v>
      </c>
      <c r="AW75" s="135">
        <f t="shared" si="59"/>
        <v>0</v>
      </c>
      <c r="AX75" s="136">
        <f t="shared" si="59"/>
        <v>0</v>
      </c>
      <c r="AY75" s="136">
        <f t="shared" si="59"/>
        <v>0</v>
      </c>
      <c r="AZ75" s="136">
        <f t="shared" si="59"/>
        <v>0</v>
      </c>
      <c r="BA75" s="137">
        <f t="shared" si="59"/>
        <v>0</v>
      </c>
      <c r="BB75" s="138">
        <f t="shared" si="59"/>
        <v>0</v>
      </c>
      <c r="BC75" s="136">
        <f t="shared" si="59"/>
        <v>0</v>
      </c>
      <c r="BD75" s="136">
        <f t="shared" si="59"/>
        <v>0</v>
      </c>
      <c r="BE75" s="137">
        <f t="shared" si="59"/>
        <v>0</v>
      </c>
      <c r="BF75" s="135">
        <f t="shared" si="59"/>
        <v>0</v>
      </c>
      <c r="BG75" s="136">
        <f t="shared" si="59"/>
        <v>0</v>
      </c>
      <c r="BH75" s="136">
        <f t="shared" si="60"/>
        <v>0</v>
      </c>
      <c r="BI75" s="137">
        <f t="shared" si="60"/>
        <v>0</v>
      </c>
      <c r="BJ75" s="138">
        <f t="shared" si="60"/>
        <v>0</v>
      </c>
      <c r="BK75" s="136">
        <f t="shared" si="60"/>
        <v>0</v>
      </c>
      <c r="BL75" s="136">
        <f t="shared" si="60"/>
        <v>0</v>
      </c>
      <c r="BM75" s="136">
        <f t="shared" si="60"/>
        <v>0</v>
      </c>
      <c r="BN75" s="137">
        <f t="shared" si="60"/>
        <v>0</v>
      </c>
      <c r="BO75" s="138">
        <f t="shared" si="60"/>
        <v>0</v>
      </c>
      <c r="BP75" s="136">
        <f t="shared" si="60"/>
        <v>0</v>
      </c>
      <c r="BQ75" s="136">
        <f t="shared" si="60"/>
        <v>0</v>
      </c>
      <c r="BR75" s="137">
        <f t="shared" si="60"/>
        <v>0</v>
      </c>
      <c r="BS75" s="138">
        <f t="shared" si="60"/>
        <v>0</v>
      </c>
      <c r="BT75" s="136">
        <f t="shared" si="60"/>
        <v>0</v>
      </c>
      <c r="BU75" s="136">
        <f t="shared" si="60"/>
        <v>0</v>
      </c>
      <c r="BV75" s="136">
        <f t="shared" si="60"/>
        <v>0</v>
      </c>
      <c r="BW75" s="137">
        <f t="shared" si="60"/>
        <v>0</v>
      </c>
      <c r="BX75" s="138">
        <f t="shared" si="60"/>
        <v>0</v>
      </c>
      <c r="BY75" s="136">
        <f t="shared" si="60"/>
        <v>0</v>
      </c>
      <c r="BZ75" s="136">
        <f t="shared" si="60"/>
        <v>0</v>
      </c>
      <c r="CA75" s="137">
        <f t="shared" si="60"/>
        <v>0</v>
      </c>
      <c r="CB75" s="135">
        <f t="shared" si="60"/>
        <v>0</v>
      </c>
      <c r="CC75" s="136">
        <f t="shared" si="60"/>
        <v>0</v>
      </c>
      <c r="CD75" s="136">
        <f t="shared" si="60"/>
        <v>0</v>
      </c>
      <c r="CE75" s="137">
        <f t="shared" si="60"/>
        <v>0</v>
      </c>
    </row>
    <row r="76" spans="1:83" ht="17.25" thickBot="1">
      <c r="A76" s="139" t="s">
        <v>80</v>
      </c>
      <c r="B76" s="114" t="str">
        <f>진행현황_템플릿!H15</f>
        <v>단계7</v>
      </c>
      <c r="C76" s="115"/>
      <c r="D76" s="115"/>
      <c r="E76" s="115"/>
      <c r="F76" s="115"/>
      <c r="G76" s="115"/>
      <c r="H76" s="116">
        <f>SUM(I77:I86)</f>
        <v>100</v>
      </c>
      <c r="I76" s="117">
        <f>진행현황_템플릿!H16</f>
        <v>5</v>
      </c>
      <c r="J76" s="118">
        <f>SUM(L77:L86)</f>
        <v>0.99999999999999989</v>
      </c>
      <c r="K76" s="119">
        <f>SUM(M77:M86)</f>
        <v>0</v>
      </c>
      <c r="L76" s="120">
        <f>SUM(L77:L86)*I76</f>
        <v>4.9999999999999991</v>
      </c>
      <c r="M76" s="120">
        <f>SUM(M77:M86)*I76</f>
        <v>0</v>
      </c>
      <c r="N76" s="120">
        <f t="shared" ref="N76:N97" si="62">M76-L76</f>
        <v>-4.9999999999999991</v>
      </c>
      <c r="O76" s="121"/>
      <c r="P76" s="122">
        <f>MIN(P77:P86)</f>
        <v>0</v>
      </c>
      <c r="Q76" s="122">
        <f>MAX(Q77:Q86)</f>
        <v>0</v>
      </c>
      <c r="R76" s="122">
        <f>MIN(R77:R86)</f>
        <v>0</v>
      </c>
      <c r="S76" s="122">
        <f>MAX(S77:S86)</f>
        <v>0</v>
      </c>
      <c r="T76" s="113"/>
      <c r="U76" s="123" t="str">
        <f t="shared" si="61"/>
        <v/>
      </c>
      <c r="V76" s="124">
        <f>NETWORKDAYS(P76,Q76,진행현황_전체!C$59:C$77)</f>
        <v>0</v>
      </c>
      <c r="W76" s="125"/>
      <c r="X76" s="126"/>
      <c r="Y76" s="126"/>
      <c r="Z76" s="126"/>
      <c r="AA76" s="127"/>
      <c r="AB76" s="129"/>
      <c r="AC76" s="126"/>
      <c r="AD76" s="126"/>
      <c r="AE76" s="127"/>
      <c r="AF76" s="128"/>
      <c r="AG76" s="126"/>
      <c r="AH76" s="126"/>
      <c r="AI76" s="127"/>
      <c r="AJ76" s="128"/>
      <c r="AK76" s="129"/>
      <c r="AL76" s="126"/>
      <c r="AM76" s="126"/>
      <c r="AN76" s="193"/>
      <c r="AO76" s="129"/>
      <c r="AP76" s="126"/>
      <c r="AQ76" s="126"/>
      <c r="AR76" s="127"/>
      <c r="AS76" s="128"/>
      <c r="AT76" s="126"/>
      <c r="AU76" s="126"/>
      <c r="AV76" s="127"/>
      <c r="AW76" s="125"/>
      <c r="AX76" s="126"/>
      <c r="AY76" s="126"/>
      <c r="AZ76" s="126"/>
      <c r="BA76" s="127"/>
      <c r="BB76" s="129"/>
      <c r="BC76" s="126"/>
      <c r="BD76" s="126"/>
      <c r="BE76" s="127"/>
      <c r="BF76" s="128"/>
      <c r="BG76" s="126"/>
      <c r="BH76" s="126"/>
      <c r="BI76" s="127"/>
      <c r="BJ76" s="129"/>
      <c r="BK76" s="126"/>
      <c r="BL76" s="126"/>
      <c r="BM76" s="126"/>
      <c r="BN76" s="127"/>
      <c r="BO76" s="129"/>
      <c r="BP76" s="126"/>
      <c r="BQ76" s="126"/>
      <c r="BR76" s="127"/>
      <c r="BS76" s="129"/>
      <c r="BT76" s="126"/>
      <c r="BU76" s="126"/>
      <c r="BV76" s="126"/>
      <c r="BW76" s="127"/>
      <c r="BX76" s="129"/>
      <c r="BY76" s="126"/>
      <c r="BZ76" s="126"/>
      <c r="CA76" s="127"/>
      <c r="CB76" s="128"/>
      <c r="CC76" s="126"/>
      <c r="CD76" s="126"/>
      <c r="CE76" s="127"/>
    </row>
    <row r="77" spans="1:83">
      <c r="A77" s="130" t="s">
        <v>35</v>
      </c>
      <c r="B77" s="95"/>
      <c r="C77" s="96"/>
      <c r="D77" s="96"/>
      <c r="E77" s="96"/>
      <c r="F77" s="96"/>
      <c r="G77" s="96"/>
      <c r="H77" s="97"/>
      <c r="I77" s="94">
        <v>10</v>
      </c>
      <c r="J77" s="131">
        <f t="shared" ref="J77:J86" si="63">IF(CheckDay&gt;=Q77,1,IF(CheckDay&lt;P77, 0,DAYS360(P77,CheckDay+1)/Y77))</f>
        <v>1</v>
      </c>
      <c r="K77" s="101">
        <v>0</v>
      </c>
      <c r="L77" s="132">
        <f t="shared" ref="L77:L86" si="64">I77*J77/100</f>
        <v>0.1</v>
      </c>
      <c r="M77" s="132">
        <f t="shared" ref="M77:M86" si="65">I77*K77/100</f>
        <v>0</v>
      </c>
      <c r="N77" s="132">
        <f t="shared" si="62"/>
        <v>-0.1</v>
      </c>
      <c r="O77" s="133" t="str">
        <f t="shared" ref="O77:O86" si="66">IF(AND(K77=0%,N77=0),"",IF(N77&lt;0,"지연",IF(K77=100%,"종료","진행")))</f>
        <v>지연</v>
      </c>
      <c r="P77" s="104"/>
      <c r="Q77" s="104"/>
      <c r="R77" s="104"/>
      <c r="S77" s="104"/>
      <c r="T77" s="94"/>
      <c r="U77" s="134" t="str">
        <f t="shared" si="61"/>
        <v/>
      </c>
      <c r="V77" s="253">
        <f>NETWORKDAYS(P77,Q77,진행현황_전체!C$59:C$77)</f>
        <v>0</v>
      </c>
      <c r="W77" s="135">
        <f t="shared" ref="W77:AQ86" si="67">IF(OR((AND($P77&lt;=W$7,AND($Q77&lt;=W$8, $Q77&gt;=W$7))),(AND(AND($P77&gt;=W$7, $P77&lt;=W$8),$Q77&gt;=W$8)), AND($P77&gt;=W$7, $Q77&lt;=W$8), AND($P77&lt;=W$7,$Q77&gt;=W$8)),1,0)</f>
        <v>0</v>
      </c>
      <c r="X77" s="136">
        <f t="shared" si="67"/>
        <v>0</v>
      </c>
      <c r="Y77" s="136">
        <f t="shared" si="67"/>
        <v>0</v>
      </c>
      <c r="Z77" s="136">
        <f t="shared" si="67"/>
        <v>0</v>
      </c>
      <c r="AA77" s="137">
        <f t="shared" si="67"/>
        <v>0</v>
      </c>
      <c r="AB77" s="138">
        <f t="shared" si="67"/>
        <v>0</v>
      </c>
      <c r="AC77" s="136">
        <f t="shared" si="67"/>
        <v>0</v>
      </c>
      <c r="AD77" s="136">
        <f t="shared" si="67"/>
        <v>0</v>
      </c>
      <c r="AE77" s="137">
        <f t="shared" si="67"/>
        <v>0</v>
      </c>
      <c r="AF77" s="135">
        <f t="shared" si="67"/>
        <v>0</v>
      </c>
      <c r="AG77" s="136">
        <f t="shared" si="67"/>
        <v>0</v>
      </c>
      <c r="AH77" s="136">
        <f t="shared" si="67"/>
        <v>0</v>
      </c>
      <c r="AI77" s="137">
        <f t="shared" si="67"/>
        <v>0</v>
      </c>
      <c r="AJ77" s="135">
        <f t="shared" si="67"/>
        <v>0</v>
      </c>
      <c r="AK77" s="138">
        <f t="shared" si="67"/>
        <v>0</v>
      </c>
      <c r="AL77" s="136">
        <f t="shared" si="67"/>
        <v>0</v>
      </c>
      <c r="AM77" s="136">
        <f t="shared" si="67"/>
        <v>0</v>
      </c>
      <c r="AN77" s="194">
        <f t="shared" si="67"/>
        <v>0</v>
      </c>
      <c r="AO77" s="138">
        <f t="shared" si="67"/>
        <v>0</v>
      </c>
      <c r="AP77" s="136">
        <f t="shared" si="67"/>
        <v>0</v>
      </c>
      <c r="AQ77" s="136">
        <f t="shared" si="67"/>
        <v>0</v>
      </c>
      <c r="AR77" s="137">
        <f t="shared" ref="AR77:BG86" si="68">IF(OR((AND($P77&lt;=AR$7,AND($Q77&lt;=AR$8, $Q77&gt;=AR$7))),(AND(AND($P77&gt;=AR$7, $P77&lt;=AR$8),$Q77&gt;=AR$8)), AND($P77&gt;=AR$7, $Q77&lt;=AR$8), AND($P77&lt;=AR$7,$Q77&gt;=AR$8)),1,0)</f>
        <v>0</v>
      </c>
      <c r="AS77" s="135">
        <f t="shared" si="68"/>
        <v>0</v>
      </c>
      <c r="AT77" s="136">
        <f t="shared" si="68"/>
        <v>0</v>
      </c>
      <c r="AU77" s="136">
        <f t="shared" si="68"/>
        <v>0</v>
      </c>
      <c r="AV77" s="137">
        <f t="shared" si="68"/>
        <v>0</v>
      </c>
      <c r="AW77" s="135">
        <f t="shared" si="68"/>
        <v>0</v>
      </c>
      <c r="AX77" s="136">
        <f t="shared" si="68"/>
        <v>0</v>
      </c>
      <c r="AY77" s="136">
        <f t="shared" si="68"/>
        <v>0</v>
      </c>
      <c r="AZ77" s="136">
        <f t="shared" si="68"/>
        <v>0</v>
      </c>
      <c r="BA77" s="137">
        <f t="shared" si="68"/>
        <v>0</v>
      </c>
      <c r="BB77" s="138">
        <f t="shared" si="68"/>
        <v>0</v>
      </c>
      <c r="BC77" s="136">
        <f t="shared" si="68"/>
        <v>0</v>
      </c>
      <c r="BD77" s="136">
        <f t="shared" si="68"/>
        <v>0</v>
      </c>
      <c r="BE77" s="137">
        <f t="shared" si="68"/>
        <v>0</v>
      </c>
      <c r="BF77" s="135">
        <f t="shared" si="68"/>
        <v>0</v>
      </c>
      <c r="BG77" s="136">
        <f t="shared" si="68"/>
        <v>0</v>
      </c>
      <c r="BH77" s="136">
        <f t="shared" ref="BH77:CE86" si="69">IF(OR((AND($P77&lt;=BH$7,AND($Q77&lt;=BH$8, $Q77&gt;=BH$7))),(AND(AND($P77&gt;=BH$7, $P77&lt;=BH$8),$Q77&gt;=BH$8)), AND($P77&gt;=BH$7, $Q77&lt;=BH$8), AND($P77&lt;=BH$7,$Q77&gt;=BH$8)),1,0)</f>
        <v>0</v>
      </c>
      <c r="BI77" s="137">
        <f t="shared" si="69"/>
        <v>0</v>
      </c>
      <c r="BJ77" s="138">
        <f t="shared" si="69"/>
        <v>0</v>
      </c>
      <c r="BK77" s="136">
        <f t="shared" si="69"/>
        <v>0</v>
      </c>
      <c r="BL77" s="136">
        <f t="shared" si="69"/>
        <v>0</v>
      </c>
      <c r="BM77" s="136">
        <f t="shared" si="69"/>
        <v>0</v>
      </c>
      <c r="BN77" s="137">
        <f t="shared" si="69"/>
        <v>0</v>
      </c>
      <c r="BO77" s="138">
        <f t="shared" si="69"/>
        <v>0</v>
      </c>
      <c r="BP77" s="136">
        <f t="shared" si="69"/>
        <v>0</v>
      </c>
      <c r="BQ77" s="136">
        <f t="shared" si="69"/>
        <v>0</v>
      </c>
      <c r="BR77" s="137">
        <f t="shared" si="69"/>
        <v>0</v>
      </c>
      <c r="BS77" s="138">
        <f t="shared" si="69"/>
        <v>0</v>
      </c>
      <c r="BT77" s="136">
        <f t="shared" si="69"/>
        <v>0</v>
      </c>
      <c r="BU77" s="136">
        <f t="shared" si="69"/>
        <v>0</v>
      </c>
      <c r="BV77" s="136">
        <f t="shared" si="69"/>
        <v>0</v>
      </c>
      <c r="BW77" s="137">
        <f t="shared" si="69"/>
        <v>0</v>
      </c>
      <c r="BX77" s="138">
        <f t="shared" si="69"/>
        <v>0</v>
      </c>
      <c r="BY77" s="136">
        <f t="shared" si="69"/>
        <v>0</v>
      </c>
      <c r="BZ77" s="136">
        <f t="shared" si="69"/>
        <v>0</v>
      </c>
      <c r="CA77" s="137">
        <f t="shared" si="69"/>
        <v>0</v>
      </c>
      <c r="CB77" s="135">
        <f t="shared" si="69"/>
        <v>0</v>
      </c>
      <c r="CC77" s="136">
        <f t="shared" si="69"/>
        <v>0</v>
      </c>
      <c r="CD77" s="136">
        <f t="shared" si="69"/>
        <v>0</v>
      </c>
      <c r="CE77" s="137">
        <f t="shared" si="69"/>
        <v>0</v>
      </c>
    </row>
    <row r="78" spans="1:83">
      <c r="A78" s="130" t="s">
        <v>138</v>
      </c>
      <c r="B78" s="95"/>
      <c r="C78" s="96"/>
      <c r="D78" s="96"/>
      <c r="E78" s="96"/>
      <c r="F78" s="96"/>
      <c r="G78" s="96"/>
      <c r="H78" s="97"/>
      <c r="I78" s="94">
        <v>10</v>
      </c>
      <c r="J78" s="131">
        <f t="shared" si="63"/>
        <v>1</v>
      </c>
      <c r="K78" s="101">
        <v>0</v>
      </c>
      <c r="L78" s="132">
        <f t="shared" si="64"/>
        <v>0.1</v>
      </c>
      <c r="M78" s="132">
        <f t="shared" si="65"/>
        <v>0</v>
      </c>
      <c r="N78" s="132">
        <f t="shared" si="62"/>
        <v>-0.1</v>
      </c>
      <c r="O78" s="133" t="str">
        <f t="shared" si="66"/>
        <v>지연</v>
      </c>
      <c r="P78" s="104"/>
      <c r="Q78" s="104"/>
      <c r="R78" s="104"/>
      <c r="S78" s="104"/>
      <c r="T78" s="94"/>
      <c r="U78" s="134" t="str">
        <f t="shared" si="61"/>
        <v/>
      </c>
      <c r="V78" s="253">
        <f>NETWORKDAYS(P78,Q78,진행현황_전체!C$59:C$77)</f>
        <v>0</v>
      </c>
      <c r="W78" s="135">
        <f t="shared" si="67"/>
        <v>0</v>
      </c>
      <c r="X78" s="136">
        <f t="shared" si="67"/>
        <v>0</v>
      </c>
      <c r="Y78" s="136">
        <f t="shared" si="67"/>
        <v>0</v>
      </c>
      <c r="Z78" s="136">
        <f t="shared" si="67"/>
        <v>0</v>
      </c>
      <c r="AA78" s="137">
        <f t="shared" si="67"/>
        <v>0</v>
      </c>
      <c r="AB78" s="138">
        <f t="shared" si="67"/>
        <v>0</v>
      </c>
      <c r="AC78" s="136">
        <f t="shared" si="67"/>
        <v>0</v>
      </c>
      <c r="AD78" s="136">
        <f t="shared" si="67"/>
        <v>0</v>
      </c>
      <c r="AE78" s="137">
        <f t="shared" si="67"/>
        <v>0</v>
      </c>
      <c r="AF78" s="135">
        <f t="shared" si="67"/>
        <v>0</v>
      </c>
      <c r="AG78" s="136">
        <f t="shared" si="67"/>
        <v>0</v>
      </c>
      <c r="AH78" s="136">
        <f t="shared" si="67"/>
        <v>0</v>
      </c>
      <c r="AI78" s="137">
        <f t="shared" si="67"/>
        <v>0</v>
      </c>
      <c r="AJ78" s="135">
        <f t="shared" si="67"/>
        <v>0</v>
      </c>
      <c r="AK78" s="138">
        <f t="shared" si="67"/>
        <v>0</v>
      </c>
      <c r="AL78" s="136">
        <f t="shared" si="67"/>
        <v>0</v>
      </c>
      <c r="AM78" s="136">
        <f t="shared" si="67"/>
        <v>0</v>
      </c>
      <c r="AN78" s="194">
        <f t="shared" si="67"/>
        <v>0</v>
      </c>
      <c r="AO78" s="138">
        <f t="shared" si="67"/>
        <v>0</v>
      </c>
      <c r="AP78" s="136">
        <f t="shared" si="67"/>
        <v>0</v>
      </c>
      <c r="AQ78" s="136">
        <f t="shared" si="67"/>
        <v>0</v>
      </c>
      <c r="AR78" s="137">
        <f t="shared" si="68"/>
        <v>0</v>
      </c>
      <c r="AS78" s="135">
        <f t="shared" si="68"/>
        <v>0</v>
      </c>
      <c r="AT78" s="136">
        <f t="shared" si="68"/>
        <v>0</v>
      </c>
      <c r="AU78" s="136">
        <f t="shared" si="68"/>
        <v>0</v>
      </c>
      <c r="AV78" s="137">
        <f t="shared" si="68"/>
        <v>0</v>
      </c>
      <c r="AW78" s="135">
        <f t="shared" si="68"/>
        <v>0</v>
      </c>
      <c r="AX78" s="136">
        <f t="shared" si="68"/>
        <v>0</v>
      </c>
      <c r="AY78" s="136">
        <f t="shared" si="68"/>
        <v>0</v>
      </c>
      <c r="AZ78" s="136">
        <f t="shared" si="68"/>
        <v>0</v>
      </c>
      <c r="BA78" s="137">
        <f t="shared" si="68"/>
        <v>0</v>
      </c>
      <c r="BB78" s="138">
        <f t="shared" si="68"/>
        <v>0</v>
      </c>
      <c r="BC78" s="136">
        <f t="shared" si="68"/>
        <v>0</v>
      </c>
      <c r="BD78" s="136">
        <f t="shared" si="68"/>
        <v>0</v>
      </c>
      <c r="BE78" s="137">
        <f t="shared" si="68"/>
        <v>0</v>
      </c>
      <c r="BF78" s="135">
        <f t="shared" si="68"/>
        <v>0</v>
      </c>
      <c r="BG78" s="136">
        <f t="shared" si="68"/>
        <v>0</v>
      </c>
      <c r="BH78" s="136">
        <f t="shared" si="69"/>
        <v>0</v>
      </c>
      <c r="BI78" s="137">
        <f t="shared" si="69"/>
        <v>0</v>
      </c>
      <c r="BJ78" s="138">
        <f t="shared" si="69"/>
        <v>0</v>
      </c>
      <c r="BK78" s="136">
        <f t="shared" si="69"/>
        <v>0</v>
      </c>
      <c r="BL78" s="136">
        <f t="shared" si="69"/>
        <v>0</v>
      </c>
      <c r="BM78" s="136">
        <f t="shared" si="69"/>
        <v>0</v>
      </c>
      <c r="BN78" s="137">
        <f t="shared" si="69"/>
        <v>0</v>
      </c>
      <c r="BO78" s="138">
        <f t="shared" si="69"/>
        <v>0</v>
      </c>
      <c r="BP78" s="136">
        <f t="shared" si="69"/>
        <v>0</v>
      </c>
      <c r="BQ78" s="136">
        <f t="shared" si="69"/>
        <v>0</v>
      </c>
      <c r="BR78" s="137">
        <f t="shared" si="69"/>
        <v>0</v>
      </c>
      <c r="BS78" s="138">
        <f t="shared" si="69"/>
        <v>0</v>
      </c>
      <c r="BT78" s="136">
        <f t="shared" si="69"/>
        <v>0</v>
      </c>
      <c r="BU78" s="136">
        <f t="shared" si="69"/>
        <v>0</v>
      </c>
      <c r="BV78" s="136">
        <f t="shared" si="69"/>
        <v>0</v>
      </c>
      <c r="BW78" s="137">
        <f t="shared" si="69"/>
        <v>0</v>
      </c>
      <c r="BX78" s="138">
        <f t="shared" si="69"/>
        <v>0</v>
      </c>
      <c r="BY78" s="136">
        <f t="shared" si="69"/>
        <v>0</v>
      </c>
      <c r="BZ78" s="136">
        <f t="shared" si="69"/>
        <v>0</v>
      </c>
      <c r="CA78" s="137">
        <f t="shared" si="69"/>
        <v>0</v>
      </c>
      <c r="CB78" s="135">
        <f t="shared" si="69"/>
        <v>0</v>
      </c>
      <c r="CC78" s="136">
        <f t="shared" si="69"/>
        <v>0</v>
      </c>
      <c r="CD78" s="136">
        <f t="shared" si="69"/>
        <v>0</v>
      </c>
      <c r="CE78" s="137">
        <f t="shared" si="69"/>
        <v>0</v>
      </c>
    </row>
    <row r="79" spans="1:83">
      <c r="A79" s="130" t="s">
        <v>36</v>
      </c>
      <c r="B79" s="95"/>
      <c r="C79" s="96"/>
      <c r="D79" s="96"/>
      <c r="E79" s="96"/>
      <c r="F79" s="96"/>
      <c r="G79" s="96"/>
      <c r="H79" s="97"/>
      <c r="I79" s="94">
        <v>10</v>
      </c>
      <c r="J79" s="131">
        <f t="shared" si="63"/>
        <v>1</v>
      </c>
      <c r="K79" s="101">
        <v>0</v>
      </c>
      <c r="L79" s="132">
        <f t="shared" si="64"/>
        <v>0.1</v>
      </c>
      <c r="M79" s="132">
        <f t="shared" si="65"/>
        <v>0</v>
      </c>
      <c r="N79" s="132">
        <f t="shared" si="62"/>
        <v>-0.1</v>
      </c>
      <c r="O79" s="133" t="str">
        <f t="shared" si="66"/>
        <v>지연</v>
      </c>
      <c r="P79" s="104"/>
      <c r="Q79" s="104"/>
      <c r="R79" s="104"/>
      <c r="S79" s="104"/>
      <c r="T79" s="94"/>
      <c r="U79" s="134" t="str">
        <f t="shared" si="61"/>
        <v/>
      </c>
      <c r="V79" s="253">
        <f>NETWORKDAYS(P79,Q79,진행현황_전체!C$59:C$77)</f>
        <v>0</v>
      </c>
      <c r="W79" s="135">
        <f t="shared" si="67"/>
        <v>0</v>
      </c>
      <c r="X79" s="136">
        <f t="shared" si="67"/>
        <v>0</v>
      </c>
      <c r="Y79" s="136">
        <f t="shared" si="67"/>
        <v>0</v>
      </c>
      <c r="Z79" s="136">
        <f t="shared" si="67"/>
        <v>0</v>
      </c>
      <c r="AA79" s="137">
        <f t="shared" si="67"/>
        <v>0</v>
      </c>
      <c r="AB79" s="138">
        <f t="shared" si="67"/>
        <v>0</v>
      </c>
      <c r="AC79" s="136">
        <f t="shared" si="67"/>
        <v>0</v>
      </c>
      <c r="AD79" s="136">
        <f t="shared" si="67"/>
        <v>0</v>
      </c>
      <c r="AE79" s="137">
        <f t="shared" si="67"/>
        <v>0</v>
      </c>
      <c r="AF79" s="135">
        <f t="shared" si="67"/>
        <v>0</v>
      </c>
      <c r="AG79" s="136">
        <f t="shared" si="67"/>
        <v>0</v>
      </c>
      <c r="AH79" s="136">
        <f t="shared" si="67"/>
        <v>0</v>
      </c>
      <c r="AI79" s="137">
        <f t="shared" si="67"/>
        <v>0</v>
      </c>
      <c r="AJ79" s="135">
        <f t="shared" si="67"/>
        <v>0</v>
      </c>
      <c r="AK79" s="138">
        <f t="shared" si="67"/>
        <v>0</v>
      </c>
      <c r="AL79" s="136">
        <f t="shared" si="67"/>
        <v>0</v>
      </c>
      <c r="AM79" s="136">
        <f t="shared" si="67"/>
        <v>0</v>
      </c>
      <c r="AN79" s="194">
        <f t="shared" si="67"/>
        <v>0</v>
      </c>
      <c r="AO79" s="138">
        <f t="shared" si="67"/>
        <v>0</v>
      </c>
      <c r="AP79" s="136">
        <f t="shared" si="67"/>
        <v>0</v>
      </c>
      <c r="AQ79" s="136">
        <f t="shared" si="67"/>
        <v>0</v>
      </c>
      <c r="AR79" s="137">
        <f t="shared" si="68"/>
        <v>0</v>
      </c>
      <c r="AS79" s="135">
        <f t="shared" si="68"/>
        <v>0</v>
      </c>
      <c r="AT79" s="136">
        <f t="shared" si="68"/>
        <v>0</v>
      </c>
      <c r="AU79" s="136">
        <f t="shared" si="68"/>
        <v>0</v>
      </c>
      <c r="AV79" s="137">
        <f t="shared" si="68"/>
        <v>0</v>
      </c>
      <c r="AW79" s="135">
        <f t="shared" si="68"/>
        <v>0</v>
      </c>
      <c r="AX79" s="136">
        <f t="shared" si="68"/>
        <v>0</v>
      </c>
      <c r="AY79" s="136">
        <f t="shared" si="68"/>
        <v>0</v>
      </c>
      <c r="AZ79" s="136">
        <f t="shared" si="68"/>
        <v>0</v>
      </c>
      <c r="BA79" s="137">
        <f t="shared" si="68"/>
        <v>0</v>
      </c>
      <c r="BB79" s="138">
        <f t="shared" si="68"/>
        <v>0</v>
      </c>
      <c r="BC79" s="136">
        <f t="shared" si="68"/>
        <v>0</v>
      </c>
      <c r="BD79" s="136">
        <f t="shared" si="68"/>
        <v>0</v>
      </c>
      <c r="BE79" s="137">
        <f t="shared" si="68"/>
        <v>0</v>
      </c>
      <c r="BF79" s="135">
        <f t="shared" si="68"/>
        <v>0</v>
      </c>
      <c r="BG79" s="136">
        <f t="shared" si="68"/>
        <v>0</v>
      </c>
      <c r="BH79" s="136">
        <f t="shared" si="69"/>
        <v>0</v>
      </c>
      <c r="BI79" s="137">
        <f t="shared" si="69"/>
        <v>0</v>
      </c>
      <c r="BJ79" s="138">
        <f t="shared" si="69"/>
        <v>0</v>
      </c>
      <c r="BK79" s="136">
        <f t="shared" si="69"/>
        <v>0</v>
      </c>
      <c r="BL79" s="136">
        <f t="shared" si="69"/>
        <v>0</v>
      </c>
      <c r="BM79" s="136">
        <f t="shared" si="69"/>
        <v>0</v>
      </c>
      <c r="BN79" s="137">
        <f t="shared" si="69"/>
        <v>0</v>
      </c>
      <c r="BO79" s="138">
        <f t="shared" si="69"/>
        <v>0</v>
      </c>
      <c r="BP79" s="136">
        <f t="shared" si="69"/>
        <v>0</v>
      </c>
      <c r="BQ79" s="136">
        <f t="shared" si="69"/>
        <v>0</v>
      </c>
      <c r="BR79" s="137">
        <f t="shared" si="69"/>
        <v>0</v>
      </c>
      <c r="BS79" s="138">
        <f t="shared" si="69"/>
        <v>0</v>
      </c>
      <c r="BT79" s="136">
        <f t="shared" si="69"/>
        <v>0</v>
      </c>
      <c r="BU79" s="136">
        <f t="shared" si="69"/>
        <v>0</v>
      </c>
      <c r="BV79" s="136">
        <f t="shared" si="69"/>
        <v>0</v>
      </c>
      <c r="BW79" s="137">
        <f t="shared" si="69"/>
        <v>0</v>
      </c>
      <c r="BX79" s="138">
        <f t="shared" si="69"/>
        <v>0</v>
      </c>
      <c r="BY79" s="136">
        <f t="shared" si="69"/>
        <v>0</v>
      </c>
      <c r="BZ79" s="136">
        <f t="shared" si="69"/>
        <v>0</v>
      </c>
      <c r="CA79" s="137">
        <f t="shared" si="69"/>
        <v>0</v>
      </c>
      <c r="CB79" s="135">
        <f t="shared" si="69"/>
        <v>0</v>
      </c>
      <c r="CC79" s="136">
        <f t="shared" si="69"/>
        <v>0</v>
      </c>
      <c r="CD79" s="136">
        <f t="shared" si="69"/>
        <v>0</v>
      </c>
      <c r="CE79" s="137">
        <f t="shared" si="69"/>
        <v>0</v>
      </c>
    </row>
    <row r="80" spans="1:83">
      <c r="A80" s="130" t="s">
        <v>37</v>
      </c>
      <c r="B80" s="95"/>
      <c r="C80" s="96"/>
      <c r="D80" s="96"/>
      <c r="E80" s="96"/>
      <c r="F80" s="96"/>
      <c r="G80" s="96"/>
      <c r="H80" s="97"/>
      <c r="I80" s="94">
        <v>10</v>
      </c>
      <c r="J80" s="131">
        <f t="shared" si="63"/>
        <v>1</v>
      </c>
      <c r="K80" s="101">
        <v>0</v>
      </c>
      <c r="L80" s="132">
        <f t="shared" si="64"/>
        <v>0.1</v>
      </c>
      <c r="M80" s="132">
        <f t="shared" si="65"/>
        <v>0</v>
      </c>
      <c r="N80" s="132">
        <f t="shared" si="62"/>
        <v>-0.1</v>
      </c>
      <c r="O80" s="133" t="str">
        <f t="shared" si="66"/>
        <v>지연</v>
      </c>
      <c r="P80" s="104"/>
      <c r="Q80" s="104"/>
      <c r="R80" s="104"/>
      <c r="S80" s="104"/>
      <c r="T80" s="94"/>
      <c r="U80" s="134" t="str">
        <f t="shared" si="61"/>
        <v/>
      </c>
      <c r="V80" s="253">
        <f>NETWORKDAYS(P80,Q80,진행현황_전체!C$59:C$77)</f>
        <v>0</v>
      </c>
      <c r="W80" s="135">
        <f t="shared" si="67"/>
        <v>0</v>
      </c>
      <c r="X80" s="136">
        <f t="shared" si="67"/>
        <v>0</v>
      </c>
      <c r="Y80" s="136">
        <f t="shared" si="67"/>
        <v>0</v>
      </c>
      <c r="Z80" s="136">
        <f t="shared" si="67"/>
        <v>0</v>
      </c>
      <c r="AA80" s="137">
        <f t="shared" si="67"/>
        <v>0</v>
      </c>
      <c r="AB80" s="138">
        <f t="shared" si="67"/>
        <v>0</v>
      </c>
      <c r="AC80" s="136">
        <f t="shared" si="67"/>
        <v>0</v>
      </c>
      <c r="AD80" s="136">
        <f t="shared" si="67"/>
        <v>0</v>
      </c>
      <c r="AE80" s="137">
        <f t="shared" si="67"/>
        <v>0</v>
      </c>
      <c r="AF80" s="135">
        <f t="shared" si="67"/>
        <v>0</v>
      </c>
      <c r="AG80" s="136">
        <f t="shared" si="67"/>
        <v>0</v>
      </c>
      <c r="AH80" s="136">
        <f t="shared" si="67"/>
        <v>0</v>
      </c>
      <c r="AI80" s="137">
        <f t="shared" si="67"/>
        <v>0</v>
      </c>
      <c r="AJ80" s="135">
        <f t="shared" si="67"/>
        <v>0</v>
      </c>
      <c r="AK80" s="138">
        <f t="shared" si="67"/>
        <v>0</v>
      </c>
      <c r="AL80" s="136">
        <f t="shared" si="67"/>
        <v>0</v>
      </c>
      <c r="AM80" s="136">
        <f t="shared" si="67"/>
        <v>0</v>
      </c>
      <c r="AN80" s="194">
        <f t="shared" si="67"/>
        <v>0</v>
      </c>
      <c r="AO80" s="138">
        <f t="shared" si="67"/>
        <v>0</v>
      </c>
      <c r="AP80" s="136">
        <f t="shared" si="67"/>
        <v>0</v>
      </c>
      <c r="AQ80" s="136">
        <f t="shared" si="67"/>
        <v>0</v>
      </c>
      <c r="AR80" s="137">
        <f t="shared" si="68"/>
        <v>0</v>
      </c>
      <c r="AS80" s="135">
        <f t="shared" si="68"/>
        <v>0</v>
      </c>
      <c r="AT80" s="136">
        <f t="shared" si="68"/>
        <v>0</v>
      </c>
      <c r="AU80" s="136">
        <f t="shared" si="68"/>
        <v>0</v>
      </c>
      <c r="AV80" s="137">
        <f t="shared" si="68"/>
        <v>0</v>
      </c>
      <c r="AW80" s="135">
        <f t="shared" si="68"/>
        <v>0</v>
      </c>
      <c r="AX80" s="136">
        <f t="shared" si="68"/>
        <v>0</v>
      </c>
      <c r="AY80" s="136">
        <f t="shared" si="68"/>
        <v>0</v>
      </c>
      <c r="AZ80" s="136">
        <f t="shared" si="68"/>
        <v>0</v>
      </c>
      <c r="BA80" s="137">
        <f t="shared" si="68"/>
        <v>0</v>
      </c>
      <c r="BB80" s="138">
        <f t="shared" si="68"/>
        <v>0</v>
      </c>
      <c r="BC80" s="136">
        <f t="shared" si="68"/>
        <v>0</v>
      </c>
      <c r="BD80" s="136">
        <f t="shared" si="68"/>
        <v>0</v>
      </c>
      <c r="BE80" s="137">
        <f t="shared" si="68"/>
        <v>0</v>
      </c>
      <c r="BF80" s="135">
        <f t="shared" si="68"/>
        <v>0</v>
      </c>
      <c r="BG80" s="136">
        <f t="shared" si="68"/>
        <v>0</v>
      </c>
      <c r="BH80" s="136">
        <f t="shared" si="69"/>
        <v>0</v>
      </c>
      <c r="BI80" s="137">
        <f t="shared" si="69"/>
        <v>0</v>
      </c>
      <c r="BJ80" s="138">
        <f t="shared" si="69"/>
        <v>0</v>
      </c>
      <c r="BK80" s="136">
        <f t="shared" si="69"/>
        <v>0</v>
      </c>
      <c r="BL80" s="136">
        <f t="shared" si="69"/>
        <v>0</v>
      </c>
      <c r="BM80" s="136">
        <f t="shared" si="69"/>
        <v>0</v>
      </c>
      <c r="BN80" s="137">
        <f t="shared" si="69"/>
        <v>0</v>
      </c>
      <c r="BO80" s="138">
        <f t="shared" si="69"/>
        <v>0</v>
      </c>
      <c r="BP80" s="136">
        <f t="shared" si="69"/>
        <v>0</v>
      </c>
      <c r="BQ80" s="136">
        <f t="shared" si="69"/>
        <v>0</v>
      </c>
      <c r="BR80" s="137">
        <f t="shared" si="69"/>
        <v>0</v>
      </c>
      <c r="BS80" s="138">
        <f t="shared" si="69"/>
        <v>0</v>
      </c>
      <c r="BT80" s="136">
        <f t="shared" si="69"/>
        <v>0</v>
      </c>
      <c r="BU80" s="136">
        <f t="shared" si="69"/>
        <v>0</v>
      </c>
      <c r="BV80" s="136">
        <f t="shared" si="69"/>
        <v>0</v>
      </c>
      <c r="BW80" s="137">
        <f t="shared" si="69"/>
        <v>0</v>
      </c>
      <c r="BX80" s="138">
        <f t="shared" si="69"/>
        <v>0</v>
      </c>
      <c r="BY80" s="136">
        <f t="shared" si="69"/>
        <v>0</v>
      </c>
      <c r="BZ80" s="136">
        <f t="shared" si="69"/>
        <v>0</v>
      </c>
      <c r="CA80" s="137">
        <f t="shared" si="69"/>
        <v>0</v>
      </c>
      <c r="CB80" s="135">
        <f t="shared" si="69"/>
        <v>0</v>
      </c>
      <c r="CC80" s="136">
        <f t="shared" si="69"/>
        <v>0</v>
      </c>
      <c r="CD80" s="136">
        <f t="shared" si="69"/>
        <v>0</v>
      </c>
      <c r="CE80" s="137">
        <f t="shared" si="69"/>
        <v>0</v>
      </c>
    </row>
    <row r="81" spans="1:83">
      <c r="A81" s="130" t="s">
        <v>38</v>
      </c>
      <c r="B81" s="95"/>
      <c r="C81" s="96"/>
      <c r="D81" s="96"/>
      <c r="E81" s="96"/>
      <c r="F81" s="96"/>
      <c r="G81" s="96"/>
      <c r="H81" s="97"/>
      <c r="I81" s="94">
        <v>10</v>
      </c>
      <c r="J81" s="131">
        <f t="shared" si="63"/>
        <v>1</v>
      </c>
      <c r="K81" s="101">
        <v>0</v>
      </c>
      <c r="L81" s="132">
        <f t="shared" si="64"/>
        <v>0.1</v>
      </c>
      <c r="M81" s="132">
        <f t="shared" si="65"/>
        <v>0</v>
      </c>
      <c r="N81" s="132">
        <f t="shared" si="62"/>
        <v>-0.1</v>
      </c>
      <c r="O81" s="133" t="str">
        <f t="shared" si="66"/>
        <v>지연</v>
      </c>
      <c r="P81" s="104"/>
      <c r="Q81" s="104"/>
      <c r="R81" s="104"/>
      <c r="S81" s="104"/>
      <c r="T81" s="94"/>
      <c r="U81" s="134" t="str">
        <f t="shared" si="61"/>
        <v/>
      </c>
      <c r="V81" s="253">
        <f>NETWORKDAYS(P81,Q81,진행현황_전체!C$59:C$77)</f>
        <v>0</v>
      </c>
      <c r="W81" s="135">
        <f t="shared" si="67"/>
        <v>0</v>
      </c>
      <c r="X81" s="136">
        <f t="shared" si="67"/>
        <v>0</v>
      </c>
      <c r="Y81" s="136">
        <f t="shared" si="67"/>
        <v>0</v>
      </c>
      <c r="Z81" s="136">
        <f t="shared" si="67"/>
        <v>0</v>
      </c>
      <c r="AA81" s="137">
        <f t="shared" si="67"/>
        <v>0</v>
      </c>
      <c r="AB81" s="138">
        <f t="shared" si="67"/>
        <v>0</v>
      </c>
      <c r="AC81" s="136">
        <f t="shared" si="67"/>
        <v>0</v>
      </c>
      <c r="AD81" s="136">
        <f t="shared" si="67"/>
        <v>0</v>
      </c>
      <c r="AE81" s="137">
        <f t="shared" si="67"/>
        <v>0</v>
      </c>
      <c r="AF81" s="135">
        <f t="shared" si="67"/>
        <v>0</v>
      </c>
      <c r="AG81" s="136">
        <f t="shared" si="67"/>
        <v>0</v>
      </c>
      <c r="AH81" s="136">
        <f t="shared" si="67"/>
        <v>0</v>
      </c>
      <c r="AI81" s="137">
        <f t="shared" si="67"/>
        <v>0</v>
      </c>
      <c r="AJ81" s="135">
        <f t="shared" si="67"/>
        <v>0</v>
      </c>
      <c r="AK81" s="138">
        <f t="shared" si="67"/>
        <v>0</v>
      </c>
      <c r="AL81" s="136">
        <f t="shared" si="67"/>
        <v>0</v>
      </c>
      <c r="AM81" s="136">
        <f t="shared" si="67"/>
        <v>0</v>
      </c>
      <c r="AN81" s="194">
        <f t="shared" si="67"/>
        <v>0</v>
      </c>
      <c r="AO81" s="138">
        <f t="shared" si="67"/>
        <v>0</v>
      </c>
      <c r="AP81" s="136">
        <f t="shared" si="67"/>
        <v>0</v>
      </c>
      <c r="AQ81" s="136">
        <f t="shared" si="67"/>
        <v>0</v>
      </c>
      <c r="AR81" s="137">
        <f t="shared" si="68"/>
        <v>0</v>
      </c>
      <c r="AS81" s="135">
        <f t="shared" si="68"/>
        <v>0</v>
      </c>
      <c r="AT81" s="136">
        <f t="shared" si="68"/>
        <v>0</v>
      </c>
      <c r="AU81" s="136">
        <f t="shared" si="68"/>
        <v>0</v>
      </c>
      <c r="AV81" s="137">
        <f t="shared" si="68"/>
        <v>0</v>
      </c>
      <c r="AW81" s="135">
        <f t="shared" si="68"/>
        <v>0</v>
      </c>
      <c r="AX81" s="136">
        <f t="shared" si="68"/>
        <v>0</v>
      </c>
      <c r="AY81" s="136">
        <f t="shared" si="68"/>
        <v>0</v>
      </c>
      <c r="AZ81" s="136">
        <f t="shared" si="68"/>
        <v>0</v>
      </c>
      <c r="BA81" s="137">
        <f t="shared" si="68"/>
        <v>0</v>
      </c>
      <c r="BB81" s="138">
        <f t="shared" si="68"/>
        <v>0</v>
      </c>
      <c r="BC81" s="136">
        <f t="shared" si="68"/>
        <v>0</v>
      </c>
      <c r="BD81" s="136">
        <f t="shared" si="68"/>
        <v>0</v>
      </c>
      <c r="BE81" s="137">
        <f t="shared" si="68"/>
        <v>0</v>
      </c>
      <c r="BF81" s="135">
        <f t="shared" si="68"/>
        <v>0</v>
      </c>
      <c r="BG81" s="136">
        <f t="shared" si="68"/>
        <v>0</v>
      </c>
      <c r="BH81" s="136">
        <f t="shared" si="69"/>
        <v>0</v>
      </c>
      <c r="BI81" s="137">
        <f t="shared" si="69"/>
        <v>0</v>
      </c>
      <c r="BJ81" s="138">
        <f t="shared" si="69"/>
        <v>0</v>
      </c>
      <c r="BK81" s="136">
        <f t="shared" si="69"/>
        <v>0</v>
      </c>
      <c r="BL81" s="136">
        <f t="shared" si="69"/>
        <v>0</v>
      </c>
      <c r="BM81" s="136">
        <f t="shared" si="69"/>
        <v>0</v>
      </c>
      <c r="BN81" s="137">
        <f t="shared" si="69"/>
        <v>0</v>
      </c>
      <c r="BO81" s="138">
        <f t="shared" si="69"/>
        <v>0</v>
      </c>
      <c r="BP81" s="136">
        <f t="shared" si="69"/>
        <v>0</v>
      </c>
      <c r="BQ81" s="136">
        <f t="shared" si="69"/>
        <v>0</v>
      </c>
      <c r="BR81" s="137">
        <f t="shared" si="69"/>
        <v>0</v>
      </c>
      <c r="BS81" s="138">
        <f t="shared" si="69"/>
        <v>0</v>
      </c>
      <c r="BT81" s="136">
        <f t="shared" si="69"/>
        <v>0</v>
      </c>
      <c r="BU81" s="136">
        <f t="shared" si="69"/>
        <v>0</v>
      </c>
      <c r="BV81" s="136">
        <f t="shared" si="69"/>
        <v>0</v>
      </c>
      <c r="BW81" s="137">
        <f t="shared" si="69"/>
        <v>0</v>
      </c>
      <c r="BX81" s="138">
        <f t="shared" si="69"/>
        <v>0</v>
      </c>
      <c r="BY81" s="136">
        <f t="shared" si="69"/>
        <v>0</v>
      </c>
      <c r="BZ81" s="136">
        <f t="shared" si="69"/>
        <v>0</v>
      </c>
      <c r="CA81" s="137">
        <f t="shared" si="69"/>
        <v>0</v>
      </c>
      <c r="CB81" s="135">
        <f t="shared" si="69"/>
        <v>0</v>
      </c>
      <c r="CC81" s="136">
        <f t="shared" si="69"/>
        <v>0</v>
      </c>
      <c r="CD81" s="136">
        <f t="shared" si="69"/>
        <v>0</v>
      </c>
      <c r="CE81" s="137">
        <f t="shared" si="69"/>
        <v>0</v>
      </c>
    </row>
    <row r="82" spans="1:83">
      <c r="A82" s="130" t="s">
        <v>110</v>
      </c>
      <c r="B82" s="95"/>
      <c r="C82" s="96"/>
      <c r="D82" s="96"/>
      <c r="E82" s="96"/>
      <c r="F82" s="96"/>
      <c r="G82" s="96"/>
      <c r="H82" s="97"/>
      <c r="I82" s="94">
        <v>10</v>
      </c>
      <c r="J82" s="131">
        <f t="shared" si="63"/>
        <v>1</v>
      </c>
      <c r="K82" s="101">
        <v>0</v>
      </c>
      <c r="L82" s="132">
        <f t="shared" si="64"/>
        <v>0.1</v>
      </c>
      <c r="M82" s="132">
        <f t="shared" si="65"/>
        <v>0</v>
      </c>
      <c r="N82" s="132">
        <f t="shared" si="62"/>
        <v>-0.1</v>
      </c>
      <c r="O82" s="133" t="str">
        <f t="shared" si="66"/>
        <v>지연</v>
      </c>
      <c r="P82" s="104"/>
      <c r="Q82" s="104"/>
      <c r="R82" s="104"/>
      <c r="S82" s="104"/>
      <c r="T82" s="94"/>
      <c r="U82" s="134" t="str">
        <f t="shared" si="61"/>
        <v/>
      </c>
      <c r="V82" s="253">
        <f>NETWORKDAYS(P82,Q82,진행현황_전체!C$59:C$77)</f>
        <v>0</v>
      </c>
      <c r="W82" s="135">
        <f t="shared" si="67"/>
        <v>0</v>
      </c>
      <c r="X82" s="136">
        <f t="shared" si="67"/>
        <v>0</v>
      </c>
      <c r="Y82" s="136">
        <f t="shared" si="67"/>
        <v>0</v>
      </c>
      <c r="Z82" s="136">
        <f t="shared" si="67"/>
        <v>0</v>
      </c>
      <c r="AA82" s="137">
        <f t="shared" si="67"/>
        <v>0</v>
      </c>
      <c r="AB82" s="138">
        <f t="shared" si="67"/>
        <v>0</v>
      </c>
      <c r="AC82" s="136">
        <f t="shared" si="67"/>
        <v>0</v>
      </c>
      <c r="AD82" s="136">
        <f t="shared" si="67"/>
        <v>0</v>
      </c>
      <c r="AE82" s="137">
        <f t="shared" si="67"/>
        <v>0</v>
      </c>
      <c r="AF82" s="135">
        <f t="shared" si="67"/>
        <v>0</v>
      </c>
      <c r="AG82" s="136">
        <f t="shared" si="67"/>
        <v>0</v>
      </c>
      <c r="AH82" s="136">
        <f t="shared" si="67"/>
        <v>0</v>
      </c>
      <c r="AI82" s="137">
        <f t="shared" si="67"/>
        <v>0</v>
      </c>
      <c r="AJ82" s="135">
        <f t="shared" si="67"/>
        <v>0</v>
      </c>
      <c r="AK82" s="138">
        <f t="shared" si="67"/>
        <v>0</v>
      </c>
      <c r="AL82" s="136">
        <f t="shared" si="67"/>
        <v>0</v>
      </c>
      <c r="AM82" s="136">
        <f t="shared" si="67"/>
        <v>0</v>
      </c>
      <c r="AN82" s="194">
        <f t="shared" si="67"/>
        <v>0</v>
      </c>
      <c r="AO82" s="138">
        <f t="shared" si="67"/>
        <v>0</v>
      </c>
      <c r="AP82" s="136">
        <f t="shared" si="67"/>
        <v>0</v>
      </c>
      <c r="AQ82" s="136">
        <f t="shared" si="67"/>
        <v>0</v>
      </c>
      <c r="AR82" s="137">
        <f t="shared" si="68"/>
        <v>0</v>
      </c>
      <c r="AS82" s="135">
        <f t="shared" si="68"/>
        <v>0</v>
      </c>
      <c r="AT82" s="136">
        <f t="shared" si="68"/>
        <v>0</v>
      </c>
      <c r="AU82" s="136">
        <f t="shared" si="68"/>
        <v>0</v>
      </c>
      <c r="AV82" s="137">
        <f t="shared" si="68"/>
        <v>0</v>
      </c>
      <c r="AW82" s="135">
        <f t="shared" si="68"/>
        <v>0</v>
      </c>
      <c r="AX82" s="136">
        <f t="shared" si="68"/>
        <v>0</v>
      </c>
      <c r="AY82" s="136">
        <f t="shared" si="68"/>
        <v>0</v>
      </c>
      <c r="AZ82" s="136">
        <f t="shared" si="68"/>
        <v>0</v>
      </c>
      <c r="BA82" s="137">
        <f t="shared" si="68"/>
        <v>0</v>
      </c>
      <c r="BB82" s="138">
        <f t="shared" si="68"/>
        <v>0</v>
      </c>
      <c r="BC82" s="136">
        <f t="shared" si="68"/>
        <v>0</v>
      </c>
      <c r="BD82" s="136">
        <f t="shared" si="68"/>
        <v>0</v>
      </c>
      <c r="BE82" s="137">
        <f t="shared" si="68"/>
        <v>0</v>
      </c>
      <c r="BF82" s="135">
        <f t="shared" si="68"/>
        <v>0</v>
      </c>
      <c r="BG82" s="136">
        <f t="shared" si="68"/>
        <v>0</v>
      </c>
      <c r="BH82" s="136">
        <f t="shared" si="69"/>
        <v>0</v>
      </c>
      <c r="BI82" s="137">
        <f t="shared" si="69"/>
        <v>0</v>
      </c>
      <c r="BJ82" s="138">
        <f t="shared" si="69"/>
        <v>0</v>
      </c>
      <c r="BK82" s="136">
        <f t="shared" si="69"/>
        <v>0</v>
      </c>
      <c r="BL82" s="136">
        <f t="shared" si="69"/>
        <v>0</v>
      </c>
      <c r="BM82" s="136">
        <f t="shared" si="69"/>
        <v>0</v>
      </c>
      <c r="BN82" s="137">
        <f t="shared" si="69"/>
        <v>0</v>
      </c>
      <c r="BO82" s="138">
        <f t="shared" si="69"/>
        <v>0</v>
      </c>
      <c r="BP82" s="136">
        <f t="shared" si="69"/>
        <v>0</v>
      </c>
      <c r="BQ82" s="136">
        <f t="shared" si="69"/>
        <v>0</v>
      </c>
      <c r="BR82" s="137">
        <f t="shared" si="69"/>
        <v>0</v>
      </c>
      <c r="BS82" s="138">
        <f t="shared" si="69"/>
        <v>0</v>
      </c>
      <c r="BT82" s="136">
        <f t="shared" si="69"/>
        <v>0</v>
      </c>
      <c r="BU82" s="136">
        <f t="shared" si="69"/>
        <v>0</v>
      </c>
      <c r="BV82" s="136">
        <f t="shared" si="69"/>
        <v>0</v>
      </c>
      <c r="BW82" s="137">
        <f t="shared" si="69"/>
        <v>0</v>
      </c>
      <c r="BX82" s="138">
        <f t="shared" si="69"/>
        <v>0</v>
      </c>
      <c r="BY82" s="136">
        <f t="shared" si="69"/>
        <v>0</v>
      </c>
      <c r="BZ82" s="136">
        <f t="shared" si="69"/>
        <v>0</v>
      </c>
      <c r="CA82" s="137">
        <f t="shared" si="69"/>
        <v>0</v>
      </c>
      <c r="CB82" s="135">
        <f t="shared" si="69"/>
        <v>0</v>
      </c>
      <c r="CC82" s="136">
        <f t="shared" si="69"/>
        <v>0</v>
      </c>
      <c r="CD82" s="136">
        <f t="shared" si="69"/>
        <v>0</v>
      </c>
      <c r="CE82" s="137">
        <f t="shared" si="69"/>
        <v>0</v>
      </c>
    </row>
    <row r="83" spans="1:83">
      <c r="A83" s="130" t="s">
        <v>111</v>
      </c>
      <c r="B83" s="95"/>
      <c r="C83" s="96"/>
      <c r="D83" s="96"/>
      <c r="E83" s="96"/>
      <c r="F83" s="96"/>
      <c r="G83" s="96"/>
      <c r="H83" s="97"/>
      <c r="I83" s="94">
        <v>10</v>
      </c>
      <c r="J83" s="131">
        <f t="shared" si="63"/>
        <v>1</v>
      </c>
      <c r="K83" s="101">
        <v>0</v>
      </c>
      <c r="L83" s="132">
        <f t="shared" si="64"/>
        <v>0.1</v>
      </c>
      <c r="M83" s="132">
        <f t="shared" si="65"/>
        <v>0</v>
      </c>
      <c r="N83" s="132">
        <f t="shared" si="62"/>
        <v>-0.1</v>
      </c>
      <c r="O83" s="133" t="str">
        <f t="shared" si="66"/>
        <v>지연</v>
      </c>
      <c r="P83" s="104"/>
      <c r="Q83" s="104"/>
      <c r="R83" s="104"/>
      <c r="S83" s="104"/>
      <c r="T83" s="94"/>
      <c r="U83" s="134" t="str">
        <f t="shared" si="61"/>
        <v/>
      </c>
      <c r="V83" s="253">
        <f>NETWORKDAYS(P83,Q83,진행현황_전체!C$59:C$77)</f>
        <v>0</v>
      </c>
      <c r="W83" s="135">
        <f t="shared" si="67"/>
        <v>0</v>
      </c>
      <c r="X83" s="136">
        <f t="shared" si="67"/>
        <v>0</v>
      </c>
      <c r="Y83" s="136">
        <f t="shared" si="67"/>
        <v>0</v>
      </c>
      <c r="Z83" s="136">
        <f t="shared" si="67"/>
        <v>0</v>
      </c>
      <c r="AA83" s="137">
        <f t="shared" si="67"/>
        <v>0</v>
      </c>
      <c r="AB83" s="138">
        <f t="shared" si="67"/>
        <v>0</v>
      </c>
      <c r="AC83" s="136">
        <f t="shared" si="67"/>
        <v>0</v>
      </c>
      <c r="AD83" s="136">
        <f t="shared" si="67"/>
        <v>0</v>
      </c>
      <c r="AE83" s="137">
        <f t="shared" si="67"/>
        <v>0</v>
      </c>
      <c r="AF83" s="135">
        <f t="shared" si="67"/>
        <v>0</v>
      </c>
      <c r="AG83" s="136">
        <f t="shared" si="67"/>
        <v>0</v>
      </c>
      <c r="AH83" s="136">
        <f t="shared" si="67"/>
        <v>0</v>
      </c>
      <c r="AI83" s="137">
        <f t="shared" si="67"/>
        <v>0</v>
      </c>
      <c r="AJ83" s="135">
        <f t="shared" si="67"/>
        <v>0</v>
      </c>
      <c r="AK83" s="138">
        <f t="shared" si="67"/>
        <v>0</v>
      </c>
      <c r="AL83" s="136">
        <f t="shared" si="67"/>
        <v>0</v>
      </c>
      <c r="AM83" s="136">
        <f t="shared" si="67"/>
        <v>0</v>
      </c>
      <c r="AN83" s="194">
        <f t="shared" si="67"/>
        <v>0</v>
      </c>
      <c r="AO83" s="138">
        <f t="shared" si="67"/>
        <v>0</v>
      </c>
      <c r="AP83" s="136">
        <f t="shared" si="67"/>
        <v>0</v>
      </c>
      <c r="AQ83" s="136">
        <f t="shared" si="67"/>
        <v>0</v>
      </c>
      <c r="AR83" s="137">
        <f t="shared" si="68"/>
        <v>0</v>
      </c>
      <c r="AS83" s="135">
        <f t="shared" si="68"/>
        <v>0</v>
      </c>
      <c r="AT83" s="136">
        <f t="shared" si="68"/>
        <v>0</v>
      </c>
      <c r="AU83" s="136">
        <f t="shared" si="68"/>
        <v>0</v>
      </c>
      <c r="AV83" s="137">
        <f t="shared" si="68"/>
        <v>0</v>
      </c>
      <c r="AW83" s="135">
        <f t="shared" si="68"/>
        <v>0</v>
      </c>
      <c r="AX83" s="136">
        <f t="shared" si="68"/>
        <v>0</v>
      </c>
      <c r="AY83" s="136">
        <f t="shared" si="68"/>
        <v>0</v>
      </c>
      <c r="AZ83" s="136">
        <f t="shared" si="68"/>
        <v>0</v>
      </c>
      <c r="BA83" s="137">
        <f t="shared" si="68"/>
        <v>0</v>
      </c>
      <c r="BB83" s="138">
        <f t="shared" si="68"/>
        <v>0</v>
      </c>
      <c r="BC83" s="136">
        <f t="shared" si="68"/>
        <v>0</v>
      </c>
      <c r="BD83" s="136">
        <f t="shared" si="68"/>
        <v>0</v>
      </c>
      <c r="BE83" s="137">
        <f t="shared" si="68"/>
        <v>0</v>
      </c>
      <c r="BF83" s="135">
        <f t="shared" si="68"/>
        <v>0</v>
      </c>
      <c r="BG83" s="136">
        <f t="shared" si="68"/>
        <v>0</v>
      </c>
      <c r="BH83" s="136">
        <f t="shared" si="69"/>
        <v>0</v>
      </c>
      <c r="BI83" s="137">
        <f t="shared" si="69"/>
        <v>0</v>
      </c>
      <c r="BJ83" s="138">
        <f t="shared" si="69"/>
        <v>0</v>
      </c>
      <c r="BK83" s="136">
        <f t="shared" si="69"/>
        <v>0</v>
      </c>
      <c r="BL83" s="136">
        <f t="shared" si="69"/>
        <v>0</v>
      </c>
      <c r="BM83" s="136">
        <f t="shared" si="69"/>
        <v>0</v>
      </c>
      <c r="BN83" s="137">
        <f t="shared" si="69"/>
        <v>0</v>
      </c>
      <c r="BO83" s="138">
        <f t="shared" si="69"/>
        <v>0</v>
      </c>
      <c r="BP83" s="136">
        <f t="shared" si="69"/>
        <v>0</v>
      </c>
      <c r="BQ83" s="136">
        <f t="shared" si="69"/>
        <v>0</v>
      </c>
      <c r="BR83" s="137">
        <f t="shared" si="69"/>
        <v>0</v>
      </c>
      <c r="BS83" s="138">
        <f t="shared" si="69"/>
        <v>0</v>
      </c>
      <c r="BT83" s="136">
        <f t="shared" si="69"/>
        <v>0</v>
      </c>
      <c r="BU83" s="136">
        <f t="shared" si="69"/>
        <v>0</v>
      </c>
      <c r="BV83" s="136">
        <f t="shared" si="69"/>
        <v>0</v>
      </c>
      <c r="BW83" s="137">
        <f t="shared" si="69"/>
        <v>0</v>
      </c>
      <c r="BX83" s="138">
        <f t="shared" si="69"/>
        <v>0</v>
      </c>
      <c r="BY83" s="136">
        <f t="shared" si="69"/>
        <v>0</v>
      </c>
      <c r="BZ83" s="136">
        <f t="shared" si="69"/>
        <v>0</v>
      </c>
      <c r="CA83" s="137">
        <f t="shared" si="69"/>
        <v>0</v>
      </c>
      <c r="CB83" s="135">
        <f t="shared" si="69"/>
        <v>0</v>
      </c>
      <c r="CC83" s="136">
        <f t="shared" si="69"/>
        <v>0</v>
      </c>
      <c r="CD83" s="136">
        <f t="shared" si="69"/>
        <v>0</v>
      </c>
      <c r="CE83" s="137">
        <f t="shared" si="69"/>
        <v>0</v>
      </c>
    </row>
    <row r="84" spans="1:83">
      <c r="A84" s="130" t="s">
        <v>139</v>
      </c>
      <c r="B84" s="95"/>
      <c r="C84" s="96"/>
      <c r="D84" s="96"/>
      <c r="E84" s="96"/>
      <c r="F84" s="96"/>
      <c r="G84" s="96"/>
      <c r="H84" s="97"/>
      <c r="I84" s="94">
        <v>10</v>
      </c>
      <c r="J84" s="131">
        <f t="shared" si="63"/>
        <v>1</v>
      </c>
      <c r="K84" s="101">
        <v>0</v>
      </c>
      <c r="L84" s="132">
        <f t="shared" si="64"/>
        <v>0.1</v>
      </c>
      <c r="M84" s="132">
        <f t="shared" si="65"/>
        <v>0</v>
      </c>
      <c r="N84" s="132">
        <f t="shared" si="62"/>
        <v>-0.1</v>
      </c>
      <c r="O84" s="133" t="str">
        <f t="shared" si="66"/>
        <v>지연</v>
      </c>
      <c r="P84" s="104"/>
      <c r="Q84" s="104"/>
      <c r="R84" s="104"/>
      <c r="S84" s="104"/>
      <c r="T84" s="94"/>
      <c r="U84" s="134" t="str">
        <f t="shared" si="61"/>
        <v/>
      </c>
      <c r="V84" s="253">
        <f>NETWORKDAYS(P84,Q84,진행현황_전체!C$59:C$77)</f>
        <v>0</v>
      </c>
      <c r="W84" s="135">
        <f t="shared" si="67"/>
        <v>0</v>
      </c>
      <c r="X84" s="136">
        <f t="shared" si="67"/>
        <v>0</v>
      </c>
      <c r="Y84" s="136">
        <f t="shared" si="67"/>
        <v>0</v>
      </c>
      <c r="Z84" s="136">
        <f t="shared" si="67"/>
        <v>0</v>
      </c>
      <c r="AA84" s="137">
        <f t="shared" si="67"/>
        <v>0</v>
      </c>
      <c r="AB84" s="138">
        <f t="shared" si="67"/>
        <v>0</v>
      </c>
      <c r="AC84" s="136">
        <f t="shared" si="67"/>
        <v>0</v>
      </c>
      <c r="AD84" s="136">
        <f t="shared" si="67"/>
        <v>0</v>
      </c>
      <c r="AE84" s="137">
        <f t="shared" si="67"/>
        <v>0</v>
      </c>
      <c r="AF84" s="135">
        <f t="shared" si="67"/>
        <v>0</v>
      </c>
      <c r="AG84" s="136">
        <f t="shared" si="67"/>
        <v>0</v>
      </c>
      <c r="AH84" s="136">
        <f t="shared" si="67"/>
        <v>0</v>
      </c>
      <c r="AI84" s="137">
        <f t="shared" si="67"/>
        <v>0</v>
      </c>
      <c r="AJ84" s="135">
        <f t="shared" si="67"/>
        <v>0</v>
      </c>
      <c r="AK84" s="138">
        <f t="shared" si="67"/>
        <v>0</v>
      </c>
      <c r="AL84" s="136">
        <f t="shared" si="67"/>
        <v>0</v>
      </c>
      <c r="AM84" s="136">
        <f t="shared" si="67"/>
        <v>0</v>
      </c>
      <c r="AN84" s="194">
        <f t="shared" si="67"/>
        <v>0</v>
      </c>
      <c r="AO84" s="138">
        <f t="shared" si="67"/>
        <v>0</v>
      </c>
      <c r="AP84" s="136">
        <f t="shared" si="67"/>
        <v>0</v>
      </c>
      <c r="AQ84" s="136">
        <f t="shared" si="67"/>
        <v>0</v>
      </c>
      <c r="AR84" s="137">
        <f t="shared" si="68"/>
        <v>0</v>
      </c>
      <c r="AS84" s="135">
        <f t="shared" si="68"/>
        <v>0</v>
      </c>
      <c r="AT84" s="136">
        <f t="shared" si="68"/>
        <v>0</v>
      </c>
      <c r="AU84" s="136">
        <f t="shared" si="68"/>
        <v>0</v>
      </c>
      <c r="AV84" s="137">
        <f t="shared" si="68"/>
        <v>0</v>
      </c>
      <c r="AW84" s="135">
        <f t="shared" si="68"/>
        <v>0</v>
      </c>
      <c r="AX84" s="136">
        <f t="shared" si="68"/>
        <v>0</v>
      </c>
      <c r="AY84" s="136">
        <f t="shared" si="68"/>
        <v>0</v>
      </c>
      <c r="AZ84" s="136">
        <f t="shared" si="68"/>
        <v>0</v>
      </c>
      <c r="BA84" s="137">
        <f t="shared" si="68"/>
        <v>0</v>
      </c>
      <c r="BB84" s="138">
        <f t="shared" si="68"/>
        <v>0</v>
      </c>
      <c r="BC84" s="136">
        <f t="shared" si="68"/>
        <v>0</v>
      </c>
      <c r="BD84" s="136">
        <f t="shared" si="68"/>
        <v>0</v>
      </c>
      <c r="BE84" s="137">
        <f t="shared" si="68"/>
        <v>0</v>
      </c>
      <c r="BF84" s="135">
        <f t="shared" si="68"/>
        <v>0</v>
      </c>
      <c r="BG84" s="136">
        <f t="shared" si="68"/>
        <v>0</v>
      </c>
      <c r="BH84" s="136">
        <f t="shared" si="69"/>
        <v>0</v>
      </c>
      <c r="BI84" s="137">
        <f t="shared" si="69"/>
        <v>0</v>
      </c>
      <c r="BJ84" s="138">
        <f t="shared" si="69"/>
        <v>0</v>
      </c>
      <c r="BK84" s="136">
        <f t="shared" si="69"/>
        <v>0</v>
      </c>
      <c r="BL84" s="136">
        <f t="shared" si="69"/>
        <v>0</v>
      </c>
      <c r="BM84" s="136">
        <f t="shared" si="69"/>
        <v>0</v>
      </c>
      <c r="BN84" s="137">
        <f t="shared" si="69"/>
        <v>0</v>
      </c>
      <c r="BO84" s="138">
        <f t="shared" si="69"/>
        <v>0</v>
      </c>
      <c r="BP84" s="136">
        <f t="shared" si="69"/>
        <v>0</v>
      </c>
      <c r="BQ84" s="136">
        <f t="shared" si="69"/>
        <v>0</v>
      </c>
      <c r="BR84" s="137">
        <f t="shared" si="69"/>
        <v>0</v>
      </c>
      <c r="BS84" s="138">
        <f t="shared" si="69"/>
        <v>0</v>
      </c>
      <c r="BT84" s="136">
        <f t="shared" si="69"/>
        <v>0</v>
      </c>
      <c r="BU84" s="136">
        <f t="shared" si="69"/>
        <v>0</v>
      </c>
      <c r="BV84" s="136">
        <f t="shared" si="69"/>
        <v>0</v>
      </c>
      <c r="BW84" s="137">
        <f t="shared" si="69"/>
        <v>0</v>
      </c>
      <c r="BX84" s="138">
        <f t="shared" si="69"/>
        <v>0</v>
      </c>
      <c r="BY84" s="136">
        <f t="shared" si="69"/>
        <v>0</v>
      </c>
      <c r="BZ84" s="136">
        <f t="shared" si="69"/>
        <v>0</v>
      </c>
      <c r="CA84" s="137">
        <f t="shared" si="69"/>
        <v>0</v>
      </c>
      <c r="CB84" s="135">
        <f t="shared" si="69"/>
        <v>0</v>
      </c>
      <c r="CC84" s="136">
        <f t="shared" si="69"/>
        <v>0</v>
      </c>
      <c r="CD84" s="136">
        <f t="shared" si="69"/>
        <v>0</v>
      </c>
      <c r="CE84" s="137">
        <f t="shared" si="69"/>
        <v>0</v>
      </c>
    </row>
    <row r="85" spans="1:83">
      <c r="A85" s="130" t="s">
        <v>144</v>
      </c>
      <c r="B85" s="95"/>
      <c r="C85" s="96"/>
      <c r="D85" s="96"/>
      <c r="E85" s="96"/>
      <c r="F85" s="96"/>
      <c r="G85" s="96"/>
      <c r="H85" s="97"/>
      <c r="I85" s="94">
        <v>10</v>
      </c>
      <c r="J85" s="131">
        <f t="shared" si="63"/>
        <v>1</v>
      </c>
      <c r="K85" s="101">
        <v>0</v>
      </c>
      <c r="L85" s="132">
        <f t="shared" si="64"/>
        <v>0.1</v>
      </c>
      <c r="M85" s="132">
        <f t="shared" si="65"/>
        <v>0</v>
      </c>
      <c r="N85" s="132">
        <f t="shared" si="62"/>
        <v>-0.1</v>
      </c>
      <c r="O85" s="133" t="str">
        <f t="shared" si="66"/>
        <v>지연</v>
      </c>
      <c r="P85" s="104"/>
      <c r="Q85" s="104"/>
      <c r="R85" s="104"/>
      <c r="S85" s="104"/>
      <c r="T85" s="94"/>
      <c r="U85" s="134" t="str">
        <f t="shared" si="61"/>
        <v/>
      </c>
      <c r="V85" s="253">
        <f>NETWORKDAYS(P85,Q85,진행현황_전체!C$59:C$77)</f>
        <v>0</v>
      </c>
      <c r="W85" s="135">
        <f t="shared" si="67"/>
        <v>0</v>
      </c>
      <c r="X85" s="136">
        <f t="shared" si="67"/>
        <v>0</v>
      </c>
      <c r="Y85" s="136">
        <f t="shared" si="67"/>
        <v>0</v>
      </c>
      <c r="Z85" s="136">
        <f t="shared" si="67"/>
        <v>0</v>
      </c>
      <c r="AA85" s="137">
        <f t="shared" si="67"/>
        <v>0</v>
      </c>
      <c r="AB85" s="138">
        <f t="shared" si="67"/>
        <v>0</v>
      </c>
      <c r="AC85" s="136">
        <f t="shared" si="67"/>
        <v>0</v>
      </c>
      <c r="AD85" s="136">
        <f t="shared" si="67"/>
        <v>0</v>
      </c>
      <c r="AE85" s="137">
        <f t="shared" si="67"/>
        <v>0</v>
      </c>
      <c r="AF85" s="135">
        <f t="shared" si="67"/>
        <v>0</v>
      </c>
      <c r="AG85" s="136">
        <f t="shared" si="67"/>
        <v>0</v>
      </c>
      <c r="AH85" s="136">
        <f t="shared" si="67"/>
        <v>0</v>
      </c>
      <c r="AI85" s="137">
        <f t="shared" si="67"/>
        <v>0</v>
      </c>
      <c r="AJ85" s="135">
        <f t="shared" si="67"/>
        <v>0</v>
      </c>
      <c r="AK85" s="138">
        <f t="shared" si="67"/>
        <v>0</v>
      </c>
      <c r="AL85" s="136">
        <f t="shared" si="67"/>
        <v>0</v>
      </c>
      <c r="AM85" s="136">
        <f t="shared" si="67"/>
        <v>0</v>
      </c>
      <c r="AN85" s="194">
        <f t="shared" si="67"/>
        <v>0</v>
      </c>
      <c r="AO85" s="138">
        <f t="shared" si="67"/>
        <v>0</v>
      </c>
      <c r="AP85" s="136">
        <f t="shared" si="67"/>
        <v>0</v>
      </c>
      <c r="AQ85" s="136">
        <f t="shared" si="67"/>
        <v>0</v>
      </c>
      <c r="AR85" s="137">
        <f t="shared" si="68"/>
        <v>0</v>
      </c>
      <c r="AS85" s="135">
        <f t="shared" si="68"/>
        <v>0</v>
      </c>
      <c r="AT85" s="136">
        <f t="shared" si="68"/>
        <v>0</v>
      </c>
      <c r="AU85" s="136">
        <f t="shared" si="68"/>
        <v>0</v>
      </c>
      <c r="AV85" s="137">
        <f t="shared" si="68"/>
        <v>0</v>
      </c>
      <c r="AW85" s="135">
        <f t="shared" si="68"/>
        <v>0</v>
      </c>
      <c r="AX85" s="136">
        <f t="shared" si="68"/>
        <v>0</v>
      </c>
      <c r="AY85" s="136">
        <f t="shared" si="68"/>
        <v>0</v>
      </c>
      <c r="AZ85" s="136">
        <f t="shared" si="68"/>
        <v>0</v>
      </c>
      <c r="BA85" s="137">
        <f t="shared" si="68"/>
        <v>0</v>
      </c>
      <c r="BB85" s="138">
        <f t="shared" si="68"/>
        <v>0</v>
      </c>
      <c r="BC85" s="136">
        <f t="shared" si="68"/>
        <v>0</v>
      </c>
      <c r="BD85" s="136">
        <f t="shared" si="68"/>
        <v>0</v>
      </c>
      <c r="BE85" s="137">
        <f t="shared" si="68"/>
        <v>0</v>
      </c>
      <c r="BF85" s="135">
        <f t="shared" si="68"/>
        <v>0</v>
      </c>
      <c r="BG85" s="136">
        <f t="shared" si="68"/>
        <v>0</v>
      </c>
      <c r="BH85" s="136">
        <f t="shared" si="69"/>
        <v>0</v>
      </c>
      <c r="BI85" s="137">
        <f t="shared" si="69"/>
        <v>0</v>
      </c>
      <c r="BJ85" s="138">
        <f t="shared" si="69"/>
        <v>0</v>
      </c>
      <c r="BK85" s="136">
        <f t="shared" si="69"/>
        <v>0</v>
      </c>
      <c r="BL85" s="136">
        <f t="shared" si="69"/>
        <v>0</v>
      </c>
      <c r="BM85" s="136">
        <f t="shared" si="69"/>
        <v>0</v>
      </c>
      <c r="BN85" s="137">
        <f t="shared" si="69"/>
        <v>0</v>
      </c>
      <c r="BO85" s="138">
        <f t="shared" si="69"/>
        <v>0</v>
      </c>
      <c r="BP85" s="136">
        <f t="shared" si="69"/>
        <v>0</v>
      </c>
      <c r="BQ85" s="136">
        <f t="shared" si="69"/>
        <v>0</v>
      </c>
      <c r="BR85" s="137">
        <f t="shared" si="69"/>
        <v>0</v>
      </c>
      <c r="BS85" s="138">
        <f t="shared" si="69"/>
        <v>0</v>
      </c>
      <c r="BT85" s="136">
        <f t="shared" si="69"/>
        <v>0</v>
      </c>
      <c r="BU85" s="136">
        <f t="shared" si="69"/>
        <v>0</v>
      </c>
      <c r="BV85" s="136">
        <f t="shared" si="69"/>
        <v>0</v>
      </c>
      <c r="BW85" s="137">
        <f t="shared" si="69"/>
        <v>0</v>
      </c>
      <c r="BX85" s="138">
        <f t="shared" si="69"/>
        <v>0</v>
      </c>
      <c r="BY85" s="136">
        <f t="shared" si="69"/>
        <v>0</v>
      </c>
      <c r="BZ85" s="136">
        <f t="shared" si="69"/>
        <v>0</v>
      </c>
      <c r="CA85" s="137">
        <f t="shared" si="69"/>
        <v>0</v>
      </c>
      <c r="CB85" s="135">
        <f t="shared" si="69"/>
        <v>0</v>
      </c>
      <c r="CC85" s="136">
        <f t="shared" si="69"/>
        <v>0</v>
      </c>
      <c r="CD85" s="136">
        <f t="shared" si="69"/>
        <v>0</v>
      </c>
      <c r="CE85" s="137">
        <f t="shared" si="69"/>
        <v>0</v>
      </c>
    </row>
    <row r="86" spans="1:83" ht="17.25" thickBot="1">
      <c r="A86" s="130" t="s">
        <v>145</v>
      </c>
      <c r="B86" s="95"/>
      <c r="C86" s="96"/>
      <c r="D86" s="96"/>
      <c r="E86" s="96"/>
      <c r="F86" s="96"/>
      <c r="G86" s="96"/>
      <c r="H86" s="97"/>
      <c r="I86" s="94">
        <v>10</v>
      </c>
      <c r="J86" s="131">
        <f t="shared" si="63"/>
        <v>1</v>
      </c>
      <c r="K86" s="101">
        <v>0</v>
      </c>
      <c r="L86" s="132">
        <f t="shared" si="64"/>
        <v>0.1</v>
      </c>
      <c r="M86" s="132">
        <f t="shared" si="65"/>
        <v>0</v>
      </c>
      <c r="N86" s="132">
        <f t="shared" si="62"/>
        <v>-0.1</v>
      </c>
      <c r="O86" s="133" t="str">
        <f t="shared" si="66"/>
        <v>지연</v>
      </c>
      <c r="P86" s="104"/>
      <c r="Q86" s="104"/>
      <c r="R86" s="104"/>
      <c r="S86" s="104"/>
      <c r="T86" s="94"/>
      <c r="U86" s="134" t="str">
        <f t="shared" si="61"/>
        <v/>
      </c>
      <c r="V86" s="253">
        <f>NETWORKDAYS(P86,Q86,진행현황_전체!C$59:C$77)</f>
        <v>0</v>
      </c>
      <c r="W86" s="135">
        <f t="shared" si="67"/>
        <v>0</v>
      </c>
      <c r="X86" s="136">
        <f t="shared" si="67"/>
        <v>0</v>
      </c>
      <c r="Y86" s="136">
        <f t="shared" si="67"/>
        <v>0</v>
      </c>
      <c r="Z86" s="136">
        <f t="shared" si="67"/>
        <v>0</v>
      </c>
      <c r="AA86" s="137">
        <f t="shared" si="67"/>
        <v>0</v>
      </c>
      <c r="AB86" s="138">
        <f t="shared" si="67"/>
        <v>0</v>
      </c>
      <c r="AC86" s="136">
        <f t="shared" si="67"/>
        <v>0</v>
      </c>
      <c r="AD86" s="136">
        <f t="shared" si="67"/>
        <v>0</v>
      </c>
      <c r="AE86" s="137">
        <f t="shared" si="67"/>
        <v>0</v>
      </c>
      <c r="AF86" s="135">
        <f t="shared" si="67"/>
        <v>0</v>
      </c>
      <c r="AG86" s="136">
        <f t="shared" si="67"/>
        <v>0</v>
      </c>
      <c r="AH86" s="136">
        <f t="shared" si="67"/>
        <v>0</v>
      </c>
      <c r="AI86" s="137">
        <f t="shared" si="67"/>
        <v>0</v>
      </c>
      <c r="AJ86" s="135">
        <f t="shared" si="67"/>
        <v>0</v>
      </c>
      <c r="AK86" s="138">
        <f t="shared" si="67"/>
        <v>0</v>
      </c>
      <c r="AL86" s="136">
        <f t="shared" si="67"/>
        <v>0</v>
      </c>
      <c r="AM86" s="136">
        <f t="shared" si="67"/>
        <v>0</v>
      </c>
      <c r="AN86" s="194">
        <f t="shared" si="67"/>
        <v>0</v>
      </c>
      <c r="AO86" s="138">
        <f t="shared" si="67"/>
        <v>0</v>
      </c>
      <c r="AP86" s="136">
        <f t="shared" si="67"/>
        <v>0</v>
      </c>
      <c r="AQ86" s="136">
        <f t="shared" si="67"/>
        <v>0</v>
      </c>
      <c r="AR86" s="137">
        <f t="shared" si="68"/>
        <v>0</v>
      </c>
      <c r="AS86" s="135">
        <f t="shared" si="68"/>
        <v>0</v>
      </c>
      <c r="AT86" s="136">
        <f t="shared" si="68"/>
        <v>0</v>
      </c>
      <c r="AU86" s="136">
        <f t="shared" si="68"/>
        <v>0</v>
      </c>
      <c r="AV86" s="137">
        <f t="shared" si="68"/>
        <v>0</v>
      </c>
      <c r="AW86" s="135">
        <f t="shared" si="68"/>
        <v>0</v>
      </c>
      <c r="AX86" s="136">
        <f t="shared" si="68"/>
        <v>0</v>
      </c>
      <c r="AY86" s="136">
        <f t="shared" si="68"/>
        <v>0</v>
      </c>
      <c r="AZ86" s="136">
        <f t="shared" si="68"/>
        <v>0</v>
      </c>
      <c r="BA86" s="137">
        <f t="shared" si="68"/>
        <v>0</v>
      </c>
      <c r="BB86" s="138">
        <f t="shared" si="68"/>
        <v>0</v>
      </c>
      <c r="BC86" s="136">
        <f t="shared" si="68"/>
        <v>0</v>
      </c>
      <c r="BD86" s="136">
        <f t="shared" si="68"/>
        <v>0</v>
      </c>
      <c r="BE86" s="137">
        <f t="shared" si="68"/>
        <v>0</v>
      </c>
      <c r="BF86" s="135">
        <f t="shared" si="68"/>
        <v>0</v>
      </c>
      <c r="BG86" s="136">
        <f t="shared" si="68"/>
        <v>0</v>
      </c>
      <c r="BH86" s="136">
        <f t="shared" si="69"/>
        <v>0</v>
      </c>
      <c r="BI86" s="137">
        <f t="shared" si="69"/>
        <v>0</v>
      </c>
      <c r="BJ86" s="138">
        <f t="shared" si="69"/>
        <v>0</v>
      </c>
      <c r="BK86" s="136">
        <f t="shared" si="69"/>
        <v>0</v>
      </c>
      <c r="BL86" s="136">
        <f t="shared" si="69"/>
        <v>0</v>
      </c>
      <c r="BM86" s="136">
        <f t="shared" si="69"/>
        <v>0</v>
      </c>
      <c r="BN86" s="137">
        <f t="shared" si="69"/>
        <v>0</v>
      </c>
      <c r="BO86" s="138">
        <f t="shared" si="69"/>
        <v>0</v>
      </c>
      <c r="BP86" s="136">
        <f t="shared" si="69"/>
        <v>0</v>
      </c>
      <c r="BQ86" s="136">
        <f t="shared" si="69"/>
        <v>0</v>
      </c>
      <c r="BR86" s="137">
        <f t="shared" si="69"/>
        <v>0</v>
      </c>
      <c r="BS86" s="138">
        <f t="shared" si="69"/>
        <v>0</v>
      </c>
      <c r="BT86" s="136">
        <f t="shared" si="69"/>
        <v>0</v>
      </c>
      <c r="BU86" s="136">
        <f t="shared" si="69"/>
        <v>0</v>
      </c>
      <c r="BV86" s="136">
        <f t="shared" si="69"/>
        <v>0</v>
      </c>
      <c r="BW86" s="137">
        <f t="shared" si="69"/>
        <v>0</v>
      </c>
      <c r="BX86" s="138">
        <f t="shared" si="69"/>
        <v>0</v>
      </c>
      <c r="BY86" s="136">
        <f t="shared" si="69"/>
        <v>0</v>
      </c>
      <c r="BZ86" s="136">
        <f t="shared" si="69"/>
        <v>0</v>
      </c>
      <c r="CA86" s="137">
        <f t="shared" si="69"/>
        <v>0</v>
      </c>
      <c r="CB86" s="135">
        <f t="shared" si="69"/>
        <v>0</v>
      </c>
      <c r="CC86" s="136">
        <f t="shared" si="69"/>
        <v>0</v>
      </c>
      <c r="CD86" s="136">
        <f t="shared" si="69"/>
        <v>0</v>
      </c>
      <c r="CE86" s="137">
        <f t="shared" si="69"/>
        <v>0</v>
      </c>
    </row>
    <row r="87" spans="1:83" ht="17.25" thickBot="1">
      <c r="A87" s="139" t="s">
        <v>55</v>
      </c>
      <c r="B87" s="114" t="str">
        <f>진행현황_템플릿!I15</f>
        <v>단계8</v>
      </c>
      <c r="C87" s="115"/>
      <c r="D87" s="115"/>
      <c r="E87" s="115"/>
      <c r="F87" s="115"/>
      <c r="G87" s="115"/>
      <c r="H87" s="116">
        <f>SUM(I88:I97)</f>
        <v>100</v>
      </c>
      <c r="I87" s="117">
        <f>진행현황_템플릿!I16</f>
        <v>15</v>
      </c>
      <c r="J87" s="118">
        <f>SUM(L88:L97)</f>
        <v>0.99999999999999989</v>
      </c>
      <c r="K87" s="119">
        <f>SUM(M88:M97)</f>
        <v>0</v>
      </c>
      <c r="L87" s="120">
        <f>SUM(L88:L97)*I87</f>
        <v>14.999999999999998</v>
      </c>
      <c r="M87" s="120">
        <f>SUM(M88:M97)*I87</f>
        <v>0</v>
      </c>
      <c r="N87" s="120">
        <f>M87-L87</f>
        <v>-14.999999999999998</v>
      </c>
      <c r="O87" s="121"/>
      <c r="P87" s="122">
        <f>MIN(P88:P97)</f>
        <v>0</v>
      </c>
      <c r="Q87" s="122">
        <f>MAX(Q88:Q97)</f>
        <v>0</v>
      </c>
      <c r="R87" s="122">
        <f>MIN(R88:R97)</f>
        <v>0</v>
      </c>
      <c r="S87" s="122">
        <f>MAX(S88:S97)</f>
        <v>0</v>
      </c>
      <c r="T87" s="113"/>
      <c r="U87" s="123" t="str">
        <f t="shared" si="61"/>
        <v/>
      </c>
      <c r="V87" s="124">
        <f>NETWORKDAYS(P87,Q87,진행현황_전체!C$59:C$77)</f>
        <v>0</v>
      </c>
      <c r="W87" s="125"/>
      <c r="X87" s="126"/>
      <c r="Y87" s="126"/>
      <c r="Z87" s="126"/>
      <c r="AA87" s="127"/>
      <c r="AB87" s="129"/>
      <c r="AC87" s="126"/>
      <c r="AD87" s="126"/>
      <c r="AE87" s="127"/>
      <c r="AF87" s="128"/>
      <c r="AG87" s="126"/>
      <c r="AH87" s="126"/>
      <c r="AI87" s="127"/>
      <c r="AJ87" s="128"/>
      <c r="AK87" s="129"/>
      <c r="AL87" s="126"/>
      <c r="AM87" s="126"/>
      <c r="AN87" s="193"/>
      <c r="AO87" s="129"/>
      <c r="AP87" s="126"/>
      <c r="AQ87" s="126"/>
      <c r="AR87" s="127"/>
      <c r="AS87" s="128"/>
      <c r="AT87" s="126"/>
      <c r="AU87" s="126"/>
      <c r="AV87" s="127"/>
      <c r="AW87" s="125"/>
      <c r="AX87" s="126"/>
      <c r="AY87" s="126"/>
      <c r="AZ87" s="126"/>
      <c r="BA87" s="127"/>
      <c r="BB87" s="129"/>
      <c r="BC87" s="126"/>
      <c r="BD87" s="126"/>
      <c r="BE87" s="127"/>
      <c r="BF87" s="128"/>
      <c r="BG87" s="126"/>
      <c r="BH87" s="126"/>
      <c r="BI87" s="127"/>
      <c r="BJ87" s="129"/>
      <c r="BK87" s="126"/>
      <c r="BL87" s="126"/>
      <c r="BM87" s="126"/>
      <c r="BN87" s="127"/>
      <c r="BO87" s="129"/>
      <c r="BP87" s="126"/>
      <c r="BQ87" s="126"/>
      <c r="BR87" s="127"/>
      <c r="BS87" s="129"/>
      <c r="BT87" s="126"/>
      <c r="BU87" s="126"/>
      <c r="BV87" s="126"/>
      <c r="BW87" s="127"/>
      <c r="BX87" s="129"/>
      <c r="BY87" s="126"/>
      <c r="BZ87" s="126"/>
      <c r="CA87" s="127"/>
      <c r="CB87" s="128"/>
      <c r="CC87" s="126"/>
      <c r="CD87" s="126"/>
      <c r="CE87" s="127"/>
    </row>
    <row r="88" spans="1:83">
      <c r="A88" s="130" t="s">
        <v>39</v>
      </c>
      <c r="B88" s="95"/>
      <c r="C88" s="96"/>
      <c r="D88" s="96"/>
      <c r="E88" s="96"/>
      <c r="F88" s="96"/>
      <c r="G88" s="96"/>
      <c r="H88" s="97"/>
      <c r="I88" s="94">
        <v>10</v>
      </c>
      <c r="J88" s="131">
        <f t="shared" ref="J88:J97" si="70">IF(CheckDay&gt;=Q88,1,IF(CheckDay&lt;P88, 0,DAYS360(P88,CheckDay+1)/Y88))</f>
        <v>1</v>
      </c>
      <c r="K88" s="101">
        <v>0</v>
      </c>
      <c r="L88" s="132">
        <f t="shared" ref="L88:L97" si="71">I88*J88/100</f>
        <v>0.1</v>
      </c>
      <c r="M88" s="132">
        <f t="shared" ref="M88:M97" si="72">I88*K88/100</f>
        <v>0</v>
      </c>
      <c r="N88" s="132">
        <f t="shared" si="62"/>
        <v>-0.1</v>
      </c>
      <c r="O88" s="133" t="str">
        <f t="shared" ref="O88:O97" si="73">IF(AND(K88=0%,N88=0),"",IF(N88&lt;0,"지연",IF(K88=100%,"종료","진행")))</f>
        <v>지연</v>
      </c>
      <c r="P88" s="104"/>
      <c r="Q88" s="104"/>
      <c r="R88" s="104"/>
      <c r="S88" s="104"/>
      <c r="T88" s="94"/>
      <c r="U88" s="134" t="str">
        <f t="shared" si="61"/>
        <v/>
      </c>
      <c r="V88" s="253">
        <f>NETWORKDAYS(P88,Q88,진행현황_전체!C$59:C$77)</f>
        <v>0</v>
      </c>
      <c r="W88" s="135">
        <f t="shared" ref="W88:AV97" si="74">IF(OR((AND($P88&lt;=W$7,AND($Q88&lt;=W$8, $Q88&gt;=W$7))),(AND(AND($P88&gt;=W$7, $P88&lt;=W$8),$Q88&gt;=W$8)), AND($P88&gt;=W$7, $Q88&lt;=W$8), AND($P88&lt;=W$7,$Q88&gt;=W$8)),1,0)</f>
        <v>0</v>
      </c>
      <c r="X88" s="136">
        <f t="shared" si="74"/>
        <v>0</v>
      </c>
      <c r="Y88" s="136">
        <f t="shared" si="74"/>
        <v>0</v>
      </c>
      <c r="Z88" s="136">
        <f t="shared" si="74"/>
        <v>0</v>
      </c>
      <c r="AA88" s="137">
        <f t="shared" si="74"/>
        <v>0</v>
      </c>
      <c r="AB88" s="138">
        <f t="shared" si="74"/>
        <v>0</v>
      </c>
      <c r="AC88" s="136">
        <f t="shared" si="74"/>
        <v>0</v>
      </c>
      <c r="AD88" s="136">
        <f t="shared" si="74"/>
        <v>0</v>
      </c>
      <c r="AE88" s="137">
        <f t="shared" si="74"/>
        <v>0</v>
      </c>
      <c r="AF88" s="135">
        <f t="shared" si="74"/>
        <v>0</v>
      </c>
      <c r="AG88" s="136">
        <f t="shared" si="74"/>
        <v>0</v>
      </c>
      <c r="AH88" s="136">
        <f t="shared" si="74"/>
        <v>0</v>
      </c>
      <c r="AI88" s="137">
        <f t="shared" si="74"/>
        <v>0</v>
      </c>
      <c r="AJ88" s="135">
        <f t="shared" si="74"/>
        <v>0</v>
      </c>
      <c r="AK88" s="138">
        <f t="shared" si="74"/>
        <v>0</v>
      </c>
      <c r="AL88" s="136">
        <f t="shared" si="74"/>
        <v>0</v>
      </c>
      <c r="AM88" s="136">
        <f t="shared" si="74"/>
        <v>0</v>
      </c>
      <c r="AN88" s="194">
        <f t="shared" si="74"/>
        <v>0</v>
      </c>
      <c r="AO88" s="138">
        <f t="shared" si="74"/>
        <v>0</v>
      </c>
      <c r="AP88" s="136">
        <f t="shared" si="74"/>
        <v>0</v>
      </c>
      <c r="AQ88" s="136">
        <f t="shared" si="74"/>
        <v>0</v>
      </c>
      <c r="AR88" s="137">
        <f t="shared" si="74"/>
        <v>0</v>
      </c>
      <c r="AS88" s="135">
        <f t="shared" si="74"/>
        <v>0</v>
      </c>
      <c r="AT88" s="136">
        <f t="shared" si="74"/>
        <v>0</v>
      </c>
      <c r="AU88" s="136">
        <f t="shared" si="74"/>
        <v>0</v>
      </c>
      <c r="AV88" s="137">
        <f t="shared" si="74"/>
        <v>0</v>
      </c>
      <c r="AW88" s="135">
        <f t="shared" ref="AW88:CE95" si="75">IF(OR((AND($P88&lt;=AW$7,AND($Q88&lt;=AW$8, $Q88&gt;=AW$7))),(AND(AND($P88&gt;=AW$7, $P88&lt;=AW$8),$Q88&gt;=AW$8)), AND($P88&gt;=AW$7, $Q88&lt;=AW$8), AND($P88&lt;=AW$7,$Q88&gt;=AW$8)),1,0)</f>
        <v>0</v>
      </c>
      <c r="AX88" s="136">
        <f t="shared" si="75"/>
        <v>0</v>
      </c>
      <c r="AY88" s="136">
        <f t="shared" si="75"/>
        <v>0</v>
      </c>
      <c r="AZ88" s="136">
        <f t="shared" si="75"/>
        <v>0</v>
      </c>
      <c r="BA88" s="137">
        <f t="shared" si="75"/>
        <v>0</v>
      </c>
      <c r="BB88" s="138">
        <f t="shared" si="75"/>
        <v>0</v>
      </c>
      <c r="BC88" s="136">
        <f t="shared" si="75"/>
        <v>0</v>
      </c>
      <c r="BD88" s="136">
        <f t="shared" si="75"/>
        <v>0</v>
      </c>
      <c r="BE88" s="137">
        <f t="shared" si="75"/>
        <v>0</v>
      </c>
      <c r="BF88" s="135">
        <f t="shared" si="75"/>
        <v>0</v>
      </c>
      <c r="BG88" s="136">
        <f t="shared" si="75"/>
        <v>0</v>
      </c>
      <c r="BH88" s="136">
        <f t="shared" si="75"/>
        <v>0</v>
      </c>
      <c r="BI88" s="137">
        <f t="shared" si="75"/>
        <v>0</v>
      </c>
      <c r="BJ88" s="138">
        <f t="shared" si="75"/>
        <v>0</v>
      </c>
      <c r="BK88" s="136">
        <f t="shared" si="75"/>
        <v>0</v>
      </c>
      <c r="BL88" s="136">
        <f t="shared" si="75"/>
        <v>0</v>
      </c>
      <c r="BM88" s="136">
        <f t="shared" si="75"/>
        <v>0</v>
      </c>
      <c r="BN88" s="137">
        <f t="shared" si="75"/>
        <v>0</v>
      </c>
      <c r="BO88" s="138">
        <f t="shared" si="75"/>
        <v>0</v>
      </c>
      <c r="BP88" s="136">
        <f t="shared" si="75"/>
        <v>0</v>
      </c>
      <c r="BQ88" s="136">
        <f t="shared" si="75"/>
        <v>0</v>
      </c>
      <c r="BR88" s="137">
        <f t="shared" si="75"/>
        <v>0</v>
      </c>
      <c r="BS88" s="138">
        <f t="shared" si="75"/>
        <v>0</v>
      </c>
      <c r="BT88" s="136">
        <f t="shared" si="75"/>
        <v>0</v>
      </c>
      <c r="BU88" s="136">
        <f t="shared" si="75"/>
        <v>0</v>
      </c>
      <c r="BV88" s="136">
        <f t="shared" si="75"/>
        <v>0</v>
      </c>
      <c r="BW88" s="137">
        <f t="shared" si="75"/>
        <v>0</v>
      </c>
      <c r="BX88" s="138">
        <f t="shared" si="75"/>
        <v>0</v>
      </c>
      <c r="BY88" s="136">
        <f t="shared" si="75"/>
        <v>0</v>
      </c>
      <c r="BZ88" s="136">
        <f t="shared" si="75"/>
        <v>0</v>
      </c>
      <c r="CA88" s="137">
        <f t="shared" si="75"/>
        <v>0</v>
      </c>
      <c r="CB88" s="135">
        <f t="shared" si="75"/>
        <v>0</v>
      </c>
      <c r="CC88" s="136">
        <f t="shared" si="75"/>
        <v>0</v>
      </c>
      <c r="CD88" s="136">
        <f t="shared" si="75"/>
        <v>0</v>
      </c>
      <c r="CE88" s="137">
        <f t="shared" si="75"/>
        <v>0</v>
      </c>
    </row>
    <row r="89" spans="1:83">
      <c r="A89" s="130" t="s">
        <v>137</v>
      </c>
      <c r="B89" s="95"/>
      <c r="C89" s="96"/>
      <c r="D89" s="96"/>
      <c r="E89" s="96"/>
      <c r="F89" s="96"/>
      <c r="G89" s="96"/>
      <c r="H89" s="97"/>
      <c r="I89" s="94">
        <v>10</v>
      </c>
      <c r="J89" s="131">
        <f t="shared" si="70"/>
        <v>1</v>
      </c>
      <c r="K89" s="101">
        <v>0</v>
      </c>
      <c r="L89" s="132">
        <f t="shared" si="71"/>
        <v>0.1</v>
      </c>
      <c r="M89" s="132">
        <f t="shared" si="72"/>
        <v>0</v>
      </c>
      <c r="N89" s="132">
        <f t="shared" si="62"/>
        <v>-0.1</v>
      </c>
      <c r="O89" s="133" t="str">
        <f t="shared" si="73"/>
        <v>지연</v>
      </c>
      <c r="P89" s="104"/>
      <c r="Q89" s="104"/>
      <c r="R89" s="104"/>
      <c r="S89" s="104"/>
      <c r="T89" s="94"/>
      <c r="U89" s="134" t="str">
        <f t="shared" si="61"/>
        <v/>
      </c>
      <c r="V89" s="253">
        <f>NETWORKDAYS(P89,Q89,진행현황_전체!C$59:C$77)</f>
        <v>0</v>
      </c>
      <c r="W89" s="135">
        <f t="shared" si="74"/>
        <v>0</v>
      </c>
      <c r="X89" s="136">
        <f t="shared" si="74"/>
        <v>0</v>
      </c>
      <c r="Y89" s="136">
        <f t="shared" si="74"/>
        <v>0</v>
      </c>
      <c r="Z89" s="136">
        <f t="shared" si="74"/>
        <v>0</v>
      </c>
      <c r="AA89" s="137">
        <f t="shared" si="74"/>
        <v>0</v>
      </c>
      <c r="AB89" s="138">
        <f t="shared" si="74"/>
        <v>0</v>
      </c>
      <c r="AC89" s="136">
        <f t="shared" si="74"/>
        <v>0</v>
      </c>
      <c r="AD89" s="136">
        <f t="shared" si="74"/>
        <v>0</v>
      </c>
      <c r="AE89" s="137">
        <f t="shared" si="74"/>
        <v>0</v>
      </c>
      <c r="AF89" s="135">
        <f t="shared" si="74"/>
        <v>0</v>
      </c>
      <c r="AG89" s="136">
        <f t="shared" si="74"/>
        <v>0</v>
      </c>
      <c r="AH89" s="136">
        <f t="shared" si="74"/>
        <v>0</v>
      </c>
      <c r="AI89" s="137">
        <f t="shared" si="74"/>
        <v>0</v>
      </c>
      <c r="AJ89" s="135">
        <f t="shared" si="74"/>
        <v>0</v>
      </c>
      <c r="AK89" s="138">
        <f t="shared" si="74"/>
        <v>0</v>
      </c>
      <c r="AL89" s="136">
        <f t="shared" si="74"/>
        <v>0</v>
      </c>
      <c r="AM89" s="136">
        <f t="shared" si="74"/>
        <v>0</v>
      </c>
      <c r="AN89" s="194">
        <f t="shared" si="74"/>
        <v>0</v>
      </c>
      <c r="AO89" s="138">
        <f t="shared" si="74"/>
        <v>0</v>
      </c>
      <c r="AP89" s="136">
        <f t="shared" si="74"/>
        <v>0</v>
      </c>
      <c r="AQ89" s="136">
        <f t="shared" si="74"/>
        <v>0</v>
      </c>
      <c r="AR89" s="137">
        <f t="shared" si="74"/>
        <v>0</v>
      </c>
      <c r="AS89" s="135">
        <f t="shared" si="74"/>
        <v>0</v>
      </c>
      <c r="AT89" s="136">
        <f t="shared" si="74"/>
        <v>0</v>
      </c>
      <c r="AU89" s="136">
        <f t="shared" si="74"/>
        <v>0</v>
      </c>
      <c r="AV89" s="137">
        <f t="shared" si="74"/>
        <v>0</v>
      </c>
      <c r="AW89" s="135">
        <f t="shared" si="75"/>
        <v>0</v>
      </c>
      <c r="AX89" s="136">
        <f t="shared" si="75"/>
        <v>0</v>
      </c>
      <c r="AY89" s="136">
        <f t="shared" si="75"/>
        <v>0</v>
      </c>
      <c r="AZ89" s="136">
        <f t="shared" si="75"/>
        <v>0</v>
      </c>
      <c r="BA89" s="137">
        <f t="shared" si="75"/>
        <v>0</v>
      </c>
      <c r="BB89" s="138">
        <f t="shared" si="75"/>
        <v>0</v>
      </c>
      <c r="BC89" s="136">
        <f t="shared" si="75"/>
        <v>0</v>
      </c>
      <c r="BD89" s="136">
        <f t="shared" si="75"/>
        <v>0</v>
      </c>
      <c r="BE89" s="137">
        <f t="shared" si="75"/>
        <v>0</v>
      </c>
      <c r="BF89" s="135">
        <f t="shared" si="75"/>
        <v>0</v>
      </c>
      <c r="BG89" s="136">
        <f t="shared" si="75"/>
        <v>0</v>
      </c>
      <c r="BH89" s="136">
        <f t="shared" si="75"/>
        <v>0</v>
      </c>
      <c r="BI89" s="137">
        <f t="shared" si="75"/>
        <v>0</v>
      </c>
      <c r="BJ89" s="138">
        <f t="shared" si="75"/>
        <v>0</v>
      </c>
      <c r="BK89" s="136">
        <f t="shared" si="75"/>
        <v>0</v>
      </c>
      <c r="BL89" s="136">
        <f t="shared" si="75"/>
        <v>0</v>
      </c>
      <c r="BM89" s="136">
        <f t="shared" si="75"/>
        <v>0</v>
      </c>
      <c r="BN89" s="137">
        <f t="shared" si="75"/>
        <v>0</v>
      </c>
      <c r="BO89" s="138">
        <f t="shared" si="75"/>
        <v>0</v>
      </c>
      <c r="BP89" s="136">
        <f t="shared" si="75"/>
        <v>0</v>
      </c>
      <c r="BQ89" s="136">
        <f t="shared" si="75"/>
        <v>0</v>
      </c>
      <c r="BR89" s="137">
        <f t="shared" si="75"/>
        <v>0</v>
      </c>
      <c r="BS89" s="138">
        <f t="shared" si="75"/>
        <v>0</v>
      </c>
      <c r="BT89" s="136">
        <f t="shared" si="75"/>
        <v>0</v>
      </c>
      <c r="BU89" s="136">
        <f t="shared" si="75"/>
        <v>0</v>
      </c>
      <c r="BV89" s="136">
        <f t="shared" si="75"/>
        <v>0</v>
      </c>
      <c r="BW89" s="137">
        <f t="shared" si="75"/>
        <v>0</v>
      </c>
      <c r="BX89" s="138">
        <f t="shared" si="75"/>
        <v>0</v>
      </c>
      <c r="BY89" s="136">
        <f t="shared" si="75"/>
        <v>0</v>
      </c>
      <c r="BZ89" s="136">
        <f t="shared" si="75"/>
        <v>0</v>
      </c>
      <c r="CA89" s="137">
        <f t="shared" si="75"/>
        <v>0</v>
      </c>
      <c r="CB89" s="135">
        <f t="shared" si="75"/>
        <v>0</v>
      </c>
      <c r="CC89" s="136">
        <f t="shared" si="75"/>
        <v>0</v>
      </c>
      <c r="CD89" s="136">
        <f t="shared" si="75"/>
        <v>0</v>
      </c>
      <c r="CE89" s="137">
        <f t="shared" si="75"/>
        <v>0</v>
      </c>
    </row>
    <row r="90" spans="1:83">
      <c r="A90" s="130" t="s">
        <v>40</v>
      </c>
      <c r="B90" s="95"/>
      <c r="C90" s="96"/>
      <c r="D90" s="96"/>
      <c r="E90" s="96"/>
      <c r="F90" s="96"/>
      <c r="G90" s="96"/>
      <c r="H90" s="97"/>
      <c r="I90" s="94">
        <v>10</v>
      </c>
      <c r="J90" s="131">
        <f t="shared" si="70"/>
        <v>1</v>
      </c>
      <c r="K90" s="101">
        <v>0</v>
      </c>
      <c r="L90" s="132">
        <f t="shared" si="71"/>
        <v>0.1</v>
      </c>
      <c r="M90" s="132">
        <f t="shared" si="72"/>
        <v>0</v>
      </c>
      <c r="N90" s="132">
        <f t="shared" si="62"/>
        <v>-0.1</v>
      </c>
      <c r="O90" s="133" t="str">
        <f t="shared" si="73"/>
        <v>지연</v>
      </c>
      <c r="P90" s="104"/>
      <c r="Q90" s="104"/>
      <c r="R90" s="104"/>
      <c r="S90" s="104"/>
      <c r="T90" s="94"/>
      <c r="U90" s="134" t="str">
        <f t="shared" si="61"/>
        <v/>
      </c>
      <c r="V90" s="253">
        <f>NETWORKDAYS(P90,Q90,진행현황_전체!C$59:C$77)</f>
        <v>0</v>
      </c>
      <c r="W90" s="135">
        <f t="shared" si="74"/>
        <v>0</v>
      </c>
      <c r="X90" s="136">
        <f t="shared" si="74"/>
        <v>0</v>
      </c>
      <c r="Y90" s="136">
        <f t="shared" si="74"/>
        <v>0</v>
      </c>
      <c r="Z90" s="136">
        <f t="shared" si="74"/>
        <v>0</v>
      </c>
      <c r="AA90" s="137">
        <f t="shared" si="74"/>
        <v>0</v>
      </c>
      <c r="AB90" s="138">
        <f t="shared" si="74"/>
        <v>0</v>
      </c>
      <c r="AC90" s="136">
        <f t="shared" si="74"/>
        <v>0</v>
      </c>
      <c r="AD90" s="136">
        <f t="shared" si="74"/>
        <v>0</v>
      </c>
      <c r="AE90" s="137">
        <f t="shared" si="74"/>
        <v>0</v>
      </c>
      <c r="AF90" s="135">
        <f t="shared" si="74"/>
        <v>0</v>
      </c>
      <c r="AG90" s="136">
        <f t="shared" si="74"/>
        <v>0</v>
      </c>
      <c r="AH90" s="136">
        <f t="shared" si="74"/>
        <v>0</v>
      </c>
      <c r="AI90" s="137">
        <f t="shared" si="74"/>
        <v>0</v>
      </c>
      <c r="AJ90" s="135">
        <f t="shared" si="74"/>
        <v>0</v>
      </c>
      <c r="AK90" s="138">
        <f t="shared" si="74"/>
        <v>0</v>
      </c>
      <c r="AL90" s="136">
        <f t="shared" si="74"/>
        <v>0</v>
      </c>
      <c r="AM90" s="136">
        <f t="shared" si="74"/>
        <v>0</v>
      </c>
      <c r="AN90" s="194">
        <f t="shared" si="74"/>
        <v>0</v>
      </c>
      <c r="AO90" s="138">
        <f t="shared" si="74"/>
        <v>0</v>
      </c>
      <c r="AP90" s="136">
        <f t="shared" si="74"/>
        <v>0</v>
      </c>
      <c r="AQ90" s="136">
        <f t="shared" si="74"/>
        <v>0</v>
      </c>
      <c r="AR90" s="137">
        <f t="shared" si="74"/>
        <v>0</v>
      </c>
      <c r="AS90" s="135">
        <f t="shared" si="74"/>
        <v>0</v>
      </c>
      <c r="AT90" s="136">
        <f t="shared" si="74"/>
        <v>0</v>
      </c>
      <c r="AU90" s="136">
        <f t="shared" si="74"/>
        <v>0</v>
      </c>
      <c r="AV90" s="137">
        <f t="shared" si="74"/>
        <v>0</v>
      </c>
      <c r="AW90" s="135">
        <f t="shared" si="75"/>
        <v>0</v>
      </c>
      <c r="AX90" s="136">
        <f t="shared" si="75"/>
        <v>0</v>
      </c>
      <c r="AY90" s="136">
        <f t="shared" si="75"/>
        <v>0</v>
      </c>
      <c r="AZ90" s="136">
        <f t="shared" si="75"/>
        <v>0</v>
      </c>
      <c r="BA90" s="137">
        <f t="shared" si="75"/>
        <v>0</v>
      </c>
      <c r="BB90" s="138">
        <f t="shared" si="75"/>
        <v>0</v>
      </c>
      <c r="BC90" s="136">
        <f t="shared" si="75"/>
        <v>0</v>
      </c>
      <c r="BD90" s="136">
        <f t="shared" si="75"/>
        <v>0</v>
      </c>
      <c r="BE90" s="137">
        <f t="shared" si="75"/>
        <v>0</v>
      </c>
      <c r="BF90" s="135">
        <f t="shared" si="75"/>
        <v>0</v>
      </c>
      <c r="BG90" s="136">
        <f t="shared" si="75"/>
        <v>0</v>
      </c>
      <c r="BH90" s="136">
        <f t="shared" si="75"/>
        <v>0</v>
      </c>
      <c r="BI90" s="137">
        <f t="shared" si="75"/>
        <v>0</v>
      </c>
      <c r="BJ90" s="138">
        <f t="shared" si="75"/>
        <v>0</v>
      </c>
      <c r="BK90" s="136">
        <f t="shared" si="75"/>
        <v>0</v>
      </c>
      <c r="BL90" s="136">
        <f t="shared" si="75"/>
        <v>0</v>
      </c>
      <c r="BM90" s="136">
        <f t="shared" si="75"/>
        <v>0</v>
      </c>
      <c r="BN90" s="137">
        <f t="shared" si="75"/>
        <v>0</v>
      </c>
      <c r="BO90" s="138">
        <f t="shared" si="75"/>
        <v>0</v>
      </c>
      <c r="BP90" s="136">
        <f t="shared" si="75"/>
        <v>0</v>
      </c>
      <c r="BQ90" s="136">
        <f t="shared" si="75"/>
        <v>0</v>
      </c>
      <c r="BR90" s="137">
        <f t="shared" si="75"/>
        <v>0</v>
      </c>
      <c r="BS90" s="138">
        <f t="shared" si="75"/>
        <v>0</v>
      </c>
      <c r="BT90" s="136">
        <f t="shared" si="75"/>
        <v>0</v>
      </c>
      <c r="BU90" s="136">
        <f t="shared" si="75"/>
        <v>0</v>
      </c>
      <c r="BV90" s="136">
        <f t="shared" si="75"/>
        <v>0</v>
      </c>
      <c r="BW90" s="137">
        <f t="shared" si="75"/>
        <v>0</v>
      </c>
      <c r="BX90" s="138">
        <f t="shared" si="75"/>
        <v>0</v>
      </c>
      <c r="BY90" s="136">
        <f t="shared" si="75"/>
        <v>0</v>
      </c>
      <c r="BZ90" s="136">
        <f t="shared" si="75"/>
        <v>0</v>
      </c>
      <c r="CA90" s="137">
        <f t="shared" si="75"/>
        <v>0</v>
      </c>
      <c r="CB90" s="135">
        <f t="shared" si="75"/>
        <v>0</v>
      </c>
      <c r="CC90" s="136">
        <f t="shared" si="75"/>
        <v>0</v>
      </c>
      <c r="CD90" s="136">
        <f t="shared" si="75"/>
        <v>0</v>
      </c>
      <c r="CE90" s="137">
        <f t="shared" si="75"/>
        <v>0</v>
      </c>
    </row>
    <row r="91" spans="1:83">
      <c r="A91" s="130" t="s">
        <v>114</v>
      </c>
      <c r="B91" s="95"/>
      <c r="C91" s="96"/>
      <c r="D91" s="96"/>
      <c r="E91" s="96"/>
      <c r="F91" s="96"/>
      <c r="G91" s="96"/>
      <c r="H91" s="97"/>
      <c r="I91" s="94">
        <v>10</v>
      </c>
      <c r="J91" s="131">
        <f t="shared" si="70"/>
        <v>1</v>
      </c>
      <c r="K91" s="101">
        <v>0</v>
      </c>
      <c r="L91" s="132">
        <f t="shared" si="71"/>
        <v>0.1</v>
      </c>
      <c r="M91" s="132">
        <f t="shared" si="72"/>
        <v>0</v>
      </c>
      <c r="N91" s="132">
        <f t="shared" si="62"/>
        <v>-0.1</v>
      </c>
      <c r="O91" s="133" t="str">
        <f t="shared" si="73"/>
        <v>지연</v>
      </c>
      <c r="P91" s="104"/>
      <c r="Q91" s="104"/>
      <c r="R91" s="104"/>
      <c r="S91" s="104"/>
      <c r="T91" s="94"/>
      <c r="U91" s="134" t="str">
        <f t="shared" si="61"/>
        <v/>
      </c>
      <c r="V91" s="253">
        <f>NETWORKDAYS(P91,Q91,진행현황_전체!C$59:C$77)</f>
        <v>0</v>
      </c>
      <c r="W91" s="135">
        <f t="shared" si="74"/>
        <v>0</v>
      </c>
      <c r="X91" s="136">
        <f t="shared" si="74"/>
        <v>0</v>
      </c>
      <c r="Y91" s="136">
        <f t="shared" si="74"/>
        <v>0</v>
      </c>
      <c r="Z91" s="136">
        <f t="shared" si="74"/>
        <v>0</v>
      </c>
      <c r="AA91" s="137">
        <f t="shared" si="74"/>
        <v>0</v>
      </c>
      <c r="AB91" s="138">
        <f t="shared" si="74"/>
        <v>0</v>
      </c>
      <c r="AC91" s="136">
        <f t="shared" si="74"/>
        <v>0</v>
      </c>
      <c r="AD91" s="136">
        <f t="shared" si="74"/>
        <v>0</v>
      </c>
      <c r="AE91" s="137">
        <f t="shared" si="74"/>
        <v>0</v>
      </c>
      <c r="AF91" s="135">
        <f t="shared" si="74"/>
        <v>0</v>
      </c>
      <c r="AG91" s="136">
        <f t="shared" si="74"/>
        <v>0</v>
      </c>
      <c r="AH91" s="136">
        <f t="shared" si="74"/>
        <v>0</v>
      </c>
      <c r="AI91" s="137">
        <f t="shared" si="74"/>
        <v>0</v>
      </c>
      <c r="AJ91" s="135">
        <f t="shared" si="74"/>
        <v>0</v>
      </c>
      <c r="AK91" s="138">
        <f t="shared" si="74"/>
        <v>0</v>
      </c>
      <c r="AL91" s="136">
        <f t="shared" si="74"/>
        <v>0</v>
      </c>
      <c r="AM91" s="136">
        <f t="shared" si="74"/>
        <v>0</v>
      </c>
      <c r="AN91" s="194">
        <f t="shared" si="74"/>
        <v>0</v>
      </c>
      <c r="AO91" s="138">
        <f t="shared" si="74"/>
        <v>0</v>
      </c>
      <c r="AP91" s="136">
        <f t="shared" si="74"/>
        <v>0</v>
      </c>
      <c r="AQ91" s="136">
        <f t="shared" si="74"/>
        <v>0</v>
      </c>
      <c r="AR91" s="137">
        <f t="shared" si="74"/>
        <v>0</v>
      </c>
      <c r="AS91" s="135">
        <f t="shared" si="74"/>
        <v>0</v>
      </c>
      <c r="AT91" s="136">
        <f t="shared" si="74"/>
        <v>0</v>
      </c>
      <c r="AU91" s="136">
        <f t="shared" si="74"/>
        <v>0</v>
      </c>
      <c r="AV91" s="137">
        <f t="shared" si="74"/>
        <v>0</v>
      </c>
      <c r="AW91" s="135">
        <f t="shared" si="75"/>
        <v>0</v>
      </c>
      <c r="AX91" s="136">
        <f t="shared" si="75"/>
        <v>0</v>
      </c>
      <c r="AY91" s="136">
        <f t="shared" si="75"/>
        <v>0</v>
      </c>
      <c r="AZ91" s="136">
        <f t="shared" si="75"/>
        <v>0</v>
      </c>
      <c r="BA91" s="137">
        <f t="shared" si="75"/>
        <v>0</v>
      </c>
      <c r="BB91" s="138">
        <f t="shared" si="75"/>
        <v>0</v>
      </c>
      <c r="BC91" s="136">
        <f t="shared" si="75"/>
        <v>0</v>
      </c>
      <c r="BD91" s="136">
        <f t="shared" si="75"/>
        <v>0</v>
      </c>
      <c r="BE91" s="137">
        <f t="shared" si="75"/>
        <v>0</v>
      </c>
      <c r="BF91" s="135">
        <f t="shared" si="75"/>
        <v>0</v>
      </c>
      <c r="BG91" s="136">
        <f t="shared" si="75"/>
        <v>0</v>
      </c>
      <c r="BH91" s="136">
        <f t="shared" si="75"/>
        <v>0</v>
      </c>
      <c r="BI91" s="137">
        <f t="shared" si="75"/>
        <v>0</v>
      </c>
      <c r="BJ91" s="138">
        <f t="shared" si="75"/>
        <v>0</v>
      </c>
      <c r="BK91" s="136">
        <f t="shared" si="75"/>
        <v>0</v>
      </c>
      <c r="BL91" s="136">
        <f t="shared" si="75"/>
        <v>0</v>
      </c>
      <c r="BM91" s="136">
        <f t="shared" si="75"/>
        <v>0</v>
      </c>
      <c r="BN91" s="137">
        <f t="shared" si="75"/>
        <v>0</v>
      </c>
      <c r="BO91" s="138">
        <f t="shared" si="75"/>
        <v>0</v>
      </c>
      <c r="BP91" s="136">
        <f t="shared" si="75"/>
        <v>0</v>
      </c>
      <c r="BQ91" s="136">
        <f t="shared" si="75"/>
        <v>0</v>
      </c>
      <c r="BR91" s="137">
        <f t="shared" si="75"/>
        <v>0</v>
      </c>
      <c r="BS91" s="138">
        <f t="shared" si="75"/>
        <v>0</v>
      </c>
      <c r="BT91" s="136">
        <f t="shared" si="75"/>
        <v>0</v>
      </c>
      <c r="BU91" s="136">
        <f t="shared" si="75"/>
        <v>0</v>
      </c>
      <c r="BV91" s="136">
        <f t="shared" si="75"/>
        <v>0</v>
      </c>
      <c r="BW91" s="137">
        <f t="shared" si="75"/>
        <v>0</v>
      </c>
      <c r="BX91" s="138">
        <f t="shared" si="75"/>
        <v>0</v>
      </c>
      <c r="BY91" s="136">
        <f t="shared" si="75"/>
        <v>0</v>
      </c>
      <c r="BZ91" s="136">
        <f t="shared" si="75"/>
        <v>0</v>
      </c>
      <c r="CA91" s="137">
        <f t="shared" si="75"/>
        <v>0</v>
      </c>
      <c r="CB91" s="135">
        <f t="shared" si="75"/>
        <v>0</v>
      </c>
      <c r="CC91" s="136">
        <f t="shared" si="75"/>
        <v>0</v>
      </c>
      <c r="CD91" s="136">
        <f t="shared" si="75"/>
        <v>0</v>
      </c>
      <c r="CE91" s="137">
        <f t="shared" si="75"/>
        <v>0</v>
      </c>
    </row>
    <row r="92" spans="1:83">
      <c r="A92" s="130" t="s">
        <v>115</v>
      </c>
      <c r="B92" s="95"/>
      <c r="C92" s="96"/>
      <c r="D92" s="96"/>
      <c r="E92" s="96"/>
      <c r="F92" s="96"/>
      <c r="G92" s="96"/>
      <c r="H92" s="97"/>
      <c r="I92" s="94">
        <v>10</v>
      </c>
      <c r="J92" s="131">
        <f t="shared" si="70"/>
        <v>1</v>
      </c>
      <c r="K92" s="101">
        <v>0</v>
      </c>
      <c r="L92" s="132">
        <f t="shared" si="71"/>
        <v>0.1</v>
      </c>
      <c r="M92" s="132">
        <f t="shared" si="72"/>
        <v>0</v>
      </c>
      <c r="N92" s="132">
        <f t="shared" si="62"/>
        <v>-0.1</v>
      </c>
      <c r="O92" s="133" t="str">
        <f t="shared" si="73"/>
        <v>지연</v>
      </c>
      <c r="P92" s="104"/>
      <c r="Q92" s="104"/>
      <c r="R92" s="104"/>
      <c r="S92" s="104"/>
      <c r="T92" s="94"/>
      <c r="U92" s="134" t="str">
        <f t="shared" si="61"/>
        <v/>
      </c>
      <c r="V92" s="253">
        <f>NETWORKDAYS(P92,Q92,진행현황_전체!C$59:C$77)</f>
        <v>0</v>
      </c>
      <c r="W92" s="135">
        <f t="shared" si="74"/>
        <v>0</v>
      </c>
      <c r="X92" s="136">
        <f t="shared" si="74"/>
        <v>0</v>
      </c>
      <c r="Y92" s="136">
        <f t="shared" si="74"/>
        <v>0</v>
      </c>
      <c r="Z92" s="136">
        <f t="shared" si="74"/>
        <v>0</v>
      </c>
      <c r="AA92" s="137">
        <f t="shared" si="74"/>
        <v>0</v>
      </c>
      <c r="AB92" s="138">
        <f t="shared" si="74"/>
        <v>0</v>
      </c>
      <c r="AC92" s="136">
        <f t="shared" si="74"/>
        <v>0</v>
      </c>
      <c r="AD92" s="136">
        <f t="shared" si="74"/>
        <v>0</v>
      </c>
      <c r="AE92" s="137">
        <f t="shared" si="74"/>
        <v>0</v>
      </c>
      <c r="AF92" s="135">
        <f t="shared" si="74"/>
        <v>0</v>
      </c>
      <c r="AG92" s="136">
        <f t="shared" si="74"/>
        <v>0</v>
      </c>
      <c r="AH92" s="136">
        <f t="shared" si="74"/>
        <v>0</v>
      </c>
      <c r="AI92" s="137">
        <f t="shared" si="74"/>
        <v>0</v>
      </c>
      <c r="AJ92" s="135">
        <f t="shared" si="74"/>
        <v>0</v>
      </c>
      <c r="AK92" s="138">
        <f t="shared" si="74"/>
        <v>0</v>
      </c>
      <c r="AL92" s="136">
        <f t="shared" si="74"/>
        <v>0</v>
      </c>
      <c r="AM92" s="136">
        <f t="shared" si="74"/>
        <v>0</v>
      </c>
      <c r="AN92" s="194">
        <f t="shared" si="74"/>
        <v>0</v>
      </c>
      <c r="AO92" s="138">
        <f t="shared" si="74"/>
        <v>0</v>
      </c>
      <c r="AP92" s="136">
        <f t="shared" si="74"/>
        <v>0</v>
      </c>
      <c r="AQ92" s="136">
        <f t="shared" si="74"/>
        <v>0</v>
      </c>
      <c r="AR92" s="137">
        <f t="shared" si="74"/>
        <v>0</v>
      </c>
      <c r="AS92" s="135">
        <f t="shared" si="74"/>
        <v>0</v>
      </c>
      <c r="AT92" s="136">
        <f t="shared" si="74"/>
        <v>0</v>
      </c>
      <c r="AU92" s="136">
        <f t="shared" si="74"/>
        <v>0</v>
      </c>
      <c r="AV92" s="137">
        <f t="shared" si="74"/>
        <v>0</v>
      </c>
      <c r="AW92" s="135">
        <f t="shared" si="75"/>
        <v>0</v>
      </c>
      <c r="AX92" s="136">
        <f t="shared" si="75"/>
        <v>0</v>
      </c>
      <c r="AY92" s="136">
        <f t="shared" si="75"/>
        <v>0</v>
      </c>
      <c r="AZ92" s="136">
        <f t="shared" si="75"/>
        <v>0</v>
      </c>
      <c r="BA92" s="137">
        <f t="shared" si="75"/>
        <v>0</v>
      </c>
      <c r="BB92" s="138">
        <f t="shared" si="75"/>
        <v>0</v>
      </c>
      <c r="BC92" s="136">
        <f t="shared" si="75"/>
        <v>0</v>
      </c>
      <c r="BD92" s="136">
        <f t="shared" si="75"/>
        <v>0</v>
      </c>
      <c r="BE92" s="137">
        <f t="shared" si="75"/>
        <v>0</v>
      </c>
      <c r="BF92" s="135">
        <f t="shared" si="75"/>
        <v>0</v>
      </c>
      <c r="BG92" s="136">
        <f t="shared" si="75"/>
        <v>0</v>
      </c>
      <c r="BH92" s="136">
        <f t="shared" si="75"/>
        <v>0</v>
      </c>
      <c r="BI92" s="137">
        <f t="shared" si="75"/>
        <v>0</v>
      </c>
      <c r="BJ92" s="138">
        <f t="shared" si="75"/>
        <v>0</v>
      </c>
      <c r="BK92" s="136">
        <f t="shared" si="75"/>
        <v>0</v>
      </c>
      <c r="BL92" s="136">
        <f t="shared" si="75"/>
        <v>0</v>
      </c>
      <c r="BM92" s="136">
        <f t="shared" si="75"/>
        <v>0</v>
      </c>
      <c r="BN92" s="137">
        <f t="shared" si="75"/>
        <v>0</v>
      </c>
      <c r="BO92" s="138">
        <f t="shared" si="75"/>
        <v>0</v>
      </c>
      <c r="BP92" s="136">
        <f t="shared" si="75"/>
        <v>0</v>
      </c>
      <c r="BQ92" s="136">
        <f t="shared" si="75"/>
        <v>0</v>
      </c>
      <c r="BR92" s="137">
        <f t="shared" si="75"/>
        <v>0</v>
      </c>
      <c r="BS92" s="138">
        <f t="shared" si="75"/>
        <v>0</v>
      </c>
      <c r="BT92" s="136">
        <f t="shared" si="75"/>
        <v>0</v>
      </c>
      <c r="BU92" s="136">
        <f t="shared" si="75"/>
        <v>0</v>
      </c>
      <c r="BV92" s="136">
        <f t="shared" si="75"/>
        <v>0</v>
      </c>
      <c r="BW92" s="137">
        <f t="shared" si="75"/>
        <v>0</v>
      </c>
      <c r="BX92" s="138">
        <f t="shared" si="75"/>
        <v>0</v>
      </c>
      <c r="BY92" s="136">
        <f t="shared" si="75"/>
        <v>0</v>
      </c>
      <c r="BZ92" s="136">
        <f t="shared" si="75"/>
        <v>0</v>
      </c>
      <c r="CA92" s="137">
        <f t="shared" si="75"/>
        <v>0</v>
      </c>
      <c r="CB92" s="135">
        <f t="shared" si="75"/>
        <v>0</v>
      </c>
      <c r="CC92" s="136">
        <f t="shared" si="75"/>
        <v>0</v>
      </c>
      <c r="CD92" s="136">
        <f t="shared" si="75"/>
        <v>0</v>
      </c>
      <c r="CE92" s="137">
        <f t="shared" si="75"/>
        <v>0</v>
      </c>
    </row>
    <row r="93" spans="1:83">
      <c r="A93" s="130" t="s">
        <v>116</v>
      </c>
      <c r="B93" s="95"/>
      <c r="C93" s="96"/>
      <c r="D93" s="96"/>
      <c r="E93" s="96"/>
      <c r="F93" s="96"/>
      <c r="G93" s="96"/>
      <c r="H93" s="97"/>
      <c r="I93" s="94">
        <v>10</v>
      </c>
      <c r="J93" s="131">
        <f t="shared" si="70"/>
        <v>1</v>
      </c>
      <c r="K93" s="101">
        <v>0</v>
      </c>
      <c r="L93" s="132">
        <f t="shared" si="71"/>
        <v>0.1</v>
      </c>
      <c r="M93" s="132">
        <f t="shared" si="72"/>
        <v>0</v>
      </c>
      <c r="N93" s="132">
        <f t="shared" si="62"/>
        <v>-0.1</v>
      </c>
      <c r="O93" s="133" t="str">
        <f t="shared" si="73"/>
        <v>지연</v>
      </c>
      <c r="P93" s="104"/>
      <c r="Q93" s="104"/>
      <c r="R93" s="104"/>
      <c r="S93" s="104"/>
      <c r="T93" s="130"/>
      <c r="U93" s="134" t="str">
        <f t="shared" si="61"/>
        <v/>
      </c>
      <c r="V93" s="253">
        <f>NETWORKDAYS(P93,Q93,진행현황_전체!C$59:C$77)</f>
        <v>0</v>
      </c>
      <c r="W93" s="135">
        <f t="shared" si="74"/>
        <v>0</v>
      </c>
      <c r="X93" s="136">
        <f t="shared" si="74"/>
        <v>0</v>
      </c>
      <c r="Y93" s="136">
        <f t="shared" si="74"/>
        <v>0</v>
      </c>
      <c r="Z93" s="136">
        <f t="shared" si="74"/>
        <v>0</v>
      </c>
      <c r="AA93" s="137">
        <f t="shared" si="74"/>
        <v>0</v>
      </c>
      <c r="AB93" s="138">
        <f t="shared" si="74"/>
        <v>0</v>
      </c>
      <c r="AC93" s="136">
        <f t="shared" si="74"/>
        <v>0</v>
      </c>
      <c r="AD93" s="136">
        <f t="shared" si="74"/>
        <v>0</v>
      </c>
      <c r="AE93" s="137">
        <f t="shared" si="74"/>
        <v>0</v>
      </c>
      <c r="AF93" s="135">
        <f t="shared" si="74"/>
        <v>0</v>
      </c>
      <c r="AG93" s="136">
        <f t="shared" si="74"/>
        <v>0</v>
      </c>
      <c r="AH93" s="136">
        <f t="shared" si="74"/>
        <v>0</v>
      </c>
      <c r="AI93" s="137">
        <f t="shared" si="74"/>
        <v>0</v>
      </c>
      <c r="AJ93" s="135">
        <f t="shared" si="74"/>
        <v>0</v>
      </c>
      <c r="AK93" s="138">
        <f t="shared" si="74"/>
        <v>0</v>
      </c>
      <c r="AL93" s="136">
        <f t="shared" si="74"/>
        <v>0</v>
      </c>
      <c r="AM93" s="136">
        <f t="shared" si="74"/>
        <v>0</v>
      </c>
      <c r="AN93" s="194">
        <f t="shared" si="74"/>
        <v>0</v>
      </c>
      <c r="AO93" s="138">
        <f t="shared" si="74"/>
        <v>0</v>
      </c>
      <c r="AP93" s="136">
        <f t="shared" si="74"/>
        <v>0</v>
      </c>
      <c r="AQ93" s="136">
        <f t="shared" si="74"/>
        <v>0</v>
      </c>
      <c r="AR93" s="137">
        <f t="shared" si="74"/>
        <v>0</v>
      </c>
      <c r="AS93" s="135">
        <f t="shared" si="74"/>
        <v>0</v>
      </c>
      <c r="AT93" s="136">
        <f t="shared" si="74"/>
        <v>0</v>
      </c>
      <c r="AU93" s="136">
        <f t="shared" si="74"/>
        <v>0</v>
      </c>
      <c r="AV93" s="137">
        <f t="shared" si="74"/>
        <v>0</v>
      </c>
      <c r="AW93" s="135">
        <f t="shared" si="75"/>
        <v>0</v>
      </c>
      <c r="AX93" s="136">
        <f t="shared" si="75"/>
        <v>0</v>
      </c>
      <c r="AY93" s="136">
        <f t="shared" si="75"/>
        <v>0</v>
      </c>
      <c r="AZ93" s="136">
        <f t="shared" si="75"/>
        <v>0</v>
      </c>
      <c r="BA93" s="137">
        <f t="shared" si="75"/>
        <v>0</v>
      </c>
      <c r="BB93" s="138">
        <f t="shared" si="75"/>
        <v>0</v>
      </c>
      <c r="BC93" s="136">
        <f t="shared" si="75"/>
        <v>0</v>
      </c>
      <c r="BD93" s="136">
        <f t="shared" si="75"/>
        <v>0</v>
      </c>
      <c r="BE93" s="137">
        <f t="shared" si="75"/>
        <v>0</v>
      </c>
      <c r="BF93" s="135">
        <f t="shared" si="75"/>
        <v>0</v>
      </c>
      <c r="BG93" s="136">
        <f t="shared" si="75"/>
        <v>0</v>
      </c>
      <c r="BH93" s="136">
        <f t="shared" si="75"/>
        <v>0</v>
      </c>
      <c r="BI93" s="137">
        <f t="shared" si="75"/>
        <v>0</v>
      </c>
      <c r="BJ93" s="138">
        <f t="shared" si="75"/>
        <v>0</v>
      </c>
      <c r="BK93" s="136">
        <f t="shared" si="75"/>
        <v>0</v>
      </c>
      <c r="BL93" s="136">
        <f t="shared" si="75"/>
        <v>0</v>
      </c>
      <c r="BM93" s="136">
        <f t="shared" si="75"/>
        <v>0</v>
      </c>
      <c r="BN93" s="137">
        <f t="shared" si="75"/>
        <v>0</v>
      </c>
      <c r="BO93" s="138">
        <f t="shared" si="75"/>
        <v>0</v>
      </c>
      <c r="BP93" s="136">
        <f t="shared" si="75"/>
        <v>0</v>
      </c>
      <c r="BQ93" s="136">
        <f t="shared" si="75"/>
        <v>0</v>
      </c>
      <c r="BR93" s="137">
        <f t="shared" si="75"/>
        <v>0</v>
      </c>
      <c r="BS93" s="138">
        <f t="shared" si="75"/>
        <v>0</v>
      </c>
      <c r="BT93" s="136">
        <f t="shared" si="75"/>
        <v>0</v>
      </c>
      <c r="BU93" s="136">
        <f t="shared" si="75"/>
        <v>0</v>
      </c>
      <c r="BV93" s="136">
        <f t="shared" si="75"/>
        <v>0</v>
      </c>
      <c r="BW93" s="137">
        <f t="shared" si="75"/>
        <v>0</v>
      </c>
      <c r="BX93" s="138">
        <f t="shared" si="75"/>
        <v>0</v>
      </c>
      <c r="BY93" s="136">
        <f t="shared" si="75"/>
        <v>0</v>
      </c>
      <c r="BZ93" s="136">
        <f t="shared" si="75"/>
        <v>0</v>
      </c>
      <c r="CA93" s="137">
        <f t="shared" si="75"/>
        <v>0</v>
      </c>
      <c r="CB93" s="135">
        <f t="shared" si="75"/>
        <v>0</v>
      </c>
      <c r="CC93" s="136">
        <f t="shared" si="75"/>
        <v>0</v>
      </c>
      <c r="CD93" s="136">
        <f t="shared" si="75"/>
        <v>0</v>
      </c>
      <c r="CE93" s="137">
        <f t="shared" si="75"/>
        <v>0</v>
      </c>
    </row>
    <row r="94" spans="1:83">
      <c r="A94" s="130" t="s">
        <v>117</v>
      </c>
      <c r="B94" s="95"/>
      <c r="C94" s="96"/>
      <c r="D94" s="96"/>
      <c r="E94" s="96"/>
      <c r="F94" s="96"/>
      <c r="G94" s="96"/>
      <c r="H94" s="97"/>
      <c r="I94" s="98">
        <v>10</v>
      </c>
      <c r="J94" s="131">
        <f t="shared" si="70"/>
        <v>1</v>
      </c>
      <c r="K94" s="101">
        <v>0</v>
      </c>
      <c r="L94" s="132">
        <f t="shared" si="71"/>
        <v>0.1</v>
      </c>
      <c r="M94" s="132">
        <f t="shared" si="72"/>
        <v>0</v>
      </c>
      <c r="N94" s="132">
        <f t="shared" si="62"/>
        <v>-0.1</v>
      </c>
      <c r="O94" s="133" t="str">
        <f t="shared" si="73"/>
        <v>지연</v>
      </c>
      <c r="P94" s="104"/>
      <c r="Q94" s="104"/>
      <c r="R94" s="104"/>
      <c r="S94" s="104"/>
      <c r="T94" s="94"/>
      <c r="U94" s="134" t="str">
        <f t="shared" si="61"/>
        <v/>
      </c>
      <c r="V94" s="253">
        <f>NETWORKDAYS(P94,Q94,진행현황_전체!C$59:C$77)</f>
        <v>0</v>
      </c>
      <c r="W94" s="135">
        <f t="shared" si="74"/>
        <v>0</v>
      </c>
      <c r="X94" s="136">
        <f t="shared" si="74"/>
        <v>0</v>
      </c>
      <c r="Y94" s="136">
        <f t="shared" si="74"/>
        <v>0</v>
      </c>
      <c r="Z94" s="136">
        <f t="shared" si="74"/>
        <v>0</v>
      </c>
      <c r="AA94" s="137">
        <f t="shared" si="74"/>
        <v>0</v>
      </c>
      <c r="AB94" s="138">
        <f t="shared" si="74"/>
        <v>0</v>
      </c>
      <c r="AC94" s="136">
        <f t="shared" si="74"/>
        <v>0</v>
      </c>
      <c r="AD94" s="136">
        <f t="shared" si="74"/>
        <v>0</v>
      </c>
      <c r="AE94" s="137">
        <f t="shared" si="74"/>
        <v>0</v>
      </c>
      <c r="AF94" s="135">
        <f t="shared" si="74"/>
        <v>0</v>
      </c>
      <c r="AG94" s="136">
        <f t="shared" si="74"/>
        <v>0</v>
      </c>
      <c r="AH94" s="136">
        <f t="shared" si="74"/>
        <v>0</v>
      </c>
      <c r="AI94" s="137">
        <f t="shared" si="74"/>
        <v>0</v>
      </c>
      <c r="AJ94" s="135">
        <f t="shared" si="74"/>
        <v>0</v>
      </c>
      <c r="AK94" s="138">
        <f t="shared" si="74"/>
        <v>0</v>
      </c>
      <c r="AL94" s="136">
        <f t="shared" si="74"/>
        <v>0</v>
      </c>
      <c r="AM94" s="136">
        <f t="shared" si="74"/>
        <v>0</v>
      </c>
      <c r="AN94" s="194">
        <f t="shared" si="74"/>
        <v>0</v>
      </c>
      <c r="AO94" s="138">
        <f t="shared" si="74"/>
        <v>0</v>
      </c>
      <c r="AP94" s="136">
        <f t="shared" si="74"/>
        <v>0</v>
      </c>
      <c r="AQ94" s="136">
        <f t="shared" si="74"/>
        <v>0</v>
      </c>
      <c r="AR94" s="137">
        <f t="shared" si="74"/>
        <v>0</v>
      </c>
      <c r="AS94" s="135">
        <f t="shared" si="74"/>
        <v>0</v>
      </c>
      <c r="AT94" s="136">
        <f t="shared" si="74"/>
        <v>0</v>
      </c>
      <c r="AU94" s="136">
        <f t="shared" si="74"/>
        <v>0</v>
      </c>
      <c r="AV94" s="137">
        <f t="shared" si="74"/>
        <v>0</v>
      </c>
      <c r="AW94" s="135">
        <f t="shared" si="75"/>
        <v>0</v>
      </c>
      <c r="AX94" s="136">
        <f t="shared" si="75"/>
        <v>0</v>
      </c>
      <c r="AY94" s="136">
        <f t="shared" si="75"/>
        <v>0</v>
      </c>
      <c r="AZ94" s="136">
        <f t="shared" si="75"/>
        <v>0</v>
      </c>
      <c r="BA94" s="137">
        <f t="shared" si="75"/>
        <v>0</v>
      </c>
      <c r="BB94" s="138">
        <f t="shared" si="75"/>
        <v>0</v>
      </c>
      <c r="BC94" s="136">
        <f t="shared" si="75"/>
        <v>0</v>
      </c>
      <c r="BD94" s="136">
        <f t="shared" si="75"/>
        <v>0</v>
      </c>
      <c r="BE94" s="137">
        <f t="shared" si="75"/>
        <v>0</v>
      </c>
      <c r="BF94" s="135">
        <f t="shared" si="75"/>
        <v>0</v>
      </c>
      <c r="BG94" s="136">
        <f t="shared" si="75"/>
        <v>0</v>
      </c>
      <c r="BH94" s="136">
        <f t="shared" si="75"/>
        <v>0</v>
      </c>
      <c r="BI94" s="137">
        <f t="shared" si="75"/>
        <v>0</v>
      </c>
      <c r="BJ94" s="138">
        <f t="shared" si="75"/>
        <v>0</v>
      </c>
      <c r="BK94" s="136">
        <f t="shared" si="75"/>
        <v>0</v>
      </c>
      <c r="BL94" s="136">
        <f t="shared" si="75"/>
        <v>0</v>
      </c>
      <c r="BM94" s="136">
        <f t="shared" si="75"/>
        <v>0</v>
      </c>
      <c r="BN94" s="137">
        <f t="shared" si="75"/>
        <v>0</v>
      </c>
      <c r="BO94" s="138">
        <f t="shared" si="75"/>
        <v>0</v>
      </c>
      <c r="BP94" s="136">
        <f t="shared" si="75"/>
        <v>0</v>
      </c>
      <c r="BQ94" s="136">
        <f t="shared" si="75"/>
        <v>0</v>
      </c>
      <c r="BR94" s="137">
        <f t="shared" si="75"/>
        <v>0</v>
      </c>
      <c r="BS94" s="138">
        <f t="shared" si="75"/>
        <v>0</v>
      </c>
      <c r="BT94" s="136">
        <f t="shared" si="75"/>
        <v>0</v>
      </c>
      <c r="BU94" s="136">
        <f t="shared" si="75"/>
        <v>0</v>
      </c>
      <c r="BV94" s="136">
        <f t="shared" si="75"/>
        <v>0</v>
      </c>
      <c r="BW94" s="137">
        <f t="shared" si="75"/>
        <v>0</v>
      </c>
      <c r="BX94" s="138">
        <f t="shared" si="75"/>
        <v>0</v>
      </c>
      <c r="BY94" s="136">
        <f t="shared" si="75"/>
        <v>0</v>
      </c>
      <c r="BZ94" s="136">
        <f t="shared" si="75"/>
        <v>0</v>
      </c>
      <c r="CA94" s="137">
        <f t="shared" si="75"/>
        <v>0</v>
      </c>
      <c r="CB94" s="135">
        <f t="shared" si="75"/>
        <v>0</v>
      </c>
      <c r="CC94" s="136">
        <f t="shared" si="75"/>
        <v>0</v>
      </c>
      <c r="CD94" s="136">
        <f t="shared" si="75"/>
        <v>0</v>
      </c>
      <c r="CE94" s="137">
        <f t="shared" si="75"/>
        <v>0</v>
      </c>
    </row>
    <row r="95" spans="1:83">
      <c r="A95" s="130" t="s">
        <v>118</v>
      </c>
      <c r="B95" s="95"/>
      <c r="C95" s="96"/>
      <c r="D95" s="96"/>
      <c r="E95" s="96"/>
      <c r="F95" s="96"/>
      <c r="G95" s="96"/>
      <c r="H95" s="97"/>
      <c r="I95" s="94">
        <v>10</v>
      </c>
      <c r="J95" s="131">
        <f t="shared" si="70"/>
        <v>1</v>
      </c>
      <c r="K95" s="101">
        <v>0</v>
      </c>
      <c r="L95" s="132">
        <f t="shared" si="71"/>
        <v>0.1</v>
      </c>
      <c r="M95" s="132">
        <f t="shared" si="72"/>
        <v>0</v>
      </c>
      <c r="N95" s="132">
        <f t="shared" si="62"/>
        <v>-0.1</v>
      </c>
      <c r="O95" s="133" t="str">
        <f t="shared" si="73"/>
        <v>지연</v>
      </c>
      <c r="P95" s="104"/>
      <c r="Q95" s="104"/>
      <c r="R95" s="104"/>
      <c r="S95" s="104"/>
      <c r="T95" s="94"/>
      <c r="U95" s="134" t="str">
        <f t="shared" si="61"/>
        <v/>
      </c>
      <c r="V95" s="253">
        <f>NETWORKDAYS(P95,Q95,진행현황_전체!C$59:C$77)</f>
        <v>0</v>
      </c>
      <c r="W95" s="135">
        <f t="shared" si="74"/>
        <v>0</v>
      </c>
      <c r="X95" s="136">
        <f t="shared" si="74"/>
        <v>0</v>
      </c>
      <c r="Y95" s="136">
        <f t="shared" si="74"/>
        <v>0</v>
      </c>
      <c r="Z95" s="136">
        <f t="shared" si="74"/>
        <v>0</v>
      </c>
      <c r="AA95" s="137">
        <f t="shared" si="74"/>
        <v>0</v>
      </c>
      <c r="AB95" s="138">
        <f t="shared" si="74"/>
        <v>0</v>
      </c>
      <c r="AC95" s="136">
        <f t="shared" si="74"/>
        <v>0</v>
      </c>
      <c r="AD95" s="136">
        <f t="shared" si="74"/>
        <v>0</v>
      </c>
      <c r="AE95" s="137">
        <f t="shared" si="74"/>
        <v>0</v>
      </c>
      <c r="AF95" s="135">
        <f t="shared" si="74"/>
        <v>0</v>
      </c>
      <c r="AG95" s="136">
        <f t="shared" si="74"/>
        <v>0</v>
      </c>
      <c r="AH95" s="136">
        <f t="shared" si="74"/>
        <v>0</v>
      </c>
      <c r="AI95" s="137">
        <f t="shared" si="74"/>
        <v>0</v>
      </c>
      <c r="AJ95" s="135">
        <f t="shared" si="74"/>
        <v>0</v>
      </c>
      <c r="AK95" s="138">
        <f t="shared" si="74"/>
        <v>0</v>
      </c>
      <c r="AL95" s="136">
        <f t="shared" si="74"/>
        <v>0</v>
      </c>
      <c r="AM95" s="136">
        <f t="shared" si="74"/>
        <v>0</v>
      </c>
      <c r="AN95" s="194">
        <f t="shared" si="74"/>
        <v>0</v>
      </c>
      <c r="AO95" s="138">
        <f t="shared" si="74"/>
        <v>0</v>
      </c>
      <c r="AP95" s="136">
        <f t="shared" si="74"/>
        <v>0</v>
      </c>
      <c r="AQ95" s="136">
        <f t="shared" si="74"/>
        <v>0</v>
      </c>
      <c r="AR95" s="137">
        <f t="shared" si="74"/>
        <v>0</v>
      </c>
      <c r="AS95" s="135">
        <f t="shared" si="74"/>
        <v>0</v>
      </c>
      <c r="AT95" s="136">
        <f t="shared" si="74"/>
        <v>0</v>
      </c>
      <c r="AU95" s="136">
        <f t="shared" si="74"/>
        <v>0</v>
      </c>
      <c r="AV95" s="137">
        <f t="shared" si="74"/>
        <v>0</v>
      </c>
      <c r="AW95" s="135">
        <f t="shared" si="75"/>
        <v>0</v>
      </c>
      <c r="AX95" s="136">
        <f t="shared" si="75"/>
        <v>0</v>
      </c>
      <c r="AY95" s="136">
        <f t="shared" si="75"/>
        <v>0</v>
      </c>
      <c r="AZ95" s="136">
        <f t="shared" si="75"/>
        <v>0</v>
      </c>
      <c r="BA95" s="137">
        <f t="shared" si="75"/>
        <v>0</v>
      </c>
      <c r="BB95" s="138">
        <f t="shared" si="75"/>
        <v>0</v>
      </c>
      <c r="BC95" s="136">
        <f t="shared" si="75"/>
        <v>0</v>
      </c>
      <c r="BD95" s="136">
        <f t="shared" si="75"/>
        <v>0</v>
      </c>
      <c r="BE95" s="137">
        <f t="shared" si="75"/>
        <v>0</v>
      </c>
      <c r="BF95" s="135">
        <f t="shared" si="75"/>
        <v>0</v>
      </c>
      <c r="BG95" s="136">
        <f t="shared" ref="BG95:CE95" si="76">IF(OR((AND($P95&lt;=BG$7,AND($Q95&lt;=BG$8, $Q95&gt;=BG$7))),(AND(AND($P95&gt;=BG$7, $P95&lt;=BG$8),$Q95&gt;=BG$8)), AND($P95&gt;=BG$7, $Q95&lt;=BG$8), AND($P95&lt;=BG$7,$Q95&gt;=BG$8)),1,0)</f>
        <v>0</v>
      </c>
      <c r="BH95" s="136">
        <f t="shared" si="76"/>
        <v>0</v>
      </c>
      <c r="BI95" s="137">
        <f t="shared" si="76"/>
        <v>0</v>
      </c>
      <c r="BJ95" s="138">
        <f t="shared" si="76"/>
        <v>0</v>
      </c>
      <c r="BK95" s="136">
        <f t="shared" si="76"/>
        <v>0</v>
      </c>
      <c r="BL95" s="136">
        <f t="shared" si="76"/>
        <v>0</v>
      </c>
      <c r="BM95" s="136">
        <f t="shared" si="76"/>
        <v>0</v>
      </c>
      <c r="BN95" s="137">
        <f t="shared" si="76"/>
        <v>0</v>
      </c>
      <c r="BO95" s="138">
        <f t="shared" si="76"/>
        <v>0</v>
      </c>
      <c r="BP95" s="136">
        <f t="shared" si="76"/>
        <v>0</v>
      </c>
      <c r="BQ95" s="136">
        <f t="shared" si="76"/>
        <v>0</v>
      </c>
      <c r="BR95" s="137">
        <f t="shared" si="76"/>
        <v>0</v>
      </c>
      <c r="BS95" s="138">
        <f t="shared" si="76"/>
        <v>0</v>
      </c>
      <c r="BT95" s="136">
        <f t="shared" si="76"/>
        <v>0</v>
      </c>
      <c r="BU95" s="136">
        <f t="shared" si="76"/>
        <v>0</v>
      </c>
      <c r="BV95" s="136">
        <f t="shared" si="76"/>
        <v>0</v>
      </c>
      <c r="BW95" s="137">
        <f t="shared" si="76"/>
        <v>0</v>
      </c>
      <c r="BX95" s="138">
        <f t="shared" si="76"/>
        <v>0</v>
      </c>
      <c r="BY95" s="136">
        <f t="shared" si="76"/>
        <v>0</v>
      </c>
      <c r="BZ95" s="136">
        <f t="shared" si="76"/>
        <v>0</v>
      </c>
      <c r="CA95" s="137">
        <f t="shared" si="76"/>
        <v>0</v>
      </c>
      <c r="CB95" s="135">
        <f t="shared" si="76"/>
        <v>0</v>
      </c>
      <c r="CC95" s="136">
        <f t="shared" si="76"/>
        <v>0</v>
      </c>
      <c r="CD95" s="136">
        <f t="shared" si="76"/>
        <v>0</v>
      </c>
      <c r="CE95" s="137">
        <f t="shared" si="76"/>
        <v>0</v>
      </c>
    </row>
    <row r="96" spans="1:83">
      <c r="A96" s="130" t="s">
        <v>119</v>
      </c>
      <c r="B96" s="95"/>
      <c r="C96" s="96"/>
      <c r="D96" s="96"/>
      <c r="E96" s="96"/>
      <c r="F96" s="96"/>
      <c r="G96" s="96"/>
      <c r="H96" s="97"/>
      <c r="I96" s="94">
        <v>10</v>
      </c>
      <c r="J96" s="131">
        <f t="shared" si="70"/>
        <v>1</v>
      </c>
      <c r="K96" s="101">
        <v>0</v>
      </c>
      <c r="L96" s="132">
        <f t="shared" si="71"/>
        <v>0.1</v>
      </c>
      <c r="M96" s="132">
        <f t="shared" si="72"/>
        <v>0</v>
      </c>
      <c r="N96" s="132">
        <f t="shared" si="62"/>
        <v>-0.1</v>
      </c>
      <c r="O96" s="133" t="str">
        <f t="shared" si="73"/>
        <v>지연</v>
      </c>
      <c r="P96" s="104"/>
      <c r="Q96" s="104"/>
      <c r="R96" s="104"/>
      <c r="S96" s="104"/>
      <c r="T96" s="94"/>
      <c r="U96" s="134" t="str">
        <f t="shared" si="61"/>
        <v/>
      </c>
      <c r="V96" s="253">
        <f>NETWORKDAYS(P96,Q96,진행현황_전체!C$59:C$77)</f>
        <v>0</v>
      </c>
      <c r="W96" s="135">
        <f t="shared" si="74"/>
        <v>0</v>
      </c>
      <c r="X96" s="136">
        <f t="shared" si="74"/>
        <v>0</v>
      </c>
      <c r="Y96" s="136">
        <f t="shared" si="74"/>
        <v>0</v>
      </c>
      <c r="Z96" s="136">
        <f t="shared" si="74"/>
        <v>0</v>
      </c>
      <c r="AA96" s="137">
        <f t="shared" si="74"/>
        <v>0</v>
      </c>
      <c r="AB96" s="138">
        <f t="shared" si="74"/>
        <v>0</v>
      </c>
      <c r="AC96" s="136">
        <f t="shared" si="74"/>
        <v>0</v>
      </c>
      <c r="AD96" s="136">
        <f t="shared" si="74"/>
        <v>0</v>
      </c>
      <c r="AE96" s="137">
        <f t="shared" si="74"/>
        <v>0</v>
      </c>
      <c r="AF96" s="135">
        <f t="shared" si="74"/>
        <v>0</v>
      </c>
      <c r="AG96" s="136">
        <f t="shared" si="74"/>
        <v>0</v>
      </c>
      <c r="AH96" s="136">
        <f t="shared" si="74"/>
        <v>0</v>
      </c>
      <c r="AI96" s="137">
        <f t="shared" si="74"/>
        <v>0</v>
      </c>
      <c r="AJ96" s="135">
        <f t="shared" si="74"/>
        <v>0</v>
      </c>
      <c r="AK96" s="138">
        <f t="shared" si="74"/>
        <v>0</v>
      </c>
      <c r="AL96" s="136">
        <f t="shared" si="74"/>
        <v>0</v>
      </c>
      <c r="AM96" s="136">
        <f t="shared" si="74"/>
        <v>0</v>
      </c>
      <c r="AN96" s="194">
        <f t="shared" si="74"/>
        <v>0</v>
      </c>
      <c r="AO96" s="138">
        <f t="shared" si="74"/>
        <v>0</v>
      </c>
      <c r="AP96" s="136">
        <f t="shared" si="74"/>
        <v>0</v>
      </c>
      <c r="AQ96" s="136">
        <f t="shared" si="74"/>
        <v>0</v>
      </c>
      <c r="AR96" s="137">
        <f t="shared" si="74"/>
        <v>0</v>
      </c>
      <c r="AS96" s="135">
        <f t="shared" si="74"/>
        <v>0</v>
      </c>
      <c r="AT96" s="136">
        <f t="shared" si="74"/>
        <v>0</v>
      </c>
      <c r="AU96" s="136">
        <f t="shared" si="74"/>
        <v>0</v>
      </c>
      <c r="AV96" s="137">
        <f t="shared" si="74"/>
        <v>0</v>
      </c>
      <c r="AW96" s="135">
        <f t="shared" ref="AW96:CE97" si="77">IF(OR((AND($P96&lt;=AW$7,AND($Q96&lt;=AW$8, $Q96&gt;=AW$7))),(AND(AND($P96&gt;=AW$7, $P96&lt;=AW$8),$Q96&gt;=AW$8)), AND($P96&gt;=AW$7, $Q96&lt;=AW$8), AND($P96&lt;=AW$7,$Q96&gt;=AW$8)),1,0)</f>
        <v>0</v>
      </c>
      <c r="AX96" s="136">
        <f t="shared" si="77"/>
        <v>0</v>
      </c>
      <c r="AY96" s="136">
        <f t="shared" si="77"/>
        <v>0</v>
      </c>
      <c r="AZ96" s="136">
        <f t="shared" si="77"/>
        <v>0</v>
      </c>
      <c r="BA96" s="137">
        <f t="shared" si="77"/>
        <v>0</v>
      </c>
      <c r="BB96" s="138">
        <f t="shared" si="77"/>
        <v>0</v>
      </c>
      <c r="BC96" s="136">
        <f t="shared" si="77"/>
        <v>0</v>
      </c>
      <c r="BD96" s="136">
        <f t="shared" si="77"/>
        <v>0</v>
      </c>
      <c r="BE96" s="137">
        <f t="shared" si="77"/>
        <v>0</v>
      </c>
      <c r="BF96" s="135">
        <f t="shared" si="77"/>
        <v>0</v>
      </c>
      <c r="BG96" s="136">
        <f t="shared" si="77"/>
        <v>0</v>
      </c>
      <c r="BH96" s="136">
        <f t="shared" si="77"/>
        <v>0</v>
      </c>
      <c r="BI96" s="137">
        <f t="shared" si="77"/>
        <v>0</v>
      </c>
      <c r="BJ96" s="138">
        <f t="shared" si="77"/>
        <v>0</v>
      </c>
      <c r="BK96" s="136">
        <f t="shared" si="77"/>
        <v>0</v>
      </c>
      <c r="BL96" s="136">
        <f t="shared" si="77"/>
        <v>0</v>
      </c>
      <c r="BM96" s="136">
        <f t="shared" si="77"/>
        <v>0</v>
      </c>
      <c r="BN96" s="137">
        <f t="shared" si="77"/>
        <v>0</v>
      </c>
      <c r="BO96" s="138">
        <f t="shared" si="77"/>
        <v>0</v>
      </c>
      <c r="BP96" s="136">
        <f t="shared" si="77"/>
        <v>0</v>
      </c>
      <c r="BQ96" s="136">
        <f t="shared" si="77"/>
        <v>0</v>
      </c>
      <c r="BR96" s="137">
        <f t="shared" si="77"/>
        <v>0</v>
      </c>
      <c r="BS96" s="138">
        <f t="shared" si="77"/>
        <v>0</v>
      </c>
      <c r="BT96" s="136">
        <f t="shared" si="77"/>
        <v>0</v>
      </c>
      <c r="BU96" s="136">
        <f t="shared" si="77"/>
        <v>0</v>
      </c>
      <c r="BV96" s="136">
        <f t="shared" si="77"/>
        <v>0</v>
      </c>
      <c r="BW96" s="137">
        <f t="shared" si="77"/>
        <v>0</v>
      </c>
      <c r="BX96" s="138">
        <f t="shared" si="77"/>
        <v>0</v>
      </c>
      <c r="BY96" s="136">
        <f t="shared" si="77"/>
        <v>0</v>
      </c>
      <c r="BZ96" s="136">
        <f t="shared" si="77"/>
        <v>0</v>
      </c>
      <c r="CA96" s="137">
        <f t="shared" si="77"/>
        <v>0</v>
      </c>
      <c r="CB96" s="135">
        <f t="shared" si="77"/>
        <v>0</v>
      </c>
      <c r="CC96" s="136">
        <f t="shared" si="77"/>
        <v>0</v>
      </c>
      <c r="CD96" s="136">
        <f t="shared" si="77"/>
        <v>0</v>
      </c>
      <c r="CE96" s="137">
        <f t="shared" si="77"/>
        <v>0</v>
      </c>
    </row>
    <row r="97" spans="1:83">
      <c r="A97" s="150" t="s">
        <v>120</v>
      </c>
      <c r="B97" s="151"/>
      <c r="C97" s="152"/>
      <c r="D97" s="152"/>
      <c r="E97" s="152"/>
      <c r="F97" s="152"/>
      <c r="G97" s="152"/>
      <c r="H97" s="153"/>
      <c r="I97" s="154">
        <v>10</v>
      </c>
      <c r="J97" s="131">
        <f t="shared" si="70"/>
        <v>1</v>
      </c>
      <c r="K97" s="155">
        <v>0</v>
      </c>
      <c r="L97" s="156">
        <f t="shared" si="71"/>
        <v>0.1</v>
      </c>
      <c r="M97" s="156">
        <f t="shared" si="72"/>
        <v>0</v>
      </c>
      <c r="N97" s="156">
        <f t="shared" si="62"/>
        <v>-0.1</v>
      </c>
      <c r="O97" s="157" t="str">
        <f t="shared" si="73"/>
        <v>지연</v>
      </c>
      <c r="P97" s="158"/>
      <c r="Q97" s="158"/>
      <c r="R97" s="158"/>
      <c r="S97" s="158"/>
      <c r="T97" s="154"/>
      <c r="U97" s="159" t="str">
        <f t="shared" si="61"/>
        <v/>
      </c>
      <c r="V97" s="254">
        <f>NETWORKDAYS(P97,Q97,진행현황_전체!C$59:C$77)</f>
        <v>0</v>
      </c>
      <c r="W97" s="160">
        <f t="shared" si="74"/>
        <v>0</v>
      </c>
      <c r="X97" s="161">
        <f t="shared" si="74"/>
        <v>0</v>
      </c>
      <c r="Y97" s="161">
        <f t="shared" si="74"/>
        <v>0</v>
      </c>
      <c r="Z97" s="161">
        <f t="shared" si="74"/>
        <v>0</v>
      </c>
      <c r="AA97" s="162">
        <f t="shared" si="74"/>
        <v>0</v>
      </c>
      <c r="AB97" s="163">
        <f t="shared" si="74"/>
        <v>0</v>
      </c>
      <c r="AC97" s="161">
        <f t="shared" si="74"/>
        <v>0</v>
      </c>
      <c r="AD97" s="161">
        <f t="shared" si="74"/>
        <v>0</v>
      </c>
      <c r="AE97" s="162">
        <f t="shared" si="74"/>
        <v>0</v>
      </c>
      <c r="AF97" s="160">
        <f t="shared" si="74"/>
        <v>0</v>
      </c>
      <c r="AG97" s="161">
        <f t="shared" si="74"/>
        <v>0</v>
      </c>
      <c r="AH97" s="161">
        <f t="shared" si="74"/>
        <v>0</v>
      </c>
      <c r="AI97" s="162">
        <f t="shared" si="74"/>
        <v>0</v>
      </c>
      <c r="AJ97" s="160">
        <f t="shared" si="74"/>
        <v>0</v>
      </c>
      <c r="AK97" s="163">
        <f t="shared" si="74"/>
        <v>0</v>
      </c>
      <c r="AL97" s="161">
        <f t="shared" si="74"/>
        <v>0</v>
      </c>
      <c r="AM97" s="161">
        <f t="shared" si="74"/>
        <v>0</v>
      </c>
      <c r="AN97" s="195">
        <f t="shared" si="74"/>
        <v>0</v>
      </c>
      <c r="AO97" s="163">
        <f t="shared" si="74"/>
        <v>0</v>
      </c>
      <c r="AP97" s="161">
        <f t="shared" si="74"/>
        <v>0</v>
      </c>
      <c r="AQ97" s="161">
        <f t="shared" si="74"/>
        <v>0</v>
      </c>
      <c r="AR97" s="162">
        <f t="shared" ref="AR97:AV97" si="78">IF(OR((AND($P97&lt;=AR$7,AND($Q97&lt;=AR$8, $Q97&gt;=AR$7))),(AND(AND($P97&gt;=AR$7, $P97&lt;=AR$8),$Q97&gt;=AR$8)), AND($P97&gt;=AR$7, $Q97&lt;=AR$8), AND($P97&lt;=AR$7,$Q97&gt;=AR$8)),1,0)</f>
        <v>0</v>
      </c>
      <c r="AS97" s="160">
        <f t="shared" si="78"/>
        <v>0</v>
      </c>
      <c r="AT97" s="161">
        <f t="shared" si="78"/>
        <v>0</v>
      </c>
      <c r="AU97" s="161">
        <f t="shared" si="78"/>
        <v>0</v>
      </c>
      <c r="AV97" s="162">
        <f t="shared" si="78"/>
        <v>0</v>
      </c>
      <c r="AW97" s="160">
        <f t="shared" si="77"/>
        <v>0</v>
      </c>
      <c r="AX97" s="161">
        <f t="shared" si="77"/>
        <v>0</v>
      </c>
      <c r="AY97" s="161">
        <f t="shared" si="77"/>
        <v>0</v>
      </c>
      <c r="AZ97" s="161">
        <f t="shared" si="77"/>
        <v>0</v>
      </c>
      <c r="BA97" s="162">
        <f t="shared" si="77"/>
        <v>0</v>
      </c>
      <c r="BB97" s="163">
        <f t="shared" si="77"/>
        <v>0</v>
      </c>
      <c r="BC97" s="161">
        <f t="shared" si="77"/>
        <v>0</v>
      </c>
      <c r="BD97" s="161">
        <f t="shared" si="77"/>
        <v>0</v>
      </c>
      <c r="BE97" s="162">
        <f t="shared" si="77"/>
        <v>0</v>
      </c>
      <c r="BF97" s="160">
        <f t="shared" si="77"/>
        <v>0</v>
      </c>
      <c r="BG97" s="161">
        <f t="shared" si="77"/>
        <v>0</v>
      </c>
      <c r="BH97" s="161">
        <f t="shared" si="77"/>
        <v>0</v>
      </c>
      <c r="BI97" s="162">
        <f t="shared" si="77"/>
        <v>0</v>
      </c>
      <c r="BJ97" s="163">
        <f t="shared" si="77"/>
        <v>0</v>
      </c>
      <c r="BK97" s="161">
        <f t="shared" si="77"/>
        <v>0</v>
      </c>
      <c r="BL97" s="161">
        <f t="shared" si="77"/>
        <v>0</v>
      </c>
      <c r="BM97" s="161">
        <f t="shared" si="77"/>
        <v>0</v>
      </c>
      <c r="BN97" s="162">
        <f t="shared" si="77"/>
        <v>0</v>
      </c>
      <c r="BO97" s="163">
        <f t="shared" si="77"/>
        <v>0</v>
      </c>
      <c r="BP97" s="161">
        <f t="shared" si="77"/>
        <v>0</v>
      </c>
      <c r="BQ97" s="161">
        <f t="shared" si="77"/>
        <v>0</v>
      </c>
      <c r="BR97" s="162">
        <f t="shared" si="77"/>
        <v>0</v>
      </c>
      <c r="BS97" s="163">
        <f t="shared" si="77"/>
        <v>0</v>
      </c>
      <c r="BT97" s="161">
        <f t="shared" si="77"/>
        <v>0</v>
      </c>
      <c r="BU97" s="161">
        <f t="shared" si="77"/>
        <v>0</v>
      </c>
      <c r="BV97" s="161">
        <f t="shared" si="77"/>
        <v>0</v>
      </c>
      <c r="BW97" s="162">
        <f t="shared" si="77"/>
        <v>0</v>
      </c>
      <c r="BX97" s="163">
        <f t="shared" si="77"/>
        <v>0</v>
      </c>
      <c r="BY97" s="161">
        <f t="shared" si="77"/>
        <v>0</v>
      </c>
      <c r="BZ97" s="161">
        <f t="shared" si="77"/>
        <v>0</v>
      </c>
      <c r="CA97" s="162">
        <f t="shared" si="77"/>
        <v>0</v>
      </c>
      <c r="CB97" s="160">
        <f t="shared" si="77"/>
        <v>0</v>
      </c>
      <c r="CC97" s="161">
        <f t="shared" si="77"/>
        <v>0</v>
      </c>
      <c r="CD97" s="161">
        <f t="shared" si="77"/>
        <v>0</v>
      </c>
      <c r="CE97" s="162">
        <f t="shared" si="77"/>
        <v>0</v>
      </c>
    </row>
    <row r="98" spans="1:83">
      <c r="A98" s="141"/>
      <c r="B98" s="141"/>
      <c r="C98" s="142"/>
      <c r="D98" s="142"/>
      <c r="E98" s="142"/>
      <c r="F98" s="142"/>
      <c r="G98" s="142"/>
      <c r="H98" s="143"/>
      <c r="I98" s="143"/>
      <c r="J98" s="144"/>
      <c r="K98" s="145"/>
      <c r="L98" s="144"/>
      <c r="M98" s="144"/>
      <c r="N98" s="144"/>
      <c r="O98" s="143"/>
      <c r="P98" s="143"/>
      <c r="Q98" s="143"/>
      <c r="R98" s="143"/>
      <c r="S98" s="143"/>
      <c r="T98" s="146"/>
      <c r="U98" s="147"/>
      <c r="V98" s="142"/>
      <c r="W98" s="142"/>
      <c r="AW98" s="142"/>
    </row>
    <row r="99" spans="1:83">
      <c r="A99" s="141"/>
      <c r="B99" s="141"/>
      <c r="C99" s="142"/>
      <c r="D99" s="142"/>
      <c r="E99" s="142"/>
      <c r="F99" s="142"/>
      <c r="G99" s="142"/>
      <c r="H99" s="143"/>
      <c r="I99" s="143"/>
      <c r="J99" s="144"/>
      <c r="K99" s="145"/>
      <c r="L99" s="144"/>
      <c r="M99" s="144"/>
      <c r="N99" s="144"/>
      <c r="O99" s="143"/>
      <c r="P99" s="143"/>
      <c r="Q99" s="143"/>
      <c r="R99" s="143"/>
      <c r="S99" s="143"/>
      <c r="T99" s="146"/>
      <c r="U99" s="147"/>
      <c r="V99" s="142"/>
      <c r="W99" s="142"/>
      <c r="AW99" s="142"/>
    </row>
    <row r="100" spans="1:83">
      <c r="A100" s="141"/>
      <c r="B100" s="141"/>
      <c r="C100" s="142"/>
      <c r="D100" s="142"/>
      <c r="E100" s="142"/>
      <c r="F100" s="142"/>
      <c r="G100" s="142"/>
      <c r="H100" s="143"/>
      <c r="I100" s="143"/>
      <c r="J100" s="144"/>
      <c r="K100" s="145"/>
      <c r="L100" s="144"/>
      <c r="M100" s="144"/>
      <c r="N100" s="144"/>
      <c r="O100" s="143"/>
      <c r="P100" s="143"/>
      <c r="Q100" s="143"/>
      <c r="R100" s="143"/>
      <c r="S100" s="143"/>
      <c r="T100" s="146"/>
      <c r="U100" s="147"/>
      <c r="V100" s="142"/>
      <c r="W100" s="142"/>
      <c r="AW100" s="142"/>
    </row>
    <row r="101" spans="1:83">
      <c r="A101" s="141"/>
      <c r="B101" s="141"/>
      <c r="C101" s="142"/>
      <c r="D101" s="142"/>
      <c r="E101" s="142"/>
      <c r="F101" s="142"/>
      <c r="G101" s="142"/>
      <c r="H101" s="143"/>
      <c r="I101" s="143"/>
      <c r="J101" s="144"/>
      <c r="K101" s="145"/>
      <c r="L101" s="144"/>
      <c r="M101" s="144"/>
      <c r="N101" s="144"/>
      <c r="O101" s="143"/>
      <c r="P101" s="143"/>
      <c r="Q101" s="143"/>
      <c r="R101" s="143"/>
      <c r="S101" s="143"/>
      <c r="T101" s="146"/>
      <c r="U101" s="147"/>
      <c r="V101" s="142"/>
      <c r="W101" s="142"/>
      <c r="AW101" s="142"/>
    </row>
    <row r="102" spans="1:83">
      <c r="A102" s="141"/>
      <c r="B102" s="141"/>
      <c r="C102" s="142"/>
      <c r="D102" s="142"/>
      <c r="E102" s="142"/>
      <c r="F102" s="142"/>
      <c r="G102" s="142"/>
      <c r="H102" s="143"/>
      <c r="I102" s="143"/>
      <c r="J102" s="144"/>
      <c r="K102" s="145"/>
      <c r="L102" s="144"/>
      <c r="M102" s="144"/>
      <c r="N102" s="144"/>
      <c r="O102" s="143"/>
      <c r="P102" s="143"/>
      <c r="Q102" s="143"/>
      <c r="R102" s="143"/>
      <c r="S102" s="143"/>
      <c r="T102" s="146"/>
      <c r="U102" s="147"/>
      <c r="V102" s="142"/>
      <c r="W102" s="142"/>
      <c r="AW102" s="142"/>
    </row>
    <row r="103" spans="1:83">
      <c r="A103" s="141"/>
      <c r="B103" s="141"/>
      <c r="C103" s="142"/>
      <c r="D103" s="142"/>
      <c r="E103" s="142"/>
      <c r="F103" s="142"/>
      <c r="G103" s="142"/>
      <c r="H103" s="143"/>
      <c r="I103" s="143"/>
      <c r="J103" s="144"/>
      <c r="K103" s="145"/>
      <c r="L103" s="144"/>
      <c r="M103" s="144"/>
      <c r="N103" s="144"/>
      <c r="O103" s="143"/>
      <c r="P103" s="143"/>
      <c r="Q103" s="143"/>
      <c r="R103" s="143"/>
      <c r="S103" s="143"/>
      <c r="T103" s="146"/>
      <c r="U103" s="147"/>
      <c r="V103" s="142"/>
      <c r="W103" s="142"/>
      <c r="AW103" s="142"/>
    </row>
    <row r="104" spans="1:83">
      <c r="A104" s="141"/>
      <c r="B104" s="141"/>
      <c r="C104" s="142"/>
      <c r="D104" s="142"/>
      <c r="E104" s="142"/>
      <c r="F104" s="142"/>
      <c r="G104" s="142"/>
      <c r="H104" s="143"/>
      <c r="I104" s="143"/>
      <c r="J104" s="144"/>
      <c r="K104" s="145"/>
      <c r="L104" s="144"/>
      <c r="M104" s="144"/>
      <c r="N104" s="144"/>
      <c r="O104" s="143"/>
      <c r="P104" s="143"/>
      <c r="Q104" s="143"/>
      <c r="R104" s="143"/>
      <c r="S104" s="143"/>
      <c r="T104" s="146"/>
      <c r="U104" s="147"/>
      <c r="V104" s="142"/>
      <c r="W104" s="142"/>
      <c r="AW104" s="142"/>
    </row>
    <row r="105" spans="1:83">
      <c r="A105" s="141"/>
      <c r="B105" s="141"/>
      <c r="C105" s="142"/>
      <c r="D105" s="142"/>
      <c r="E105" s="142"/>
      <c r="F105" s="142"/>
      <c r="G105" s="142"/>
      <c r="H105" s="143"/>
      <c r="I105" s="143"/>
      <c r="J105" s="144"/>
      <c r="K105" s="145"/>
      <c r="L105" s="144"/>
      <c r="M105" s="144"/>
      <c r="N105" s="144"/>
      <c r="O105" s="143"/>
      <c r="P105" s="143"/>
      <c r="Q105" s="143"/>
      <c r="R105" s="143"/>
      <c r="S105" s="143"/>
      <c r="T105" s="146"/>
      <c r="U105" s="147"/>
      <c r="V105" s="142"/>
      <c r="W105" s="142"/>
      <c r="AW105" s="142"/>
    </row>
    <row r="106" spans="1:83">
      <c r="A106" s="141"/>
      <c r="B106" s="141"/>
      <c r="C106" s="142"/>
      <c r="D106" s="142"/>
      <c r="E106" s="142"/>
      <c r="F106" s="142"/>
      <c r="G106" s="142"/>
      <c r="H106" s="143"/>
      <c r="I106" s="143"/>
      <c r="J106" s="144"/>
      <c r="K106" s="145"/>
      <c r="L106" s="144"/>
      <c r="M106" s="144"/>
      <c r="N106" s="144"/>
      <c r="O106" s="143"/>
      <c r="P106" s="143"/>
      <c r="Q106" s="143"/>
      <c r="R106" s="143"/>
      <c r="S106" s="143"/>
      <c r="T106" s="146"/>
      <c r="U106" s="147"/>
      <c r="V106" s="142"/>
      <c r="W106" s="142"/>
      <c r="AW106" s="142"/>
    </row>
    <row r="107" spans="1:83">
      <c r="A107" s="141"/>
      <c r="B107" s="141"/>
      <c r="C107" s="142"/>
      <c r="D107" s="142"/>
      <c r="E107" s="142"/>
      <c r="F107" s="142"/>
      <c r="G107" s="142"/>
      <c r="H107" s="143"/>
      <c r="I107" s="143"/>
      <c r="J107" s="144"/>
      <c r="K107" s="145"/>
      <c r="L107" s="144"/>
      <c r="M107" s="144"/>
      <c r="N107" s="144"/>
      <c r="O107" s="143"/>
      <c r="P107" s="143"/>
      <c r="Q107" s="143"/>
      <c r="R107" s="143"/>
      <c r="S107" s="143"/>
      <c r="T107" s="146"/>
      <c r="U107" s="147"/>
      <c r="V107" s="142"/>
      <c r="W107" s="142"/>
      <c r="AW107" s="142"/>
    </row>
    <row r="108" spans="1:83">
      <c r="A108" s="141"/>
      <c r="B108" s="141"/>
      <c r="C108" s="142"/>
      <c r="D108" s="142"/>
      <c r="E108" s="142"/>
      <c r="F108" s="142"/>
      <c r="G108" s="142"/>
      <c r="H108" s="143"/>
      <c r="I108" s="143"/>
      <c r="J108" s="144"/>
      <c r="K108" s="145"/>
      <c r="L108" s="144"/>
      <c r="M108" s="144"/>
      <c r="N108" s="144"/>
      <c r="O108" s="143"/>
      <c r="P108" s="143"/>
      <c r="Q108" s="143"/>
      <c r="R108" s="143"/>
      <c r="S108" s="143"/>
      <c r="T108" s="146"/>
      <c r="U108" s="147"/>
      <c r="V108" s="142"/>
      <c r="W108" s="142"/>
      <c r="AW108" s="142"/>
    </row>
    <row r="109" spans="1:83">
      <c r="A109" s="141"/>
      <c r="B109" s="141"/>
      <c r="C109" s="142"/>
      <c r="D109" s="142"/>
      <c r="E109" s="142"/>
      <c r="F109" s="142"/>
      <c r="G109" s="142"/>
      <c r="H109" s="143"/>
      <c r="I109" s="143"/>
      <c r="J109" s="144"/>
      <c r="K109" s="145"/>
      <c r="L109" s="144"/>
      <c r="M109" s="144"/>
      <c r="N109" s="144"/>
      <c r="O109" s="143"/>
      <c r="P109" s="143"/>
      <c r="Q109" s="143"/>
      <c r="R109" s="143"/>
      <c r="S109" s="143"/>
      <c r="T109" s="146"/>
      <c r="U109" s="147"/>
      <c r="V109" s="142"/>
      <c r="W109" s="142"/>
      <c r="AW109" s="142"/>
    </row>
    <row r="110" spans="1:83">
      <c r="A110" s="141"/>
      <c r="B110" s="141"/>
      <c r="C110" s="142"/>
      <c r="D110" s="142"/>
      <c r="E110" s="142"/>
      <c r="F110" s="142"/>
      <c r="G110" s="142"/>
      <c r="H110" s="143"/>
      <c r="I110" s="143"/>
      <c r="J110" s="144"/>
      <c r="K110" s="145"/>
      <c r="L110" s="144"/>
      <c r="M110" s="144"/>
      <c r="N110" s="144"/>
      <c r="O110" s="143"/>
      <c r="P110" s="143"/>
      <c r="Q110" s="143"/>
      <c r="R110" s="143"/>
      <c r="S110" s="143"/>
      <c r="T110" s="146"/>
      <c r="U110" s="147"/>
      <c r="V110" s="142"/>
      <c r="W110" s="142"/>
      <c r="AW110" s="142"/>
    </row>
    <row r="111" spans="1:83">
      <c r="A111" s="141"/>
      <c r="B111" s="141"/>
      <c r="C111" s="142"/>
      <c r="D111" s="142"/>
      <c r="E111" s="142"/>
      <c r="F111" s="142"/>
      <c r="G111" s="142"/>
      <c r="H111" s="143"/>
      <c r="I111" s="143"/>
      <c r="J111" s="144"/>
      <c r="K111" s="145"/>
      <c r="L111" s="144"/>
      <c r="M111" s="144"/>
      <c r="N111" s="144"/>
      <c r="O111" s="143"/>
      <c r="P111" s="143"/>
      <c r="Q111" s="143"/>
      <c r="R111" s="143"/>
      <c r="S111" s="143"/>
      <c r="T111" s="146"/>
      <c r="U111" s="147"/>
      <c r="V111" s="142"/>
      <c r="W111" s="142"/>
      <c r="AW111" s="142"/>
    </row>
    <row r="112" spans="1:83">
      <c r="A112" s="141"/>
      <c r="B112" s="141"/>
      <c r="C112" s="142"/>
      <c r="D112" s="142"/>
      <c r="E112" s="142"/>
      <c r="F112" s="142"/>
      <c r="G112" s="142"/>
      <c r="H112" s="143"/>
      <c r="I112" s="143"/>
      <c r="J112" s="144"/>
      <c r="K112" s="145"/>
      <c r="L112" s="144"/>
      <c r="M112" s="144"/>
      <c r="N112" s="144"/>
      <c r="O112" s="143"/>
      <c r="P112" s="143"/>
      <c r="Q112" s="143"/>
      <c r="R112" s="143"/>
      <c r="S112" s="143"/>
      <c r="T112" s="146"/>
      <c r="U112" s="147"/>
      <c r="V112" s="142"/>
      <c r="W112" s="142"/>
      <c r="AW112" s="142"/>
    </row>
    <row r="113" spans="1:49">
      <c r="A113" s="141"/>
      <c r="B113" s="141"/>
      <c r="C113" s="142"/>
      <c r="D113" s="142"/>
      <c r="E113" s="142"/>
      <c r="F113" s="142"/>
      <c r="G113" s="142"/>
      <c r="H113" s="143"/>
      <c r="I113" s="143"/>
      <c r="J113" s="144"/>
      <c r="K113" s="145"/>
      <c r="L113" s="144"/>
      <c r="M113" s="144"/>
      <c r="N113" s="144"/>
      <c r="O113" s="143"/>
      <c r="P113" s="143"/>
      <c r="Q113" s="143"/>
      <c r="R113" s="143"/>
      <c r="S113" s="143"/>
      <c r="T113" s="146"/>
      <c r="U113" s="147"/>
      <c r="V113" s="142"/>
      <c r="W113" s="142"/>
      <c r="AW113" s="142"/>
    </row>
    <row r="114" spans="1:49">
      <c r="A114" s="141"/>
      <c r="B114" s="141"/>
      <c r="C114" s="142"/>
      <c r="D114" s="142"/>
      <c r="E114" s="142"/>
      <c r="F114" s="142"/>
      <c r="G114" s="142"/>
      <c r="H114" s="143"/>
      <c r="I114" s="143"/>
      <c r="J114" s="144"/>
      <c r="K114" s="145"/>
      <c r="L114" s="144"/>
      <c r="M114" s="144"/>
      <c r="N114" s="144"/>
      <c r="O114" s="143"/>
      <c r="P114" s="143"/>
      <c r="Q114" s="143"/>
      <c r="R114" s="143"/>
      <c r="S114" s="143"/>
      <c r="T114" s="146"/>
      <c r="U114" s="147"/>
      <c r="V114" s="142"/>
      <c r="W114" s="142"/>
      <c r="AW114" s="142"/>
    </row>
    <row r="115" spans="1:49">
      <c r="A115" s="141"/>
      <c r="B115" s="141"/>
      <c r="C115" s="142"/>
      <c r="D115" s="142"/>
      <c r="E115" s="142"/>
      <c r="F115" s="142"/>
      <c r="G115" s="142"/>
      <c r="H115" s="143"/>
      <c r="I115" s="143"/>
      <c r="J115" s="144"/>
      <c r="K115" s="145"/>
      <c r="L115" s="144"/>
      <c r="M115" s="144"/>
      <c r="N115" s="144"/>
      <c r="O115" s="143"/>
      <c r="P115" s="143"/>
      <c r="Q115" s="143"/>
      <c r="R115" s="143"/>
      <c r="S115" s="143"/>
      <c r="T115" s="146"/>
      <c r="U115" s="147"/>
      <c r="V115" s="142"/>
      <c r="W115" s="142"/>
      <c r="AW115" s="142"/>
    </row>
    <row r="116" spans="1:49">
      <c r="A116" s="141"/>
      <c r="B116" s="141"/>
      <c r="C116" s="142"/>
      <c r="D116" s="142"/>
      <c r="E116" s="142"/>
      <c r="F116" s="142"/>
      <c r="G116" s="142"/>
      <c r="H116" s="143"/>
      <c r="I116" s="143"/>
      <c r="J116" s="144"/>
      <c r="K116" s="145"/>
      <c r="L116" s="144"/>
      <c r="M116" s="144"/>
      <c r="N116" s="144"/>
      <c r="O116" s="143"/>
      <c r="P116" s="143"/>
      <c r="Q116" s="143"/>
      <c r="R116" s="143"/>
      <c r="S116" s="143"/>
      <c r="T116" s="146"/>
      <c r="U116" s="147"/>
      <c r="V116" s="142"/>
      <c r="W116" s="142"/>
      <c r="AW116" s="142"/>
    </row>
    <row r="117" spans="1:49">
      <c r="A117" s="141"/>
      <c r="B117" s="141"/>
      <c r="C117" s="142"/>
      <c r="D117" s="142"/>
      <c r="E117" s="142"/>
      <c r="F117" s="142"/>
      <c r="G117" s="142"/>
      <c r="H117" s="143"/>
      <c r="I117" s="143"/>
      <c r="J117" s="144"/>
      <c r="K117" s="145"/>
      <c r="L117" s="144"/>
      <c r="M117" s="144"/>
      <c r="N117" s="144"/>
      <c r="O117" s="143"/>
      <c r="P117" s="143"/>
      <c r="Q117" s="143"/>
      <c r="R117" s="143"/>
      <c r="S117" s="143"/>
      <c r="T117" s="146"/>
      <c r="U117" s="147"/>
      <c r="V117" s="142"/>
      <c r="W117" s="142"/>
      <c r="AW117" s="142"/>
    </row>
    <row r="118" spans="1:49">
      <c r="A118" s="141"/>
      <c r="B118" s="141"/>
      <c r="C118" s="142"/>
      <c r="D118" s="142"/>
      <c r="E118" s="142"/>
      <c r="F118" s="142"/>
      <c r="G118" s="142"/>
      <c r="H118" s="143"/>
      <c r="I118" s="143"/>
      <c r="J118" s="144"/>
      <c r="K118" s="145"/>
      <c r="L118" s="144"/>
      <c r="M118" s="144"/>
      <c r="N118" s="144"/>
      <c r="O118" s="143"/>
      <c r="P118" s="143"/>
      <c r="Q118" s="143"/>
      <c r="R118" s="143"/>
      <c r="S118" s="143"/>
      <c r="T118" s="146"/>
      <c r="U118" s="147"/>
      <c r="V118" s="142"/>
      <c r="W118" s="142"/>
      <c r="AW118" s="142"/>
    </row>
    <row r="119" spans="1:49">
      <c r="A119" s="141"/>
      <c r="B119" s="141"/>
      <c r="C119" s="142"/>
      <c r="D119" s="142"/>
      <c r="E119" s="142"/>
      <c r="F119" s="142"/>
      <c r="G119" s="142"/>
      <c r="H119" s="143"/>
      <c r="I119" s="143"/>
      <c r="J119" s="144"/>
      <c r="K119" s="145"/>
      <c r="L119" s="144"/>
      <c r="M119" s="144"/>
      <c r="N119" s="144"/>
      <c r="O119" s="143"/>
      <c r="P119" s="143"/>
      <c r="Q119" s="143"/>
      <c r="R119" s="143"/>
      <c r="S119" s="143"/>
      <c r="T119" s="146"/>
      <c r="U119" s="147"/>
      <c r="V119" s="142"/>
      <c r="W119" s="142"/>
      <c r="AW119" s="142"/>
    </row>
    <row r="120" spans="1:49">
      <c r="A120" s="141"/>
      <c r="B120" s="141"/>
      <c r="C120" s="142"/>
      <c r="D120" s="142"/>
      <c r="E120" s="142"/>
      <c r="F120" s="142"/>
      <c r="G120" s="142"/>
      <c r="H120" s="143"/>
      <c r="I120" s="143"/>
      <c r="J120" s="144"/>
      <c r="K120" s="145"/>
      <c r="L120" s="144"/>
      <c r="M120" s="144"/>
      <c r="N120" s="144"/>
      <c r="O120" s="143"/>
      <c r="P120" s="143"/>
      <c r="Q120" s="143"/>
      <c r="R120" s="143"/>
      <c r="S120" s="143"/>
      <c r="T120" s="146"/>
      <c r="U120" s="147"/>
      <c r="V120" s="142"/>
      <c r="W120" s="142"/>
      <c r="AW120" s="142"/>
    </row>
    <row r="121" spans="1:49">
      <c r="A121" s="141"/>
      <c r="B121" s="141"/>
      <c r="C121" s="142"/>
      <c r="D121" s="142"/>
      <c r="E121" s="142"/>
      <c r="F121" s="142"/>
      <c r="G121" s="142"/>
      <c r="H121" s="143"/>
      <c r="I121" s="143"/>
      <c r="J121" s="144"/>
      <c r="K121" s="145"/>
      <c r="L121" s="144"/>
      <c r="M121" s="144"/>
      <c r="N121" s="144"/>
      <c r="O121" s="143"/>
      <c r="P121" s="143"/>
      <c r="Q121" s="143"/>
      <c r="R121" s="143"/>
      <c r="S121" s="143"/>
      <c r="T121" s="146"/>
      <c r="U121" s="147"/>
      <c r="V121" s="142"/>
      <c r="W121" s="142"/>
      <c r="AW121" s="142"/>
    </row>
    <row r="122" spans="1:49">
      <c r="A122" s="141"/>
      <c r="B122" s="141"/>
      <c r="C122" s="142"/>
      <c r="D122" s="142"/>
      <c r="E122" s="142"/>
      <c r="F122" s="142"/>
      <c r="G122" s="142"/>
      <c r="H122" s="143"/>
      <c r="I122" s="143"/>
      <c r="J122" s="144"/>
      <c r="K122" s="145"/>
      <c r="L122" s="144"/>
      <c r="M122" s="144"/>
      <c r="N122" s="144"/>
      <c r="O122" s="143"/>
      <c r="P122" s="143"/>
      <c r="Q122" s="143"/>
      <c r="R122" s="143"/>
      <c r="S122" s="143"/>
      <c r="T122" s="146"/>
      <c r="U122" s="147"/>
      <c r="V122" s="142"/>
      <c r="W122" s="142"/>
      <c r="AW122" s="142"/>
    </row>
    <row r="123" spans="1:49">
      <c r="A123" s="141"/>
      <c r="B123" s="141"/>
      <c r="C123" s="142"/>
      <c r="D123" s="142"/>
      <c r="E123" s="142"/>
      <c r="F123" s="142"/>
      <c r="G123" s="142"/>
      <c r="H123" s="143"/>
      <c r="I123" s="143"/>
      <c r="J123" s="144"/>
      <c r="K123" s="145"/>
      <c r="L123" s="144"/>
      <c r="M123" s="144"/>
      <c r="N123" s="144"/>
      <c r="O123" s="143"/>
      <c r="P123" s="143"/>
      <c r="Q123" s="143"/>
      <c r="R123" s="143"/>
      <c r="S123" s="143"/>
      <c r="T123" s="146"/>
      <c r="U123" s="147"/>
      <c r="V123" s="142"/>
      <c r="W123" s="142"/>
      <c r="AW123" s="142"/>
    </row>
    <row r="124" spans="1:49">
      <c r="A124" s="141"/>
      <c r="B124" s="141"/>
      <c r="C124" s="142"/>
      <c r="D124" s="142"/>
      <c r="E124" s="142"/>
      <c r="F124" s="142"/>
      <c r="G124" s="142"/>
      <c r="H124" s="143"/>
      <c r="I124" s="143"/>
      <c r="J124" s="144"/>
      <c r="K124" s="145"/>
      <c r="L124" s="144"/>
      <c r="M124" s="144"/>
      <c r="N124" s="144"/>
      <c r="O124" s="143"/>
      <c r="P124" s="143"/>
      <c r="Q124" s="143"/>
      <c r="R124" s="143"/>
      <c r="S124" s="143"/>
      <c r="T124" s="146"/>
      <c r="U124" s="147"/>
      <c r="V124" s="142"/>
      <c r="W124" s="142"/>
      <c r="AW124" s="142"/>
    </row>
    <row r="125" spans="1:49">
      <c r="A125" s="141"/>
      <c r="B125" s="141"/>
      <c r="C125" s="142"/>
      <c r="D125" s="142"/>
      <c r="E125" s="142"/>
      <c r="F125" s="142"/>
      <c r="G125" s="142"/>
      <c r="H125" s="143"/>
      <c r="I125" s="143"/>
      <c r="J125" s="144"/>
      <c r="K125" s="145"/>
      <c r="L125" s="144"/>
      <c r="M125" s="144"/>
      <c r="N125" s="144"/>
      <c r="O125" s="143"/>
      <c r="P125" s="143"/>
      <c r="Q125" s="143"/>
      <c r="R125" s="143"/>
      <c r="S125" s="143"/>
      <c r="T125" s="146"/>
      <c r="U125" s="147"/>
      <c r="V125" s="142"/>
      <c r="W125" s="142"/>
      <c r="AW125" s="142"/>
    </row>
    <row r="126" spans="1:49">
      <c r="A126" s="141"/>
      <c r="B126" s="141"/>
      <c r="C126" s="142"/>
      <c r="D126" s="142"/>
      <c r="E126" s="142"/>
      <c r="F126" s="142"/>
      <c r="G126" s="142"/>
      <c r="H126" s="143"/>
      <c r="I126" s="143"/>
      <c r="J126" s="144"/>
      <c r="K126" s="145"/>
      <c r="L126" s="144"/>
      <c r="M126" s="144"/>
      <c r="N126" s="144"/>
      <c r="O126" s="143"/>
      <c r="P126" s="143"/>
      <c r="Q126" s="143"/>
      <c r="R126" s="143"/>
      <c r="S126" s="143"/>
      <c r="T126" s="146"/>
      <c r="U126" s="147"/>
      <c r="V126" s="142"/>
      <c r="W126" s="142"/>
      <c r="AW126" s="142"/>
    </row>
    <row r="127" spans="1:49">
      <c r="A127" s="141"/>
      <c r="B127" s="141"/>
      <c r="C127" s="142"/>
      <c r="D127" s="142"/>
      <c r="E127" s="142"/>
      <c r="F127" s="142"/>
      <c r="G127" s="142"/>
      <c r="H127" s="143"/>
      <c r="I127" s="143"/>
      <c r="J127" s="144"/>
      <c r="K127" s="145"/>
      <c r="L127" s="144"/>
      <c r="M127" s="144"/>
      <c r="N127" s="144"/>
      <c r="O127" s="143"/>
      <c r="P127" s="143"/>
      <c r="Q127" s="143"/>
      <c r="R127" s="143"/>
      <c r="S127" s="143"/>
      <c r="T127" s="146"/>
      <c r="U127" s="147"/>
      <c r="V127" s="142"/>
      <c r="W127" s="142"/>
      <c r="AW127" s="142"/>
    </row>
    <row r="128" spans="1:49">
      <c r="A128" s="141"/>
      <c r="B128" s="141"/>
      <c r="C128" s="142"/>
      <c r="D128" s="142"/>
      <c r="E128" s="142"/>
      <c r="F128" s="142"/>
      <c r="G128" s="142"/>
      <c r="H128" s="143"/>
      <c r="I128" s="143"/>
      <c r="J128" s="144"/>
      <c r="K128" s="145"/>
      <c r="L128" s="144"/>
      <c r="M128" s="144"/>
      <c r="N128" s="144"/>
      <c r="O128" s="143"/>
      <c r="P128" s="143"/>
      <c r="Q128" s="143"/>
      <c r="R128" s="143"/>
      <c r="S128" s="143"/>
      <c r="T128" s="146"/>
      <c r="U128" s="147"/>
      <c r="V128" s="142"/>
      <c r="W128" s="142"/>
      <c r="AW128" s="142"/>
    </row>
    <row r="129" spans="1:49">
      <c r="A129" s="141"/>
      <c r="B129" s="141"/>
      <c r="C129" s="142"/>
      <c r="D129" s="142"/>
      <c r="E129" s="142"/>
      <c r="F129" s="142"/>
      <c r="G129" s="142"/>
      <c r="H129" s="143"/>
      <c r="I129" s="143"/>
      <c r="J129" s="144"/>
      <c r="K129" s="145"/>
      <c r="L129" s="144"/>
      <c r="M129" s="144"/>
      <c r="N129" s="144"/>
      <c r="O129" s="143"/>
      <c r="P129" s="143"/>
      <c r="Q129" s="143"/>
      <c r="R129" s="143"/>
      <c r="S129" s="143"/>
      <c r="T129" s="146"/>
      <c r="U129" s="147"/>
      <c r="V129" s="142"/>
      <c r="W129" s="142"/>
      <c r="AW129" s="142"/>
    </row>
    <row r="130" spans="1:49">
      <c r="A130" s="141"/>
      <c r="B130" s="141"/>
      <c r="C130" s="142"/>
      <c r="D130" s="142"/>
      <c r="E130" s="142"/>
      <c r="F130" s="142"/>
      <c r="G130" s="142"/>
      <c r="H130" s="143"/>
      <c r="I130" s="143"/>
      <c r="J130" s="144"/>
      <c r="K130" s="145"/>
      <c r="L130" s="144"/>
      <c r="M130" s="144"/>
      <c r="N130" s="144"/>
      <c r="O130" s="143"/>
      <c r="P130" s="143"/>
      <c r="Q130" s="143"/>
      <c r="R130" s="143"/>
      <c r="S130" s="143"/>
      <c r="T130" s="146"/>
      <c r="U130" s="147"/>
      <c r="V130" s="142"/>
      <c r="W130" s="142"/>
      <c r="AW130" s="142"/>
    </row>
    <row r="131" spans="1:49">
      <c r="A131" s="141"/>
      <c r="B131" s="141"/>
      <c r="C131" s="142"/>
      <c r="D131" s="142"/>
      <c r="E131" s="142"/>
      <c r="F131" s="142"/>
      <c r="G131" s="142"/>
      <c r="H131" s="143"/>
      <c r="I131" s="143"/>
      <c r="J131" s="144"/>
      <c r="K131" s="145"/>
      <c r="L131" s="144"/>
      <c r="M131" s="144"/>
      <c r="N131" s="144"/>
      <c r="O131" s="143"/>
      <c r="P131" s="143"/>
      <c r="Q131" s="143"/>
      <c r="R131" s="143"/>
      <c r="S131" s="143"/>
      <c r="T131" s="146"/>
      <c r="U131" s="147"/>
      <c r="V131" s="142"/>
      <c r="W131" s="142"/>
      <c r="AW131" s="142"/>
    </row>
    <row r="132" spans="1:49">
      <c r="A132" s="141"/>
      <c r="B132" s="141"/>
      <c r="C132" s="142"/>
      <c r="D132" s="142"/>
      <c r="E132" s="142"/>
      <c r="F132" s="142"/>
      <c r="G132" s="142"/>
      <c r="H132" s="143"/>
      <c r="I132" s="143"/>
      <c r="J132" s="144"/>
      <c r="K132" s="145"/>
      <c r="L132" s="144"/>
      <c r="M132" s="144"/>
      <c r="N132" s="144"/>
      <c r="O132" s="143"/>
      <c r="P132" s="143"/>
      <c r="Q132" s="143"/>
      <c r="R132" s="143"/>
      <c r="S132" s="143"/>
      <c r="T132" s="146"/>
      <c r="U132" s="147"/>
      <c r="V132" s="142"/>
      <c r="W132" s="142"/>
      <c r="AW132" s="142"/>
    </row>
    <row r="133" spans="1:49">
      <c r="A133" s="141"/>
      <c r="B133" s="141"/>
      <c r="C133" s="142"/>
      <c r="D133" s="142"/>
      <c r="E133" s="142"/>
      <c r="F133" s="142"/>
      <c r="G133" s="142"/>
      <c r="H133" s="143"/>
      <c r="I133" s="143"/>
      <c r="J133" s="144"/>
      <c r="K133" s="145"/>
      <c r="L133" s="144"/>
      <c r="M133" s="144"/>
      <c r="N133" s="144"/>
      <c r="O133" s="143"/>
      <c r="P133" s="143"/>
      <c r="Q133" s="143"/>
      <c r="R133" s="143"/>
      <c r="S133" s="143"/>
      <c r="T133" s="146"/>
      <c r="U133" s="147"/>
      <c r="V133" s="142"/>
      <c r="W133" s="142"/>
      <c r="AW133" s="142"/>
    </row>
    <row r="134" spans="1:49">
      <c r="A134" s="141"/>
      <c r="B134" s="141"/>
      <c r="C134" s="142"/>
      <c r="D134" s="142"/>
      <c r="E134" s="142"/>
      <c r="F134" s="142"/>
      <c r="G134" s="142"/>
      <c r="H134" s="143"/>
      <c r="I134" s="143"/>
      <c r="J134" s="144"/>
      <c r="K134" s="145"/>
      <c r="L134" s="144"/>
      <c r="M134" s="144"/>
      <c r="N134" s="144"/>
      <c r="O134" s="143"/>
      <c r="P134" s="143"/>
      <c r="Q134" s="143"/>
      <c r="R134" s="143"/>
      <c r="S134" s="143"/>
      <c r="T134" s="146"/>
      <c r="U134" s="147"/>
      <c r="V134" s="142"/>
      <c r="W134" s="142"/>
      <c r="AW134" s="142"/>
    </row>
    <row r="135" spans="1:49">
      <c r="A135" s="141"/>
      <c r="B135" s="141"/>
      <c r="C135" s="142"/>
      <c r="D135" s="142"/>
      <c r="E135" s="142"/>
      <c r="F135" s="142"/>
      <c r="G135" s="142"/>
      <c r="H135" s="143"/>
      <c r="I135" s="143"/>
      <c r="J135" s="144"/>
      <c r="K135" s="145"/>
      <c r="L135" s="144"/>
      <c r="M135" s="144"/>
      <c r="N135" s="144"/>
      <c r="O135" s="143"/>
      <c r="P135" s="143"/>
      <c r="Q135" s="143"/>
      <c r="R135" s="143"/>
      <c r="S135" s="143"/>
      <c r="T135" s="146"/>
      <c r="U135" s="147"/>
      <c r="V135" s="142"/>
      <c r="W135" s="142"/>
      <c r="AW135" s="142"/>
    </row>
    <row r="136" spans="1:49">
      <c r="A136" s="141"/>
      <c r="B136" s="141"/>
      <c r="C136" s="142"/>
      <c r="D136" s="142"/>
      <c r="E136" s="142"/>
      <c r="F136" s="142"/>
      <c r="G136" s="142"/>
      <c r="H136" s="143"/>
      <c r="I136" s="143"/>
      <c r="J136" s="144"/>
      <c r="K136" s="145"/>
      <c r="L136" s="144"/>
      <c r="M136" s="144"/>
      <c r="N136" s="144"/>
      <c r="O136" s="143"/>
      <c r="P136" s="143"/>
      <c r="Q136" s="143"/>
      <c r="R136" s="143"/>
      <c r="S136" s="143"/>
      <c r="T136" s="146"/>
      <c r="U136" s="147"/>
      <c r="V136" s="142"/>
      <c r="W136" s="142"/>
      <c r="AW136" s="142"/>
    </row>
    <row r="137" spans="1:49">
      <c r="A137" s="141"/>
      <c r="B137" s="141"/>
      <c r="C137" s="142"/>
      <c r="D137" s="142"/>
      <c r="E137" s="142"/>
      <c r="F137" s="142"/>
      <c r="G137" s="142"/>
      <c r="H137" s="143"/>
      <c r="I137" s="143"/>
      <c r="J137" s="144"/>
      <c r="K137" s="145"/>
      <c r="L137" s="144"/>
      <c r="M137" s="144"/>
      <c r="N137" s="144"/>
      <c r="O137" s="143"/>
      <c r="P137" s="143"/>
      <c r="Q137" s="143"/>
      <c r="R137" s="143"/>
      <c r="S137" s="143"/>
      <c r="T137" s="146"/>
      <c r="U137" s="147"/>
      <c r="V137" s="142"/>
      <c r="W137" s="142"/>
      <c r="AW137" s="142"/>
    </row>
    <row r="138" spans="1:49">
      <c r="A138" s="141"/>
      <c r="B138" s="141"/>
      <c r="C138" s="142"/>
      <c r="D138" s="142"/>
      <c r="E138" s="142"/>
      <c r="F138" s="142"/>
      <c r="G138" s="142"/>
      <c r="H138" s="143"/>
      <c r="I138" s="143"/>
      <c r="J138" s="144"/>
      <c r="K138" s="145"/>
      <c r="L138" s="144"/>
      <c r="M138" s="144"/>
      <c r="N138" s="144"/>
      <c r="O138" s="143"/>
      <c r="P138" s="143"/>
      <c r="Q138" s="143"/>
      <c r="R138" s="143"/>
      <c r="S138" s="143"/>
      <c r="T138" s="146"/>
      <c r="U138" s="147"/>
      <c r="V138" s="142"/>
      <c r="W138" s="142"/>
      <c r="AW138" s="142"/>
    </row>
    <row r="139" spans="1:49">
      <c r="A139" s="141"/>
      <c r="B139" s="141"/>
      <c r="C139" s="142"/>
      <c r="D139" s="142"/>
      <c r="E139" s="142"/>
      <c r="F139" s="142"/>
      <c r="G139" s="142"/>
      <c r="H139" s="143"/>
      <c r="I139" s="143"/>
      <c r="J139" s="144"/>
      <c r="K139" s="145"/>
      <c r="L139" s="144"/>
      <c r="M139" s="144"/>
      <c r="N139" s="144"/>
      <c r="O139" s="143"/>
      <c r="P139" s="143"/>
      <c r="Q139" s="143"/>
      <c r="R139" s="143"/>
      <c r="S139" s="143"/>
      <c r="T139" s="146"/>
      <c r="U139" s="147"/>
      <c r="V139" s="142"/>
      <c r="W139" s="142"/>
      <c r="AW139" s="142"/>
    </row>
    <row r="140" spans="1:49">
      <c r="A140" s="141"/>
      <c r="B140" s="141"/>
      <c r="C140" s="142"/>
      <c r="D140" s="142"/>
      <c r="E140" s="142"/>
      <c r="F140" s="142"/>
      <c r="G140" s="142"/>
      <c r="H140" s="143"/>
      <c r="I140" s="143"/>
      <c r="J140" s="144"/>
      <c r="K140" s="145"/>
      <c r="L140" s="144"/>
      <c r="M140" s="144"/>
      <c r="N140" s="144"/>
      <c r="O140" s="143"/>
      <c r="P140" s="143"/>
      <c r="Q140" s="143"/>
      <c r="R140" s="143"/>
      <c r="S140" s="143"/>
      <c r="T140" s="146"/>
      <c r="U140" s="147"/>
      <c r="V140" s="142"/>
      <c r="W140" s="142"/>
      <c r="AW140" s="142"/>
    </row>
    <row r="141" spans="1:49">
      <c r="A141" s="141"/>
      <c r="B141" s="141"/>
      <c r="C141" s="142"/>
      <c r="D141" s="142"/>
      <c r="E141" s="142"/>
      <c r="F141" s="142"/>
      <c r="G141" s="142"/>
      <c r="H141" s="143"/>
      <c r="I141" s="143"/>
      <c r="J141" s="144"/>
      <c r="K141" s="145"/>
      <c r="L141" s="144"/>
      <c r="M141" s="144"/>
      <c r="N141" s="144"/>
      <c r="O141" s="143"/>
      <c r="P141" s="143"/>
      <c r="Q141" s="143"/>
      <c r="R141" s="143"/>
      <c r="S141" s="143"/>
      <c r="T141" s="146"/>
      <c r="U141" s="147"/>
      <c r="V141" s="142"/>
      <c r="W141" s="142"/>
      <c r="AW141" s="142"/>
    </row>
    <row r="142" spans="1:49">
      <c r="A142" s="141"/>
      <c r="B142" s="141"/>
      <c r="C142" s="142"/>
      <c r="D142" s="142"/>
      <c r="E142" s="142"/>
      <c r="F142" s="142"/>
      <c r="G142" s="142"/>
      <c r="H142" s="143"/>
      <c r="I142" s="143"/>
      <c r="J142" s="144"/>
      <c r="K142" s="145"/>
      <c r="L142" s="144"/>
      <c r="M142" s="144"/>
      <c r="N142" s="144"/>
      <c r="O142" s="143"/>
      <c r="P142" s="143"/>
      <c r="Q142" s="143"/>
      <c r="R142" s="143"/>
      <c r="S142" s="143"/>
      <c r="T142" s="146"/>
      <c r="U142" s="147"/>
      <c r="V142" s="142"/>
      <c r="W142" s="142"/>
      <c r="AW142" s="142"/>
    </row>
    <row r="143" spans="1:49">
      <c r="A143" s="141"/>
      <c r="B143" s="141"/>
      <c r="C143" s="142"/>
      <c r="D143" s="142"/>
      <c r="E143" s="142"/>
      <c r="F143" s="142"/>
      <c r="G143" s="142"/>
      <c r="H143" s="143"/>
      <c r="I143" s="143"/>
      <c r="J143" s="144"/>
      <c r="K143" s="145"/>
      <c r="L143" s="144"/>
      <c r="M143" s="144"/>
      <c r="N143" s="144"/>
      <c r="O143" s="143"/>
      <c r="P143" s="143"/>
      <c r="Q143" s="143"/>
      <c r="R143" s="143"/>
      <c r="S143" s="143"/>
      <c r="T143" s="146"/>
      <c r="U143" s="147"/>
      <c r="V143" s="142"/>
      <c r="W143" s="142"/>
      <c r="AW143" s="142"/>
    </row>
    <row r="144" spans="1:49">
      <c r="A144" s="141"/>
      <c r="B144" s="141"/>
      <c r="C144" s="142"/>
      <c r="D144" s="142"/>
      <c r="E144" s="142"/>
      <c r="F144" s="142"/>
      <c r="G144" s="142"/>
      <c r="H144" s="143"/>
      <c r="I144" s="143"/>
      <c r="J144" s="144"/>
      <c r="K144" s="145"/>
      <c r="L144" s="144"/>
      <c r="M144" s="144"/>
      <c r="N144" s="144"/>
      <c r="O144" s="143"/>
      <c r="P144" s="143"/>
      <c r="Q144" s="143"/>
      <c r="R144" s="143"/>
      <c r="S144" s="143"/>
      <c r="T144" s="146"/>
      <c r="U144" s="147"/>
      <c r="V144" s="142"/>
      <c r="W144" s="142"/>
      <c r="AW144" s="142"/>
    </row>
    <row r="145" spans="1:49">
      <c r="A145" s="141"/>
      <c r="B145" s="141"/>
      <c r="C145" s="142"/>
      <c r="D145" s="142"/>
      <c r="E145" s="142"/>
      <c r="F145" s="142"/>
      <c r="G145" s="142"/>
      <c r="H145" s="143"/>
      <c r="I145" s="143"/>
      <c r="J145" s="144"/>
      <c r="K145" s="145"/>
      <c r="L145" s="144"/>
      <c r="M145" s="144"/>
      <c r="N145" s="144"/>
      <c r="O145" s="143"/>
      <c r="P145" s="143"/>
      <c r="Q145" s="143"/>
      <c r="R145" s="143"/>
      <c r="S145" s="143"/>
      <c r="T145" s="146"/>
      <c r="U145" s="147"/>
      <c r="V145" s="142"/>
      <c r="W145" s="142"/>
      <c r="AW145" s="142"/>
    </row>
    <row r="146" spans="1:49">
      <c r="A146" s="141"/>
      <c r="B146" s="141"/>
      <c r="C146" s="142"/>
      <c r="D146" s="142"/>
      <c r="E146" s="142"/>
      <c r="F146" s="142"/>
      <c r="G146" s="142"/>
      <c r="H146" s="143"/>
      <c r="I146" s="143"/>
      <c r="J146" s="144"/>
      <c r="K146" s="145"/>
      <c r="L146" s="144"/>
      <c r="M146" s="144"/>
      <c r="N146" s="144"/>
      <c r="O146" s="143"/>
      <c r="P146" s="143"/>
      <c r="Q146" s="143"/>
      <c r="R146" s="143"/>
      <c r="S146" s="143"/>
      <c r="T146" s="146"/>
      <c r="U146" s="147"/>
      <c r="V146" s="142"/>
      <c r="W146" s="142"/>
      <c r="AW146" s="142"/>
    </row>
    <row r="147" spans="1:49">
      <c r="A147" s="141"/>
      <c r="B147" s="141"/>
      <c r="C147" s="142"/>
      <c r="D147" s="142"/>
      <c r="E147" s="142"/>
      <c r="F147" s="142"/>
      <c r="G147" s="142"/>
      <c r="H147" s="143"/>
      <c r="I147" s="143"/>
      <c r="J147" s="144"/>
      <c r="K147" s="145"/>
      <c r="L147" s="144"/>
      <c r="M147" s="144"/>
      <c r="N147" s="144"/>
      <c r="O147" s="143"/>
      <c r="P147" s="143"/>
      <c r="Q147" s="143"/>
      <c r="R147" s="143"/>
      <c r="S147" s="143"/>
      <c r="T147" s="146"/>
      <c r="U147" s="147"/>
      <c r="V147" s="142"/>
      <c r="W147" s="142"/>
      <c r="AW147" s="142"/>
    </row>
    <row r="148" spans="1:49">
      <c r="A148" s="141"/>
      <c r="B148" s="141"/>
      <c r="C148" s="142"/>
      <c r="D148" s="142"/>
      <c r="E148" s="142"/>
      <c r="F148" s="142"/>
      <c r="G148" s="142"/>
      <c r="H148" s="143"/>
      <c r="I148" s="143"/>
      <c r="J148" s="144"/>
      <c r="K148" s="145"/>
      <c r="L148" s="144"/>
      <c r="M148" s="144"/>
      <c r="N148" s="144"/>
      <c r="O148" s="143"/>
      <c r="P148" s="143"/>
      <c r="Q148" s="143"/>
      <c r="R148" s="143"/>
      <c r="S148" s="143"/>
      <c r="T148" s="146"/>
      <c r="U148" s="147"/>
      <c r="V148" s="142"/>
      <c r="W148" s="142"/>
      <c r="AW148" s="142"/>
    </row>
    <row r="149" spans="1:49">
      <c r="A149" s="141"/>
      <c r="B149" s="141"/>
      <c r="C149" s="142"/>
      <c r="D149" s="142"/>
      <c r="E149" s="142"/>
      <c r="F149" s="142"/>
      <c r="G149" s="142"/>
      <c r="H149" s="143"/>
      <c r="I149" s="143"/>
      <c r="J149" s="144"/>
      <c r="K149" s="145"/>
      <c r="L149" s="144"/>
      <c r="M149" s="144"/>
      <c r="N149" s="144"/>
      <c r="O149" s="143"/>
      <c r="P149" s="143"/>
      <c r="Q149" s="143"/>
      <c r="R149" s="143"/>
      <c r="S149" s="143"/>
      <c r="T149" s="146"/>
      <c r="U149" s="147"/>
      <c r="V149" s="142"/>
      <c r="W149" s="142"/>
      <c r="AW149" s="142"/>
    </row>
    <row r="150" spans="1:49">
      <c r="A150" s="141"/>
      <c r="B150" s="141"/>
      <c r="C150" s="142"/>
      <c r="D150" s="142"/>
      <c r="E150" s="142"/>
      <c r="F150" s="142"/>
      <c r="G150" s="142"/>
      <c r="H150" s="143"/>
      <c r="I150" s="143"/>
      <c r="J150" s="144"/>
      <c r="K150" s="145"/>
      <c r="L150" s="144"/>
      <c r="M150" s="144"/>
      <c r="N150" s="144"/>
      <c r="O150" s="143"/>
      <c r="P150" s="143"/>
      <c r="Q150" s="143"/>
      <c r="R150" s="143"/>
      <c r="S150" s="143"/>
      <c r="T150" s="146"/>
      <c r="U150" s="147"/>
      <c r="V150" s="142"/>
      <c r="W150" s="142"/>
      <c r="AW150" s="142"/>
    </row>
  </sheetData>
  <mergeCells count="38">
    <mergeCell ref="A3:B3"/>
    <mergeCell ref="C3:E3"/>
    <mergeCell ref="A5:A8"/>
    <mergeCell ref="B5:B8"/>
    <mergeCell ref="C5:C8"/>
    <mergeCell ref="D5:D8"/>
    <mergeCell ref="E5:E8"/>
    <mergeCell ref="Q5:Q8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O5:O8"/>
    <mergeCell ref="P5:P8"/>
    <mergeCell ref="R5:R8"/>
    <mergeCell ref="S5:S8"/>
    <mergeCell ref="T5:T8"/>
    <mergeCell ref="U5:U8"/>
    <mergeCell ref="V5:V8"/>
    <mergeCell ref="W5:AA5"/>
    <mergeCell ref="AB5:AE5"/>
    <mergeCell ref="AF5:AI5"/>
    <mergeCell ref="AJ5:AN5"/>
    <mergeCell ref="AO5:AR5"/>
    <mergeCell ref="BO5:BR5"/>
    <mergeCell ref="CB5:CE5"/>
    <mergeCell ref="AS5:AV5"/>
    <mergeCell ref="AW5:BA5"/>
    <mergeCell ref="BB5:BE5"/>
    <mergeCell ref="BF5:BI5"/>
    <mergeCell ref="BJ5:BN5"/>
    <mergeCell ref="BS5:BW5"/>
    <mergeCell ref="BX5:CA5"/>
  </mergeCells>
  <phoneticPr fontId="4" type="noConversion"/>
  <conditionalFormatting sqref="W11:CE98 W100:CE106">
    <cfRule type="cellIs" dxfId="0" priority="1" stopIfTrue="1" operator="equal">
      <formula>1</formula>
    </cfRule>
  </conditionalFormatting>
  <printOptions horizontalCentered="1"/>
  <pageMargins left="0.25" right="0.25" top="0.75" bottom="0.75" header="0.3" footer="0.3"/>
  <pageSetup paperSize="9" scale="20" fitToHeight="0" orientation="landscape" r:id="rId1"/>
  <headerFooter alignWithMargins="0">
    <oddFooter>&amp;L&amp;G&amp;C&amp;"바탕체,보통"&amp;9- &amp;P/&amp;N -&amp;R&amp;D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63</vt:i4>
      </vt:variant>
    </vt:vector>
  </HeadingPairs>
  <TitlesOfParts>
    <vt:vector size="89" baseType="lpstr">
      <vt:lpstr>표지</vt:lpstr>
      <vt:lpstr>문서승인</vt:lpstr>
      <vt:lpstr>제개정이력</vt:lpstr>
      <vt:lpstr>진행현황_전체</vt:lpstr>
      <vt:lpstr>진행현황_01.범위명</vt:lpstr>
      <vt:lpstr>진행율 입력_01.범위명</vt:lpstr>
      <vt:lpstr>진행현황_02.범위명</vt:lpstr>
      <vt:lpstr>진행율 입력_02.범위명</vt:lpstr>
      <vt:lpstr>진행현황_03.범위명</vt:lpstr>
      <vt:lpstr>진행율 입력_03.범위명</vt:lpstr>
      <vt:lpstr>진행현황_04.범위명</vt:lpstr>
      <vt:lpstr>진행율 입력_04.범위명</vt:lpstr>
      <vt:lpstr>진행현황_05.범위명</vt:lpstr>
      <vt:lpstr>진행율 입력_05.범위명</vt:lpstr>
      <vt:lpstr>진행현황_06.범위명</vt:lpstr>
      <vt:lpstr>진행율 입력_06.범위명</vt:lpstr>
      <vt:lpstr>진행현황_07.범위명</vt:lpstr>
      <vt:lpstr>진행율 입력_07.범위명</vt:lpstr>
      <vt:lpstr>진행현황_08.범위명</vt:lpstr>
      <vt:lpstr>진행율 입력_08.범위명</vt:lpstr>
      <vt:lpstr>진행현황_09.범위명</vt:lpstr>
      <vt:lpstr>진행율 입력_09.범위명</vt:lpstr>
      <vt:lpstr>진행현황_10.범위명</vt:lpstr>
      <vt:lpstr>진행율 입력_10.범위명</vt:lpstr>
      <vt:lpstr>진행현황_템플릿</vt:lpstr>
      <vt:lpstr>진행율 입력_템플릿</vt:lpstr>
      <vt:lpstr>진행현황_01.범위명!CheckDay</vt:lpstr>
      <vt:lpstr>진행현황_02.범위명!CheckDay</vt:lpstr>
      <vt:lpstr>진행현황_03.범위명!CheckDay</vt:lpstr>
      <vt:lpstr>진행현황_04.범위명!CheckDay</vt:lpstr>
      <vt:lpstr>진행현황_05.범위명!CheckDay</vt:lpstr>
      <vt:lpstr>진행현황_06.범위명!CheckDay</vt:lpstr>
      <vt:lpstr>진행현황_07.범위명!CheckDay</vt:lpstr>
      <vt:lpstr>진행현황_08.범위명!CheckDay</vt:lpstr>
      <vt:lpstr>진행현황_09.범위명!CheckDay</vt:lpstr>
      <vt:lpstr>진행현황_10.범위명!CheckDay</vt:lpstr>
      <vt:lpstr>진행현황_템플릿!CheckDay</vt:lpstr>
      <vt:lpstr>CheckDay</vt:lpstr>
      <vt:lpstr>CheckDay2</vt:lpstr>
      <vt:lpstr>문서승인!Print_Area</vt:lpstr>
      <vt:lpstr>'진행율 입력_01.범위명'!Print_Area</vt:lpstr>
      <vt:lpstr>'진행율 입력_02.범위명'!Print_Area</vt:lpstr>
      <vt:lpstr>'진행율 입력_03.범위명'!Print_Area</vt:lpstr>
      <vt:lpstr>'진행율 입력_04.범위명'!Print_Area</vt:lpstr>
      <vt:lpstr>'진행율 입력_05.범위명'!Print_Area</vt:lpstr>
      <vt:lpstr>'진행율 입력_06.범위명'!Print_Area</vt:lpstr>
      <vt:lpstr>'진행율 입력_07.범위명'!Print_Area</vt:lpstr>
      <vt:lpstr>'진행율 입력_08.범위명'!Print_Area</vt:lpstr>
      <vt:lpstr>'진행율 입력_09.범위명'!Print_Area</vt:lpstr>
      <vt:lpstr>'진행율 입력_10.범위명'!Print_Area</vt:lpstr>
      <vt:lpstr>'진행율 입력_템플릿'!Print_Area</vt:lpstr>
      <vt:lpstr>진행현황_01.범위명!Print_Area</vt:lpstr>
      <vt:lpstr>진행현황_02.범위명!Print_Area</vt:lpstr>
      <vt:lpstr>진행현황_03.범위명!Print_Area</vt:lpstr>
      <vt:lpstr>진행현황_04.범위명!Print_Area</vt:lpstr>
      <vt:lpstr>진행현황_05.범위명!Print_Area</vt:lpstr>
      <vt:lpstr>진행현황_06.범위명!Print_Area</vt:lpstr>
      <vt:lpstr>진행현황_07.범위명!Print_Area</vt:lpstr>
      <vt:lpstr>진행현황_08.범위명!Print_Area</vt:lpstr>
      <vt:lpstr>진행현황_09.범위명!Print_Area</vt:lpstr>
      <vt:lpstr>진행현황_10.범위명!Print_Area</vt:lpstr>
      <vt:lpstr>진행현황_전체!Print_Area</vt:lpstr>
      <vt:lpstr>진행현황_템플릿!Print_Area</vt:lpstr>
      <vt:lpstr>표지!Print_Area</vt:lpstr>
      <vt:lpstr>문서승인!Print_Titles</vt:lpstr>
      <vt:lpstr>제개정이력!Print_Titles</vt:lpstr>
      <vt:lpstr>'진행율 입력_01.범위명'!Print_Titles</vt:lpstr>
      <vt:lpstr>'진행율 입력_02.범위명'!Print_Titles</vt:lpstr>
      <vt:lpstr>'진행율 입력_03.범위명'!Print_Titles</vt:lpstr>
      <vt:lpstr>'진행율 입력_04.범위명'!Print_Titles</vt:lpstr>
      <vt:lpstr>'진행율 입력_05.범위명'!Print_Titles</vt:lpstr>
      <vt:lpstr>'진행율 입력_06.범위명'!Print_Titles</vt:lpstr>
      <vt:lpstr>'진행율 입력_07.범위명'!Print_Titles</vt:lpstr>
      <vt:lpstr>'진행율 입력_08.범위명'!Print_Titles</vt:lpstr>
      <vt:lpstr>'진행율 입력_09.범위명'!Print_Titles</vt:lpstr>
      <vt:lpstr>'진행율 입력_10.범위명'!Print_Titles</vt:lpstr>
      <vt:lpstr>'진행율 입력_템플릿'!Print_Titles</vt:lpstr>
      <vt:lpstr>진행현황_01.범위명!Print_Titles</vt:lpstr>
      <vt:lpstr>진행현황_02.범위명!Print_Titles</vt:lpstr>
      <vt:lpstr>진행현황_03.범위명!Print_Titles</vt:lpstr>
      <vt:lpstr>진행현황_04.범위명!Print_Titles</vt:lpstr>
      <vt:lpstr>진행현황_05.범위명!Print_Titles</vt:lpstr>
      <vt:lpstr>진행현황_06.범위명!Print_Titles</vt:lpstr>
      <vt:lpstr>진행현황_07.범위명!Print_Titles</vt:lpstr>
      <vt:lpstr>진행현황_08.범위명!Print_Titles</vt:lpstr>
      <vt:lpstr>진행현황_09.범위명!Print_Titles</vt:lpstr>
      <vt:lpstr>진행현황_10.범위명!Print_Titles</vt:lpstr>
      <vt:lpstr>진행현황_전체!Print_Titles</vt:lpstr>
      <vt:lpstr>진행현황_템플릿!Print_Titles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오동석</dc:creator>
  <cp:lastModifiedBy>Dongseok Oh/오동석</cp:lastModifiedBy>
  <cp:lastPrinted>2025-01-06T01:29:56Z</cp:lastPrinted>
  <dcterms:created xsi:type="dcterms:W3CDTF">2006-07-14T09:05:35Z</dcterms:created>
  <dcterms:modified xsi:type="dcterms:W3CDTF">2025-03-14T03:56:36Z</dcterms:modified>
</cp:coreProperties>
</file>